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2447c5143bba9243/Desktop/KIBET/DATA/Data Projects all in/Excel Projects/Retail Inventory Management Dashboard/"/>
    </mc:Choice>
  </mc:AlternateContent>
  <xr:revisionPtr revIDLastSave="7" documentId="8_{5A1C441A-50B7-412F-8254-841A51421CE1}" xr6:coauthVersionLast="47" xr6:coauthVersionMax="47" xr10:uidLastSave="{543DD7EE-CFB5-428D-840B-34AD7F45A3B3}"/>
  <bookViews>
    <workbookView xWindow="0" yWindow="150" windowWidth="19200" windowHeight="9810" xr2:uid="{00000000-000D-0000-FFFF-FFFF00000000}"/>
  </bookViews>
  <sheets>
    <sheet name="Retail Dashboard" sheetId="8" r:id="rId1"/>
    <sheet name="Inventory master" sheetId="1" state="hidden" r:id="rId2"/>
    <sheet name="Opening stock" sheetId="6" state="hidden" r:id="rId3"/>
    <sheet name="Sales " sheetId="3" state="hidden" r:id="rId4"/>
    <sheet name="Purchases" sheetId="4" state="hidden" r:id="rId5"/>
    <sheet name="Inventory calculations" sheetId="5" state="hidden" r:id="rId6"/>
    <sheet name="Dashboard tables" sheetId="9" state="hidden" r:id="rId7"/>
  </sheets>
  <definedNames>
    <definedName name="Slicer_Category">#N/A</definedName>
    <definedName name="Slicer_Item_Name">#N/A</definedName>
    <definedName name="Slicer_Re_order_Level">#N/A</definedName>
    <definedName name="Slicer_Supplie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8" l="1" a="1"/>
  <c r="D9" i="8" s="1"/>
  <c r="A9" i="8"/>
  <c r="D7" i="8"/>
  <c r="A7" i="8"/>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G2" i="5"/>
  <c r="P5" i="5"/>
  <c r="P6" i="5"/>
  <c r="P7" i="5"/>
  <c r="P8" i="5"/>
  <c r="P9" i="5"/>
  <c r="P10" i="5"/>
  <c r="P11" i="5"/>
  <c r="P12" i="5"/>
  <c r="P13" i="5"/>
  <c r="P14" i="5"/>
  <c r="P15" i="5"/>
  <c r="P16" i="5"/>
  <c r="P17" i="5"/>
  <c r="P18" i="5"/>
  <c r="P19" i="5"/>
  <c r="P20" i="5"/>
  <c r="P21" i="5"/>
  <c r="P22" i="5"/>
  <c r="P23" i="5"/>
  <c r="P24" i="5"/>
  <c r="P25" i="5"/>
  <c r="P27" i="5"/>
  <c r="P28" i="5"/>
  <c r="P30" i="5"/>
  <c r="P31" i="5"/>
  <c r="P33" i="5"/>
  <c r="P34" i="5"/>
  <c r="P35" i="5"/>
  <c r="P36" i="5"/>
  <c r="P37" i="5"/>
  <c r="P38" i="5"/>
  <c r="P40" i="5"/>
  <c r="P41" i="5"/>
  <c r="P42" i="5"/>
  <c r="P43" i="5"/>
  <c r="P44" i="5"/>
  <c r="P45" i="5"/>
  <c r="P46" i="5"/>
  <c r="P48" i="5"/>
  <c r="P49" i="5"/>
  <c r="P50" i="5"/>
  <c r="P51" i="5"/>
  <c r="P52" i="5"/>
  <c r="P54" i="5"/>
  <c r="P55" i="5"/>
  <c r="P56" i="5"/>
  <c r="P57" i="5"/>
  <c r="P58" i="5"/>
  <c r="P59" i="5"/>
  <c r="P61" i="5"/>
  <c r="P62" i="5"/>
  <c r="P64" i="5"/>
  <c r="P65" i="5"/>
  <c r="P66" i="5"/>
  <c r="P67" i="5"/>
  <c r="P69" i="5"/>
  <c r="P70" i="5"/>
  <c r="P71" i="5"/>
  <c r="P72" i="5"/>
  <c r="P73" i="5"/>
  <c r="P76" i="5"/>
  <c r="P77" i="5"/>
  <c r="P79" i="5"/>
  <c r="P80" i="5"/>
  <c r="P81" i="5"/>
  <c r="P82" i="5"/>
  <c r="P84" i="5"/>
  <c r="P85" i="5"/>
  <c r="P86" i="5"/>
  <c r="P87" i="5"/>
  <c r="P88" i="5"/>
  <c r="P89" i="5"/>
  <c r="P91" i="5"/>
  <c r="P92" i="5"/>
  <c r="P93" i="5"/>
  <c r="P95" i="5"/>
  <c r="P98" i="5"/>
  <c r="P99" i="5"/>
  <c r="P100" i="5"/>
  <c r="P101" i="5"/>
  <c r="P102" i="5"/>
  <c r="P106" i="5"/>
  <c r="P107" i="5"/>
  <c r="P108" i="5"/>
  <c r="P109" i="5"/>
  <c r="P110" i="5"/>
  <c r="P111" i="5"/>
  <c r="P112" i="5"/>
  <c r="P114" i="5"/>
  <c r="P115" i="5"/>
  <c r="P117" i="5"/>
  <c r="P118" i="5"/>
  <c r="P119" i="5"/>
  <c r="P121" i="5"/>
  <c r="P122" i="5"/>
  <c r="P123" i="5"/>
  <c r="P124" i="5"/>
  <c r="P125" i="5"/>
  <c r="P126" i="5"/>
  <c r="P128" i="5"/>
  <c r="P129" i="5"/>
  <c r="P130" i="5"/>
  <c r="P131" i="5"/>
  <c r="P132" i="5"/>
  <c r="P133" i="5"/>
  <c r="P134" i="5"/>
  <c r="P136" i="5"/>
  <c r="P137" i="5"/>
  <c r="P139" i="5"/>
  <c r="P140" i="5"/>
  <c r="P143" i="5"/>
  <c r="P144" i="5"/>
  <c r="P145" i="5"/>
  <c r="P147" i="5"/>
  <c r="P149" i="5"/>
  <c r="P150" i="5"/>
  <c r="P151" i="5"/>
  <c r="P152" i="5"/>
  <c r="P153" i="5"/>
  <c r="P154" i="5"/>
  <c r="P155" i="5"/>
  <c r="P156" i="5"/>
  <c r="P157" i="5"/>
  <c r="P159" i="5"/>
  <c r="P160" i="5"/>
  <c r="P162" i="5"/>
  <c r="P164" i="5"/>
  <c r="P166" i="5"/>
  <c r="P167" i="5"/>
  <c r="P168" i="5"/>
  <c r="P169" i="5"/>
  <c r="P170" i="5"/>
  <c r="P171" i="5"/>
  <c r="P172" i="5"/>
  <c r="P173" i="5"/>
  <c r="P174" i="5"/>
  <c r="P176" i="5"/>
  <c r="P177" i="5"/>
  <c r="P178" i="5"/>
  <c r="P180" i="5"/>
  <c r="P182" i="5"/>
  <c r="P183" i="5"/>
  <c r="P185" i="5"/>
  <c r="P186" i="5"/>
  <c r="P188" i="5"/>
  <c r="P189" i="5"/>
  <c r="P191" i="5"/>
  <c r="P192" i="5"/>
  <c r="P193" i="5"/>
  <c r="P194" i="5"/>
  <c r="P195" i="5"/>
  <c r="P197" i="5"/>
  <c r="P198" i="5"/>
  <c r="P200" i="5"/>
  <c r="P202" i="5"/>
  <c r="P203" i="5"/>
  <c r="P205" i="5"/>
  <c r="P207" i="5"/>
  <c r="P208" i="5"/>
  <c r="P209" i="5"/>
  <c r="P210" i="5"/>
  <c r="P214" i="5"/>
  <c r="P215" i="5"/>
  <c r="P216" i="5"/>
  <c r="P217" i="5"/>
  <c r="P219" i="5"/>
  <c r="P220" i="5"/>
  <c r="P221" i="5"/>
  <c r="P223" i="5"/>
  <c r="P224" i="5"/>
  <c r="P225" i="5"/>
  <c r="P226" i="5"/>
  <c r="P228" i="5"/>
  <c r="P229" i="5"/>
  <c r="P232" i="5"/>
  <c r="P233" i="5"/>
  <c r="P235" i="5"/>
  <c r="P236" i="5"/>
  <c r="P237" i="5"/>
  <c r="P238" i="5"/>
  <c r="P239" i="5"/>
  <c r="P240" i="5"/>
  <c r="P241" i="5"/>
  <c r="P243" i="5"/>
  <c r="P244" i="5"/>
  <c r="P245" i="5"/>
  <c r="P246" i="5"/>
  <c r="P247" i="5"/>
  <c r="P248" i="5"/>
  <c r="P249" i="5"/>
  <c r="P250" i="5"/>
  <c r="P251" i="5"/>
  <c r="P252" i="5"/>
  <c r="P253" i="5"/>
  <c r="P254" i="5"/>
  <c r="P255" i="5"/>
  <c r="P256" i="5"/>
  <c r="P257" i="5"/>
  <c r="P258" i="5"/>
  <c r="P260" i="5"/>
  <c r="P261" i="5"/>
  <c r="P262" i="5"/>
  <c r="P263" i="5"/>
  <c r="P264" i="5"/>
  <c r="P265" i="5"/>
  <c r="P267" i="5"/>
  <c r="P268" i="5"/>
  <c r="P269" i="5"/>
  <c r="P271" i="5"/>
  <c r="P273" i="5"/>
  <c r="P275" i="5"/>
  <c r="P276" i="5"/>
  <c r="P277" i="5"/>
  <c r="P278" i="5"/>
  <c r="P280" i="5"/>
  <c r="P281" i="5"/>
  <c r="P282" i="5"/>
  <c r="P283" i="5"/>
  <c r="P284" i="5"/>
  <c r="P285" i="5"/>
  <c r="P287" i="5"/>
  <c r="P288" i="5"/>
  <c r="P291" i="5"/>
  <c r="P292" i="5"/>
  <c r="P293" i="5"/>
  <c r="P294" i="5"/>
  <c r="P296" i="5"/>
  <c r="P297" i="5"/>
  <c r="P298" i="5"/>
  <c r="P299" i="5"/>
  <c r="P301" i="5"/>
  <c r="P302" i="5"/>
  <c r="P303" i="5"/>
  <c r="P304" i="5"/>
  <c r="P306" i="5"/>
  <c r="P307" i="5"/>
  <c r="P309" i="5"/>
  <c r="P310" i="5"/>
  <c r="P311" i="5"/>
  <c r="P312" i="5"/>
  <c r="P314" i="5"/>
  <c r="P315" i="5"/>
  <c r="P317" i="5"/>
  <c r="P318" i="5"/>
  <c r="P319" i="5"/>
  <c r="P321" i="5"/>
  <c r="P322" i="5"/>
  <c r="P323" i="5"/>
  <c r="P324" i="5"/>
  <c r="P325" i="5"/>
  <c r="P326" i="5"/>
  <c r="P328" i="5"/>
  <c r="P329" i="5"/>
  <c r="P331" i="5"/>
  <c r="P332" i="5"/>
  <c r="P333" i="5"/>
  <c r="P334" i="5"/>
  <c r="P335" i="5"/>
  <c r="P336" i="5"/>
  <c r="P337" i="5"/>
  <c r="P339" i="5"/>
  <c r="P340" i="5"/>
  <c r="P341" i="5"/>
  <c r="P344" i="5"/>
  <c r="P345" i="5"/>
  <c r="P346" i="5"/>
  <c r="P348" i="5"/>
  <c r="P351" i="5"/>
  <c r="P352" i="5"/>
  <c r="P353" i="5"/>
  <c r="P354" i="5"/>
  <c r="P355" i="5"/>
  <c r="P356" i="5"/>
  <c r="P357" i="5"/>
  <c r="P358" i="5"/>
  <c r="P360" i="5"/>
  <c r="P361" i="5"/>
  <c r="P363" i="5"/>
  <c r="P364" i="5"/>
  <c r="P365" i="5"/>
  <c r="P366" i="5"/>
  <c r="P367" i="5"/>
  <c r="P370" i="5"/>
  <c r="P371" i="5"/>
  <c r="P372" i="5"/>
  <c r="P373" i="5"/>
  <c r="P374" i="5"/>
  <c r="P375" i="5"/>
  <c r="P376" i="5"/>
  <c r="P378" i="5"/>
  <c r="P379" i="5"/>
  <c r="P380" i="5"/>
  <c r="P381" i="5"/>
  <c r="P383" i="5"/>
  <c r="P384" i="5"/>
  <c r="P386" i="5"/>
  <c r="P387" i="5"/>
  <c r="P388" i="5"/>
  <c r="P389" i="5"/>
  <c r="P390" i="5"/>
  <c r="P391" i="5"/>
  <c r="P392" i="5"/>
  <c r="P393" i="5"/>
  <c r="P394" i="5"/>
  <c r="P395" i="5"/>
  <c r="P396" i="5"/>
  <c r="P397" i="5"/>
  <c r="P399" i="5"/>
  <c r="P400" i="5"/>
  <c r="P401" i="5"/>
  <c r="P402" i="5"/>
  <c r="P403" i="5"/>
  <c r="P404" i="5"/>
  <c r="P405" i="5"/>
  <c r="P406" i="5"/>
  <c r="P408" i="5"/>
  <c r="P410" i="5"/>
  <c r="P412" i="5"/>
  <c r="P413" i="5"/>
  <c r="P414" i="5"/>
  <c r="P415" i="5"/>
  <c r="P418" i="5"/>
  <c r="P419" i="5"/>
  <c r="P420" i="5"/>
  <c r="P421" i="5"/>
  <c r="P422" i="5"/>
  <c r="P424" i="5"/>
  <c r="P425" i="5"/>
  <c r="P427" i="5"/>
  <c r="P428" i="5"/>
  <c r="P429" i="5"/>
  <c r="P431" i="5"/>
  <c r="P432" i="5"/>
  <c r="P434" i="5"/>
  <c r="P435" i="5"/>
  <c r="P436" i="5"/>
  <c r="P438" i="5"/>
  <c r="P439" i="5"/>
  <c r="P440" i="5"/>
  <c r="P441" i="5"/>
  <c r="P442" i="5"/>
  <c r="P443" i="5"/>
  <c r="P444" i="5"/>
  <c r="P445" i="5"/>
  <c r="P446" i="5"/>
  <c r="P449" i="5"/>
  <c r="P450" i="5"/>
  <c r="P451" i="5"/>
  <c r="P452" i="5"/>
  <c r="P454" i="5"/>
  <c r="P455" i="5"/>
  <c r="P456" i="5"/>
  <c r="P457" i="5"/>
  <c r="P458" i="5"/>
  <c r="P459" i="5"/>
  <c r="P460" i="5"/>
  <c r="P461" i="5"/>
  <c r="P462" i="5"/>
  <c r="P463" i="5"/>
  <c r="P465" i="5"/>
  <c r="P468" i="5"/>
  <c r="P469" i="5"/>
  <c r="P470" i="5"/>
  <c r="P471" i="5"/>
  <c r="P476" i="5"/>
  <c r="P477" i="5"/>
  <c r="P478" i="5"/>
  <c r="P480" i="5"/>
  <c r="P481" i="5"/>
  <c r="P482" i="5"/>
  <c r="P483" i="5"/>
  <c r="P484" i="5"/>
  <c r="P485" i="5"/>
  <c r="P487" i="5"/>
  <c r="P489" i="5"/>
  <c r="P490" i="5"/>
  <c r="P491" i="5"/>
  <c r="P493" i="5"/>
  <c r="P494" i="5"/>
  <c r="P495" i="5"/>
  <c r="P496" i="5"/>
  <c r="P497" i="5"/>
  <c r="P498" i="5"/>
  <c r="P499" i="5"/>
  <c r="P500" i="5"/>
  <c r="P501" i="5"/>
  <c r="P502" i="5"/>
  <c r="P503" i="5"/>
  <c r="P504" i="5"/>
  <c r="P506" i="5"/>
  <c r="P508" i="5"/>
  <c r="P509" i="5"/>
  <c r="P510" i="5"/>
  <c r="P511" i="5"/>
  <c r="P512" i="5"/>
  <c r="P514" i="5"/>
  <c r="P515" i="5"/>
  <c r="P516" i="5"/>
  <c r="P517" i="5"/>
  <c r="P518" i="5"/>
  <c r="P520" i="5"/>
  <c r="P521" i="5"/>
  <c r="P523" i="5"/>
  <c r="P524" i="5"/>
  <c r="P525" i="5"/>
  <c r="P526" i="5"/>
  <c r="P527" i="5"/>
  <c r="P528" i="5"/>
  <c r="P529" i="5"/>
  <c r="P530" i="5"/>
  <c r="P531" i="5"/>
  <c r="P532" i="5"/>
  <c r="P533" i="5"/>
  <c r="P536" i="5"/>
  <c r="P537" i="5"/>
  <c r="P538" i="5"/>
  <c r="P539" i="5"/>
  <c r="P540" i="5"/>
  <c r="P541" i="5"/>
  <c r="P542" i="5"/>
  <c r="P543" i="5"/>
  <c r="P545" i="5"/>
  <c r="P546" i="5"/>
  <c r="P547" i="5"/>
  <c r="P548" i="5"/>
  <c r="P549" i="5"/>
  <c r="P552" i="5"/>
  <c r="P554" i="5"/>
  <c r="P555" i="5"/>
  <c r="P556" i="5"/>
  <c r="P557" i="5"/>
  <c r="P558" i="5"/>
  <c r="P559" i="5"/>
  <c r="P561" i="5"/>
  <c r="P562" i="5"/>
  <c r="P564" i="5"/>
  <c r="P565" i="5"/>
  <c r="P566" i="5"/>
  <c r="P567" i="5"/>
  <c r="P568" i="5"/>
  <c r="P569" i="5"/>
  <c r="P570" i="5"/>
  <c r="P571" i="5"/>
  <c r="P573" i="5"/>
  <c r="P575" i="5"/>
  <c r="P576" i="5"/>
  <c r="P578" i="5"/>
  <c r="P579" i="5"/>
  <c r="P580" i="5"/>
  <c r="P581" i="5"/>
  <c r="P582" i="5"/>
  <c r="P583" i="5"/>
  <c r="P585" i="5"/>
  <c r="P586" i="5"/>
  <c r="P587" i="5"/>
  <c r="P588" i="5"/>
  <c r="P589" i="5"/>
  <c r="P591" i="5"/>
  <c r="P592" i="5"/>
  <c r="P595" i="5"/>
  <c r="P596" i="5"/>
  <c r="P597" i="5"/>
  <c r="P598" i="5"/>
  <c r="P600" i="5"/>
  <c r="P601" i="5"/>
  <c r="O2" i="5"/>
  <c r="P2" i="5" s="1"/>
  <c r="O3" i="5"/>
  <c r="P3" i="5" s="1"/>
  <c r="O4" i="5"/>
  <c r="P4" i="5" s="1"/>
  <c r="O26" i="5"/>
  <c r="P26" i="5" s="1"/>
  <c r="O29" i="5"/>
  <c r="P29" i="5" s="1"/>
  <c r="O32" i="5"/>
  <c r="P32" i="5" s="1"/>
  <c r="O39" i="5"/>
  <c r="P39" i="5" s="1"/>
  <c r="O47" i="5"/>
  <c r="P47" i="5" s="1"/>
  <c r="O53" i="5"/>
  <c r="P53" i="5" s="1"/>
  <c r="O60" i="5"/>
  <c r="P60" i="5" s="1"/>
  <c r="O63" i="5"/>
  <c r="P63" i="5" s="1"/>
  <c r="O68" i="5"/>
  <c r="P68" i="5" s="1"/>
  <c r="O74" i="5"/>
  <c r="P74" i="5" s="1"/>
  <c r="O75" i="5"/>
  <c r="P75" i="5" s="1"/>
  <c r="O78" i="5"/>
  <c r="P78" i="5" s="1"/>
  <c r="O83" i="5"/>
  <c r="P83" i="5" s="1"/>
  <c r="O90" i="5"/>
  <c r="P90" i="5" s="1"/>
  <c r="O94" i="5"/>
  <c r="P94" i="5" s="1"/>
  <c r="O96" i="5"/>
  <c r="P96" i="5" s="1"/>
  <c r="O97" i="5"/>
  <c r="P97" i="5" s="1"/>
  <c r="O103" i="5"/>
  <c r="P103" i="5" s="1"/>
  <c r="O104" i="5"/>
  <c r="P104" i="5" s="1"/>
  <c r="O105" i="5"/>
  <c r="P105" i="5" s="1"/>
  <c r="O113" i="5"/>
  <c r="P113" i="5" s="1"/>
  <c r="O116" i="5"/>
  <c r="P116" i="5" s="1"/>
  <c r="O120" i="5"/>
  <c r="P120" i="5" s="1"/>
  <c r="O127" i="5"/>
  <c r="P127" i="5" s="1"/>
  <c r="O135" i="5"/>
  <c r="P135" i="5" s="1"/>
  <c r="O138" i="5"/>
  <c r="P138" i="5" s="1"/>
  <c r="O141" i="5"/>
  <c r="P141" i="5" s="1"/>
  <c r="O142" i="5"/>
  <c r="P142" i="5" s="1"/>
  <c r="O146" i="5"/>
  <c r="P146" i="5" s="1"/>
  <c r="O148" i="5"/>
  <c r="P148" i="5" s="1"/>
  <c r="O158" i="5"/>
  <c r="P158" i="5" s="1"/>
  <c r="O161" i="5"/>
  <c r="P161" i="5" s="1"/>
  <c r="O163" i="5"/>
  <c r="P163" i="5" s="1"/>
  <c r="O165" i="5"/>
  <c r="P165" i="5" s="1"/>
  <c r="O175" i="5"/>
  <c r="P175" i="5" s="1"/>
  <c r="O179" i="5"/>
  <c r="P179" i="5" s="1"/>
  <c r="O181" i="5"/>
  <c r="P181" i="5" s="1"/>
  <c r="O184" i="5"/>
  <c r="P184" i="5" s="1"/>
  <c r="O187" i="5"/>
  <c r="P187" i="5" s="1"/>
  <c r="O190" i="5"/>
  <c r="P190" i="5" s="1"/>
  <c r="O196" i="5"/>
  <c r="P196" i="5" s="1"/>
  <c r="O199" i="5"/>
  <c r="P199" i="5" s="1"/>
  <c r="O201" i="5"/>
  <c r="P201" i="5" s="1"/>
  <c r="O204" i="5"/>
  <c r="P204" i="5" s="1"/>
  <c r="O206" i="5"/>
  <c r="P206" i="5" s="1"/>
  <c r="O211" i="5"/>
  <c r="P211" i="5" s="1"/>
  <c r="O212" i="5"/>
  <c r="P212" i="5" s="1"/>
  <c r="O213" i="5"/>
  <c r="P213" i="5" s="1"/>
  <c r="O218" i="5"/>
  <c r="P218" i="5" s="1"/>
  <c r="O222" i="5"/>
  <c r="P222" i="5" s="1"/>
  <c r="O227" i="5"/>
  <c r="P227" i="5" s="1"/>
  <c r="O230" i="5"/>
  <c r="P230" i="5" s="1"/>
  <c r="O231" i="5"/>
  <c r="P231" i="5" s="1"/>
  <c r="O234" i="5"/>
  <c r="P234" i="5" s="1"/>
  <c r="O242" i="5"/>
  <c r="P242" i="5" s="1"/>
  <c r="O259" i="5"/>
  <c r="P259" i="5" s="1"/>
  <c r="O266" i="5"/>
  <c r="P266" i="5" s="1"/>
  <c r="O270" i="5"/>
  <c r="P270" i="5" s="1"/>
  <c r="O272" i="5"/>
  <c r="P272" i="5" s="1"/>
  <c r="O274" i="5"/>
  <c r="P274" i="5" s="1"/>
  <c r="O279" i="5"/>
  <c r="P279" i="5" s="1"/>
  <c r="O286" i="5"/>
  <c r="P286" i="5" s="1"/>
  <c r="O289" i="5"/>
  <c r="P289" i="5" s="1"/>
  <c r="O290" i="5"/>
  <c r="P290" i="5" s="1"/>
  <c r="O295" i="5"/>
  <c r="P295" i="5" s="1"/>
  <c r="O300" i="5"/>
  <c r="P300" i="5" s="1"/>
  <c r="O305" i="5"/>
  <c r="P305" i="5" s="1"/>
  <c r="O308" i="5"/>
  <c r="P308" i="5" s="1"/>
  <c r="O313" i="5"/>
  <c r="P313" i="5" s="1"/>
  <c r="O316" i="5"/>
  <c r="P316" i="5" s="1"/>
  <c r="O320" i="5"/>
  <c r="P320" i="5" s="1"/>
  <c r="O327" i="5"/>
  <c r="P327" i="5" s="1"/>
  <c r="O330" i="5"/>
  <c r="P330" i="5" s="1"/>
  <c r="O338" i="5"/>
  <c r="P338" i="5" s="1"/>
  <c r="O342" i="5"/>
  <c r="P342" i="5" s="1"/>
  <c r="O343" i="5"/>
  <c r="P343" i="5" s="1"/>
  <c r="O347" i="5"/>
  <c r="P347" i="5" s="1"/>
  <c r="O349" i="5"/>
  <c r="P349" i="5" s="1"/>
  <c r="O350" i="5"/>
  <c r="P350" i="5" s="1"/>
  <c r="O359" i="5"/>
  <c r="P359" i="5" s="1"/>
  <c r="O362" i="5"/>
  <c r="P362" i="5" s="1"/>
  <c r="O368" i="5"/>
  <c r="P368" i="5" s="1"/>
  <c r="O369" i="5"/>
  <c r="P369" i="5" s="1"/>
  <c r="O377" i="5"/>
  <c r="P377" i="5" s="1"/>
  <c r="O382" i="5"/>
  <c r="P382" i="5" s="1"/>
  <c r="O385" i="5"/>
  <c r="P385" i="5" s="1"/>
  <c r="O398" i="5"/>
  <c r="P398" i="5" s="1"/>
  <c r="O407" i="5"/>
  <c r="P407" i="5" s="1"/>
  <c r="O409" i="5"/>
  <c r="P409" i="5" s="1"/>
  <c r="O411" i="5"/>
  <c r="P411" i="5" s="1"/>
  <c r="O416" i="5"/>
  <c r="P416" i="5" s="1"/>
  <c r="O417" i="5"/>
  <c r="P417" i="5" s="1"/>
  <c r="O423" i="5"/>
  <c r="P423" i="5" s="1"/>
  <c r="O426" i="5"/>
  <c r="P426" i="5" s="1"/>
  <c r="O430" i="5"/>
  <c r="P430" i="5" s="1"/>
  <c r="O433" i="5"/>
  <c r="P433" i="5" s="1"/>
  <c r="O437" i="5"/>
  <c r="P437" i="5" s="1"/>
  <c r="O447" i="5"/>
  <c r="P447" i="5" s="1"/>
  <c r="O448" i="5"/>
  <c r="P448" i="5" s="1"/>
  <c r="O453" i="5"/>
  <c r="P453" i="5" s="1"/>
  <c r="O464" i="5"/>
  <c r="P464" i="5" s="1"/>
  <c r="O466" i="5"/>
  <c r="P466" i="5" s="1"/>
  <c r="O467" i="5"/>
  <c r="P467" i="5" s="1"/>
  <c r="O472" i="5"/>
  <c r="P472" i="5" s="1"/>
  <c r="O473" i="5"/>
  <c r="P473" i="5" s="1"/>
  <c r="O474" i="5"/>
  <c r="P474" i="5" s="1"/>
  <c r="O475" i="5"/>
  <c r="P475" i="5" s="1"/>
  <c r="O479" i="5"/>
  <c r="P479" i="5" s="1"/>
  <c r="O486" i="5"/>
  <c r="P486" i="5" s="1"/>
  <c r="O488" i="5"/>
  <c r="P488" i="5" s="1"/>
  <c r="O492" i="5"/>
  <c r="P492" i="5" s="1"/>
  <c r="O505" i="5"/>
  <c r="P505" i="5" s="1"/>
  <c r="O507" i="5"/>
  <c r="P507" i="5" s="1"/>
  <c r="O513" i="5"/>
  <c r="P513" i="5" s="1"/>
  <c r="O519" i="5"/>
  <c r="P519" i="5" s="1"/>
  <c r="O522" i="5"/>
  <c r="P522" i="5" s="1"/>
  <c r="O534" i="5"/>
  <c r="P534" i="5" s="1"/>
  <c r="O535" i="5"/>
  <c r="P535" i="5" s="1"/>
  <c r="O544" i="5"/>
  <c r="P544" i="5" s="1"/>
  <c r="O550" i="5"/>
  <c r="P550" i="5" s="1"/>
  <c r="O551" i="5"/>
  <c r="P551" i="5" s="1"/>
  <c r="O553" i="5"/>
  <c r="P553" i="5" s="1"/>
  <c r="O560" i="5"/>
  <c r="P560" i="5" s="1"/>
  <c r="O563" i="5"/>
  <c r="P563" i="5" s="1"/>
  <c r="O572" i="5"/>
  <c r="P572" i="5" s="1"/>
  <c r="O574" i="5"/>
  <c r="P574" i="5" s="1"/>
  <c r="O577" i="5"/>
  <c r="P577" i="5" s="1"/>
  <c r="O584" i="5"/>
  <c r="P584" i="5" s="1"/>
  <c r="O590" i="5"/>
  <c r="P590" i="5" s="1"/>
  <c r="O593" i="5"/>
  <c r="P593" i="5" s="1"/>
  <c r="O594" i="5"/>
  <c r="P594" i="5" s="1"/>
  <c r="O599" i="5"/>
  <c r="P599" i="5" s="1"/>
  <c r="I601" i="5"/>
  <c r="N601" i="5" s="1"/>
  <c r="I600" i="5"/>
  <c r="N600" i="5" s="1"/>
  <c r="I599" i="5"/>
  <c r="N599" i="5" s="1"/>
  <c r="I598" i="5"/>
  <c r="N598" i="5" s="1"/>
  <c r="I597" i="5"/>
  <c r="N597" i="5" s="1"/>
  <c r="I596" i="5"/>
  <c r="N596" i="5" s="1"/>
  <c r="I595" i="5"/>
  <c r="N595" i="5" s="1"/>
  <c r="I594" i="5"/>
  <c r="N594" i="5" s="1"/>
  <c r="I593" i="5"/>
  <c r="N593" i="5" s="1"/>
  <c r="I592" i="5"/>
  <c r="N592" i="5" s="1"/>
  <c r="I591" i="5"/>
  <c r="N591" i="5" s="1"/>
  <c r="I590" i="5"/>
  <c r="N590" i="5" s="1"/>
  <c r="I589" i="5"/>
  <c r="N589" i="5" s="1"/>
  <c r="I588" i="5"/>
  <c r="N588" i="5" s="1"/>
  <c r="I587" i="5"/>
  <c r="N587" i="5" s="1"/>
  <c r="I586" i="5"/>
  <c r="N586" i="5" s="1"/>
  <c r="I585" i="5"/>
  <c r="N585" i="5" s="1"/>
  <c r="I584" i="5"/>
  <c r="N584" i="5" s="1"/>
  <c r="I583" i="5"/>
  <c r="N583" i="5" s="1"/>
  <c r="I582" i="5"/>
  <c r="N582" i="5" s="1"/>
  <c r="I581" i="5"/>
  <c r="N581" i="5" s="1"/>
  <c r="I580" i="5"/>
  <c r="N580" i="5" s="1"/>
  <c r="I579" i="5"/>
  <c r="N579" i="5" s="1"/>
  <c r="I578" i="5"/>
  <c r="N578" i="5" s="1"/>
  <c r="I577" i="5"/>
  <c r="N577" i="5" s="1"/>
  <c r="I576" i="5"/>
  <c r="N576" i="5" s="1"/>
  <c r="I575" i="5"/>
  <c r="N575" i="5" s="1"/>
  <c r="I574" i="5"/>
  <c r="N574" i="5" s="1"/>
  <c r="I573" i="5"/>
  <c r="N573" i="5" s="1"/>
  <c r="I572" i="5"/>
  <c r="N572" i="5" s="1"/>
  <c r="I571" i="5"/>
  <c r="N571" i="5" s="1"/>
  <c r="I570" i="5"/>
  <c r="N570" i="5" s="1"/>
  <c r="I569" i="5"/>
  <c r="N569" i="5" s="1"/>
  <c r="I568" i="5"/>
  <c r="N568" i="5" s="1"/>
  <c r="I567" i="5"/>
  <c r="N567" i="5" s="1"/>
  <c r="I566" i="5"/>
  <c r="N566" i="5" s="1"/>
  <c r="I565" i="5"/>
  <c r="N565" i="5" s="1"/>
  <c r="I564" i="5"/>
  <c r="N564" i="5" s="1"/>
  <c r="I563" i="5"/>
  <c r="N563" i="5" s="1"/>
  <c r="I562" i="5"/>
  <c r="N562" i="5" s="1"/>
  <c r="I561" i="5"/>
  <c r="N561" i="5" s="1"/>
  <c r="I560" i="5"/>
  <c r="N560" i="5" s="1"/>
  <c r="I559" i="5"/>
  <c r="N559" i="5" s="1"/>
  <c r="I558" i="5"/>
  <c r="N558" i="5" s="1"/>
  <c r="I557" i="5"/>
  <c r="N557" i="5" s="1"/>
  <c r="I556" i="5"/>
  <c r="N556" i="5" s="1"/>
  <c r="I555" i="5"/>
  <c r="N555" i="5" s="1"/>
  <c r="I554" i="5"/>
  <c r="N554" i="5" s="1"/>
  <c r="I553" i="5"/>
  <c r="N553" i="5" s="1"/>
  <c r="I552" i="5"/>
  <c r="N552" i="5" s="1"/>
  <c r="I551" i="5"/>
  <c r="N551" i="5" s="1"/>
  <c r="I550" i="5"/>
  <c r="N550" i="5" s="1"/>
  <c r="I549" i="5"/>
  <c r="N549" i="5" s="1"/>
  <c r="I548" i="5"/>
  <c r="N548" i="5" s="1"/>
  <c r="I547" i="5"/>
  <c r="N547" i="5" s="1"/>
  <c r="I546" i="5"/>
  <c r="N546" i="5" s="1"/>
  <c r="I545" i="5"/>
  <c r="N545" i="5" s="1"/>
  <c r="I544" i="5"/>
  <c r="N544" i="5" s="1"/>
  <c r="I543" i="5"/>
  <c r="N543" i="5" s="1"/>
  <c r="I542" i="5"/>
  <c r="N542" i="5" s="1"/>
  <c r="I541" i="5"/>
  <c r="N541" i="5" s="1"/>
  <c r="I540" i="5"/>
  <c r="N540" i="5" s="1"/>
  <c r="I539" i="5"/>
  <c r="N539" i="5" s="1"/>
  <c r="I538" i="5"/>
  <c r="N538" i="5" s="1"/>
  <c r="I537" i="5"/>
  <c r="N537" i="5" s="1"/>
  <c r="I536" i="5"/>
  <c r="N536" i="5" s="1"/>
  <c r="I535" i="5"/>
  <c r="N535" i="5" s="1"/>
  <c r="I534" i="5"/>
  <c r="N534" i="5" s="1"/>
  <c r="I533" i="5"/>
  <c r="N533" i="5" s="1"/>
  <c r="I532" i="5"/>
  <c r="N532" i="5" s="1"/>
  <c r="I531" i="5"/>
  <c r="N531" i="5" s="1"/>
  <c r="I530" i="5"/>
  <c r="N530" i="5" s="1"/>
  <c r="I529" i="5"/>
  <c r="N529" i="5" s="1"/>
  <c r="I528" i="5"/>
  <c r="N528" i="5" s="1"/>
  <c r="I527" i="5"/>
  <c r="N527" i="5" s="1"/>
  <c r="I526" i="5"/>
  <c r="N526" i="5" s="1"/>
  <c r="I525" i="5"/>
  <c r="N525" i="5" s="1"/>
  <c r="I524" i="5"/>
  <c r="N524" i="5" s="1"/>
  <c r="I523" i="5"/>
  <c r="N523" i="5" s="1"/>
  <c r="I522" i="5"/>
  <c r="N522" i="5" s="1"/>
  <c r="I521" i="5"/>
  <c r="N521" i="5" s="1"/>
  <c r="I520" i="5"/>
  <c r="N520" i="5" s="1"/>
  <c r="I519" i="5"/>
  <c r="N519" i="5" s="1"/>
  <c r="I518" i="5"/>
  <c r="N518" i="5" s="1"/>
  <c r="I517" i="5"/>
  <c r="N517" i="5" s="1"/>
  <c r="I516" i="5"/>
  <c r="N516" i="5" s="1"/>
  <c r="I515" i="5"/>
  <c r="N515" i="5" s="1"/>
  <c r="I514" i="5"/>
  <c r="N514" i="5" s="1"/>
  <c r="I513" i="5"/>
  <c r="N513" i="5" s="1"/>
  <c r="I512" i="5"/>
  <c r="N512" i="5" s="1"/>
  <c r="I511" i="5"/>
  <c r="N511" i="5" s="1"/>
  <c r="I510" i="5"/>
  <c r="N510" i="5" s="1"/>
  <c r="I509" i="5"/>
  <c r="N509" i="5" s="1"/>
  <c r="I508" i="5"/>
  <c r="N508" i="5" s="1"/>
  <c r="I507" i="5"/>
  <c r="N507" i="5" s="1"/>
  <c r="I506" i="5"/>
  <c r="N506" i="5" s="1"/>
  <c r="I505" i="5"/>
  <c r="N505" i="5" s="1"/>
  <c r="I504" i="5"/>
  <c r="N504" i="5" s="1"/>
  <c r="I503" i="5"/>
  <c r="N503" i="5" s="1"/>
  <c r="I502" i="5"/>
  <c r="N502" i="5" s="1"/>
  <c r="I501" i="5"/>
  <c r="N501" i="5" s="1"/>
  <c r="I500" i="5"/>
  <c r="N500" i="5" s="1"/>
  <c r="I499" i="5"/>
  <c r="N499" i="5" s="1"/>
  <c r="I498" i="5"/>
  <c r="N498" i="5" s="1"/>
  <c r="I497" i="5"/>
  <c r="N497" i="5" s="1"/>
  <c r="I496" i="5"/>
  <c r="N496" i="5" s="1"/>
  <c r="I495" i="5"/>
  <c r="N495" i="5" s="1"/>
  <c r="I494" i="5"/>
  <c r="N494" i="5" s="1"/>
  <c r="I493" i="5"/>
  <c r="N493" i="5" s="1"/>
  <c r="I492" i="5"/>
  <c r="N492" i="5" s="1"/>
  <c r="I491" i="5"/>
  <c r="N491" i="5" s="1"/>
  <c r="I490" i="5"/>
  <c r="N490" i="5" s="1"/>
  <c r="I489" i="5"/>
  <c r="N489" i="5" s="1"/>
  <c r="I488" i="5"/>
  <c r="N488" i="5" s="1"/>
  <c r="I487" i="5"/>
  <c r="N487" i="5" s="1"/>
  <c r="I486" i="5"/>
  <c r="N486" i="5" s="1"/>
  <c r="I485" i="5"/>
  <c r="N485" i="5" s="1"/>
  <c r="I484" i="5"/>
  <c r="N484" i="5" s="1"/>
  <c r="I483" i="5"/>
  <c r="N483" i="5" s="1"/>
  <c r="I482" i="5"/>
  <c r="N482" i="5" s="1"/>
  <c r="I481" i="5"/>
  <c r="N481" i="5" s="1"/>
  <c r="I480" i="5"/>
  <c r="N480" i="5" s="1"/>
  <c r="I479" i="5"/>
  <c r="N479" i="5" s="1"/>
  <c r="I478" i="5"/>
  <c r="N478" i="5" s="1"/>
  <c r="I477" i="5"/>
  <c r="N477" i="5" s="1"/>
  <c r="I476" i="5"/>
  <c r="N476" i="5" s="1"/>
  <c r="I475" i="5"/>
  <c r="N475" i="5" s="1"/>
  <c r="I474" i="5"/>
  <c r="N474" i="5" s="1"/>
  <c r="I473" i="5"/>
  <c r="N473" i="5" s="1"/>
  <c r="I472" i="5"/>
  <c r="N472" i="5" s="1"/>
  <c r="I471" i="5"/>
  <c r="N471" i="5" s="1"/>
  <c r="I470" i="5"/>
  <c r="N470" i="5" s="1"/>
  <c r="I469" i="5"/>
  <c r="N469" i="5" s="1"/>
  <c r="I468" i="5"/>
  <c r="N468" i="5" s="1"/>
  <c r="I467" i="5"/>
  <c r="N467" i="5" s="1"/>
  <c r="I466" i="5"/>
  <c r="N466" i="5" s="1"/>
  <c r="I465" i="5"/>
  <c r="N465" i="5" s="1"/>
  <c r="I464" i="5"/>
  <c r="N464" i="5" s="1"/>
  <c r="I463" i="5"/>
  <c r="N463" i="5" s="1"/>
  <c r="I462" i="5"/>
  <c r="N462" i="5" s="1"/>
  <c r="I461" i="5"/>
  <c r="N461" i="5" s="1"/>
  <c r="I460" i="5"/>
  <c r="N460" i="5" s="1"/>
  <c r="I459" i="5"/>
  <c r="N459" i="5" s="1"/>
  <c r="I458" i="5"/>
  <c r="N458" i="5" s="1"/>
  <c r="I457" i="5"/>
  <c r="N457" i="5" s="1"/>
  <c r="I456" i="5"/>
  <c r="N456" i="5" s="1"/>
  <c r="I455" i="5"/>
  <c r="N455" i="5" s="1"/>
  <c r="I454" i="5"/>
  <c r="N454" i="5" s="1"/>
  <c r="I453" i="5"/>
  <c r="N453" i="5" s="1"/>
  <c r="I452" i="5"/>
  <c r="N452" i="5" s="1"/>
  <c r="I451" i="5"/>
  <c r="N451" i="5" s="1"/>
  <c r="I450" i="5"/>
  <c r="N450" i="5" s="1"/>
  <c r="I449" i="5"/>
  <c r="N449" i="5" s="1"/>
  <c r="I448" i="5"/>
  <c r="N448" i="5" s="1"/>
  <c r="I447" i="5"/>
  <c r="N447" i="5" s="1"/>
  <c r="I446" i="5"/>
  <c r="N446" i="5" s="1"/>
  <c r="I445" i="5"/>
  <c r="N445" i="5" s="1"/>
  <c r="I444" i="5"/>
  <c r="N444" i="5" s="1"/>
  <c r="I443" i="5"/>
  <c r="N443" i="5" s="1"/>
  <c r="I442" i="5"/>
  <c r="N442" i="5" s="1"/>
  <c r="I441" i="5"/>
  <c r="N441" i="5" s="1"/>
  <c r="I440" i="5"/>
  <c r="N440" i="5" s="1"/>
  <c r="I439" i="5"/>
  <c r="N439" i="5" s="1"/>
  <c r="I438" i="5"/>
  <c r="N438" i="5" s="1"/>
  <c r="I437" i="5"/>
  <c r="N437" i="5" s="1"/>
  <c r="I436" i="5"/>
  <c r="N436" i="5" s="1"/>
  <c r="I435" i="5"/>
  <c r="N435" i="5" s="1"/>
  <c r="I434" i="5"/>
  <c r="N434" i="5" s="1"/>
  <c r="I433" i="5"/>
  <c r="N433" i="5" s="1"/>
  <c r="I432" i="5"/>
  <c r="N432" i="5" s="1"/>
  <c r="I431" i="5"/>
  <c r="N431" i="5" s="1"/>
  <c r="I430" i="5"/>
  <c r="N430" i="5" s="1"/>
  <c r="I429" i="5"/>
  <c r="N429" i="5" s="1"/>
  <c r="I428" i="5"/>
  <c r="N428" i="5" s="1"/>
  <c r="I427" i="5"/>
  <c r="N427" i="5" s="1"/>
  <c r="I426" i="5"/>
  <c r="N426" i="5" s="1"/>
  <c r="I425" i="5"/>
  <c r="N425" i="5" s="1"/>
  <c r="I424" i="5"/>
  <c r="N424" i="5" s="1"/>
  <c r="I423" i="5"/>
  <c r="N423" i="5" s="1"/>
  <c r="I422" i="5"/>
  <c r="N422" i="5" s="1"/>
  <c r="I421" i="5"/>
  <c r="N421" i="5" s="1"/>
  <c r="I420" i="5"/>
  <c r="N420" i="5" s="1"/>
  <c r="I419" i="5"/>
  <c r="N419" i="5" s="1"/>
  <c r="I418" i="5"/>
  <c r="N418" i="5" s="1"/>
  <c r="I417" i="5"/>
  <c r="N417" i="5" s="1"/>
  <c r="I416" i="5"/>
  <c r="N416" i="5" s="1"/>
  <c r="I415" i="5"/>
  <c r="N415" i="5" s="1"/>
  <c r="I414" i="5"/>
  <c r="N414" i="5" s="1"/>
  <c r="I413" i="5"/>
  <c r="N413" i="5" s="1"/>
  <c r="I412" i="5"/>
  <c r="N412" i="5" s="1"/>
  <c r="I411" i="5"/>
  <c r="N411" i="5" s="1"/>
  <c r="I410" i="5"/>
  <c r="N410" i="5" s="1"/>
  <c r="I409" i="5"/>
  <c r="N409" i="5" s="1"/>
  <c r="I408" i="5"/>
  <c r="N408" i="5" s="1"/>
  <c r="I407" i="5"/>
  <c r="N407" i="5" s="1"/>
  <c r="I406" i="5"/>
  <c r="N406" i="5" s="1"/>
  <c r="I405" i="5"/>
  <c r="N405" i="5" s="1"/>
  <c r="I404" i="5"/>
  <c r="N404" i="5" s="1"/>
  <c r="I403" i="5"/>
  <c r="N403" i="5" s="1"/>
  <c r="I402" i="5"/>
  <c r="N402" i="5" s="1"/>
  <c r="I401" i="5"/>
  <c r="N401" i="5" s="1"/>
  <c r="I400" i="5"/>
  <c r="N400" i="5" s="1"/>
  <c r="I399" i="5"/>
  <c r="N399" i="5" s="1"/>
  <c r="I398" i="5"/>
  <c r="N398" i="5" s="1"/>
  <c r="I397" i="5"/>
  <c r="N397" i="5" s="1"/>
  <c r="I396" i="5"/>
  <c r="N396" i="5" s="1"/>
  <c r="I395" i="5"/>
  <c r="N395" i="5" s="1"/>
  <c r="I394" i="5"/>
  <c r="N394" i="5" s="1"/>
  <c r="I393" i="5"/>
  <c r="N393" i="5" s="1"/>
  <c r="I392" i="5"/>
  <c r="N392" i="5" s="1"/>
  <c r="I391" i="5"/>
  <c r="N391" i="5" s="1"/>
  <c r="I390" i="5"/>
  <c r="N390" i="5" s="1"/>
  <c r="I389" i="5"/>
  <c r="N389" i="5" s="1"/>
  <c r="I388" i="5"/>
  <c r="N388" i="5" s="1"/>
  <c r="I387" i="5"/>
  <c r="N387" i="5" s="1"/>
  <c r="I386" i="5"/>
  <c r="N386" i="5" s="1"/>
  <c r="I385" i="5"/>
  <c r="N385" i="5" s="1"/>
  <c r="I384" i="5"/>
  <c r="N384" i="5" s="1"/>
  <c r="I383" i="5"/>
  <c r="N383" i="5" s="1"/>
  <c r="I382" i="5"/>
  <c r="N382" i="5" s="1"/>
  <c r="I381" i="5"/>
  <c r="N381" i="5" s="1"/>
  <c r="I380" i="5"/>
  <c r="N380" i="5" s="1"/>
  <c r="I379" i="5"/>
  <c r="N379" i="5" s="1"/>
  <c r="I378" i="5"/>
  <c r="N378" i="5" s="1"/>
  <c r="I377" i="5"/>
  <c r="N377" i="5" s="1"/>
  <c r="I376" i="5"/>
  <c r="N376" i="5" s="1"/>
  <c r="I375" i="5"/>
  <c r="N375" i="5" s="1"/>
  <c r="I374" i="5"/>
  <c r="N374" i="5" s="1"/>
  <c r="I373" i="5"/>
  <c r="N373" i="5" s="1"/>
  <c r="I372" i="5"/>
  <c r="N372" i="5" s="1"/>
  <c r="I371" i="5"/>
  <c r="N371" i="5" s="1"/>
  <c r="I370" i="5"/>
  <c r="N370" i="5" s="1"/>
  <c r="I369" i="5"/>
  <c r="N369" i="5" s="1"/>
  <c r="I368" i="5"/>
  <c r="N368" i="5" s="1"/>
  <c r="I367" i="5"/>
  <c r="N367" i="5" s="1"/>
  <c r="I366" i="5"/>
  <c r="N366" i="5" s="1"/>
  <c r="I365" i="5"/>
  <c r="N365" i="5" s="1"/>
  <c r="I364" i="5"/>
  <c r="N364" i="5" s="1"/>
  <c r="I363" i="5"/>
  <c r="N363" i="5" s="1"/>
  <c r="I362" i="5"/>
  <c r="N362" i="5" s="1"/>
  <c r="I361" i="5"/>
  <c r="N361" i="5" s="1"/>
  <c r="I360" i="5"/>
  <c r="N360" i="5" s="1"/>
  <c r="I359" i="5"/>
  <c r="N359" i="5" s="1"/>
  <c r="I358" i="5"/>
  <c r="N358" i="5" s="1"/>
  <c r="I357" i="5"/>
  <c r="N357" i="5" s="1"/>
  <c r="I356" i="5"/>
  <c r="N356" i="5" s="1"/>
  <c r="I355" i="5"/>
  <c r="N355" i="5" s="1"/>
  <c r="I354" i="5"/>
  <c r="N354" i="5" s="1"/>
  <c r="I353" i="5"/>
  <c r="N353" i="5" s="1"/>
  <c r="I352" i="5"/>
  <c r="N352" i="5" s="1"/>
  <c r="I351" i="5"/>
  <c r="N351" i="5" s="1"/>
  <c r="I350" i="5"/>
  <c r="N350" i="5" s="1"/>
  <c r="I349" i="5"/>
  <c r="N349" i="5" s="1"/>
  <c r="I348" i="5"/>
  <c r="N348" i="5" s="1"/>
  <c r="I347" i="5"/>
  <c r="N347" i="5" s="1"/>
  <c r="I346" i="5"/>
  <c r="N346" i="5" s="1"/>
  <c r="I345" i="5"/>
  <c r="N345" i="5" s="1"/>
  <c r="I344" i="5"/>
  <c r="N344" i="5" s="1"/>
  <c r="I343" i="5"/>
  <c r="N343" i="5" s="1"/>
  <c r="I342" i="5"/>
  <c r="N342" i="5" s="1"/>
  <c r="I341" i="5"/>
  <c r="N341" i="5" s="1"/>
  <c r="I340" i="5"/>
  <c r="N340" i="5" s="1"/>
  <c r="I339" i="5"/>
  <c r="N339" i="5" s="1"/>
  <c r="I338" i="5"/>
  <c r="N338" i="5" s="1"/>
  <c r="I337" i="5"/>
  <c r="N337" i="5" s="1"/>
  <c r="I336" i="5"/>
  <c r="N336" i="5" s="1"/>
  <c r="I335" i="5"/>
  <c r="N335" i="5" s="1"/>
  <c r="I334" i="5"/>
  <c r="N334" i="5" s="1"/>
  <c r="I333" i="5"/>
  <c r="N333" i="5" s="1"/>
  <c r="I332" i="5"/>
  <c r="N332" i="5" s="1"/>
  <c r="I331" i="5"/>
  <c r="N331" i="5" s="1"/>
  <c r="I330" i="5"/>
  <c r="N330" i="5" s="1"/>
  <c r="I329" i="5"/>
  <c r="N329" i="5" s="1"/>
  <c r="I328" i="5"/>
  <c r="N328" i="5" s="1"/>
  <c r="I327" i="5"/>
  <c r="N327" i="5" s="1"/>
  <c r="I326" i="5"/>
  <c r="N326" i="5" s="1"/>
  <c r="I325" i="5"/>
  <c r="N325" i="5" s="1"/>
  <c r="I324" i="5"/>
  <c r="N324" i="5" s="1"/>
  <c r="I323" i="5"/>
  <c r="N323" i="5" s="1"/>
  <c r="I322" i="5"/>
  <c r="N322" i="5" s="1"/>
  <c r="I321" i="5"/>
  <c r="N321" i="5" s="1"/>
  <c r="I320" i="5"/>
  <c r="N320" i="5" s="1"/>
  <c r="I319" i="5"/>
  <c r="N319" i="5" s="1"/>
  <c r="I318" i="5"/>
  <c r="N318" i="5" s="1"/>
  <c r="I317" i="5"/>
  <c r="N317" i="5" s="1"/>
  <c r="I316" i="5"/>
  <c r="N316" i="5" s="1"/>
  <c r="I315" i="5"/>
  <c r="N315" i="5" s="1"/>
  <c r="I314" i="5"/>
  <c r="N314" i="5" s="1"/>
  <c r="I313" i="5"/>
  <c r="N313" i="5" s="1"/>
  <c r="I312" i="5"/>
  <c r="N312" i="5" s="1"/>
  <c r="I311" i="5"/>
  <c r="N311" i="5" s="1"/>
  <c r="I310" i="5"/>
  <c r="N310" i="5" s="1"/>
  <c r="I309" i="5"/>
  <c r="N309" i="5" s="1"/>
  <c r="I308" i="5"/>
  <c r="N308" i="5" s="1"/>
  <c r="I307" i="5"/>
  <c r="N307" i="5" s="1"/>
  <c r="I306" i="5"/>
  <c r="N306" i="5" s="1"/>
  <c r="I305" i="5"/>
  <c r="N305" i="5" s="1"/>
  <c r="I304" i="5"/>
  <c r="N304" i="5" s="1"/>
  <c r="I303" i="5"/>
  <c r="N303" i="5" s="1"/>
  <c r="I302" i="5"/>
  <c r="N302" i="5" s="1"/>
  <c r="I301" i="5"/>
  <c r="N301" i="5" s="1"/>
  <c r="I300" i="5"/>
  <c r="N300" i="5" s="1"/>
  <c r="I299" i="5"/>
  <c r="N299" i="5" s="1"/>
  <c r="I298" i="5"/>
  <c r="N298" i="5" s="1"/>
  <c r="I297" i="5"/>
  <c r="N297" i="5" s="1"/>
  <c r="I296" i="5"/>
  <c r="N296" i="5" s="1"/>
  <c r="I295" i="5"/>
  <c r="N295" i="5" s="1"/>
  <c r="I294" i="5"/>
  <c r="N294" i="5" s="1"/>
  <c r="I293" i="5"/>
  <c r="N293" i="5" s="1"/>
  <c r="I292" i="5"/>
  <c r="N292" i="5" s="1"/>
  <c r="I291" i="5"/>
  <c r="N291" i="5" s="1"/>
  <c r="I290" i="5"/>
  <c r="N290" i="5" s="1"/>
  <c r="I289" i="5"/>
  <c r="N289" i="5" s="1"/>
  <c r="I288" i="5"/>
  <c r="N288" i="5" s="1"/>
  <c r="I287" i="5"/>
  <c r="N287" i="5" s="1"/>
  <c r="I286" i="5"/>
  <c r="N286" i="5" s="1"/>
  <c r="I285" i="5"/>
  <c r="N285" i="5" s="1"/>
  <c r="I284" i="5"/>
  <c r="N284" i="5" s="1"/>
  <c r="I283" i="5"/>
  <c r="N283" i="5" s="1"/>
  <c r="I282" i="5"/>
  <c r="N282" i="5" s="1"/>
  <c r="I281" i="5"/>
  <c r="N281" i="5" s="1"/>
  <c r="I280" i="5"/>
  <c r="N280" i="5" s="1"/>
  <c r="I279" i="5"/>
  <c r="N279" i="5" s="1"/>
  <c r="I278" i="5"/>
  <c r="N278" i="5" s="1"/>
  <c r="I277" i="5"/>
  <c r="N277" i="5" s="1"/>
  <c r="I276" i="5"/>
  <c r="N276" i="5" s="1"/>
  <c r="I275" i="5"/>
  <c r="N275" i="5" s="1"/>
  <c r="I274" i="5"/>
  <c r="N274" i="5" s="1"/>
  <c r="I273" i="5"/>
  <c r="N273" i="5" s="1"/>
  <c r="I272" i="5"/>
  <c r="N272" i="5" s="1"/>
  <c r="I271" i="5"/>
  <c r="N271" i="5" s="1"/>
  <c r="I270" i="5"/>
  <c r="N270" i="5" s="1"/>
  <c r="I269" i="5"/>
  <c r="N269" i="5" s="1"/>
  <c r="I268" i="5"/>
  <c r="N268" i="5" s="1"/>
  <c r="I267" i="5"/>
  <c r="N267" i="5" s="1"/>
  <c r="I266" i="5"/>
  <c r="N266" i="5" s="1"/>
  <c r="I265" i="5"/>
  <c r="N265" i="5" s="1"/>
  <c r="I264" i="5"/>
  <c r="N264" i="5" s="1"/>
  <c r="I263" i="5"/>
  <c r="N263" i="5" s="1"/>
  <c r="I262" i="5"/>
  <c r="N262" i="5" s="1"/>
  <c r="I261" i="5"/>
  <c r="N261" i="5" s="1"/>
  <c r="I260" i="5"/>
  <c r="N260" i="5" s="1"/>
  <c r="I259" i="5"/>
  <c r="N259" i="5" s="1"/>
  <c r="I258" i="5"/>
  <c r="N258" i="5" s="1"/>
  <c r="I257" i="5"/>
  <c r="N257" i="5" s="1"/>
  <c r="I256" i="5"/>
  <c r="N256" i="5" s="1"/>
  <c r="I255" i="5"/>
  <c r="N255" i="5" s="1"/>
  <c r="I254" i="5"/>
  <c r="N254" i="5" s="1"/>
  <c r="I253" i="5"/>
  <c r="N253" i="5" s="1"/>
  <c r="I252" i="5"/>
  <c r="N252" i="5" s="1"/>
  <c r="I251" i="5"/>
  <c r="N251" i="5" s="1"/>
  <c r="I250" i="5"/>
  <c r="N250" i="5" s="1"/>
  <c r="I249" i="5"/>
  <c r="N249" i="5" s="1"/>
  <c r="I248" i="5"/>
  <c r="N248" i="5" s="1"/>
  <c r="I247" i="5"/>
  <c r="N247" i="5" s="1"/>
  <c r="I246" i="5"/>
  <c r="N246" i="5" s="1"/>
  <c r="I245" i="5"/>
  <c r="N245" i="5" s="1"/>
  <c r="I244" i="5"/>
  <c r="N244" i="5" s="1"/>
  <c r="I243" i="5"/>
  <c r="N243" i="5" s="1"/>
  <c r="I242" i="5"/>
  <c r="N242" i="5" s="1"/>
  <c r="I241" i="5"/>
  <c r="N241" i="5" s="1"/>
  <c r="I240" i="5"/>
  <c r="N240" i="5" s="1"/>
  <c r="I239" i="5"/>
  <c r="N239" i="5" s="1"/>
  <c r="I238" i="5"/>
  <c r="N238" i="5" s="1"/>
  <c r="I237" i="5"/>
  <c r="N237" i="5" s="1"/>
  <c r="I236" i="5"/>
  <c r="N236" i="5" s="1"/>
  <c r="I235" i="5"/>
  <c r="N235" i="5" s="1"/>
  <c r="I234" i="5"/>
  <c r="N234" i="5" s="1"/>
  <c r="I233" i="5"/>
  <c r="N233" i="5" s="1"/>
  <c r="I232" i="5"/>
  <c r="N232" i="5" s="1"/>
  <c r="I231" i="5"/>
  <c r="N231" i="5" s="1"/>
  <c r="I230" i="5"/>
  <c r="N230" i="5" s="1"/>
  <c r="I229" i="5"/>
  <c r="N229" i="5" s="1"/>
  <c r="I228" i="5"/>
  <c r="N228" i="5" s="1"/>
  <c r="I227" i="5"/>
  <c r="N227" i="5" s="1"/>
  <c r="I226" i="5"/>
  <c r="N226" i="5" s="1"/>
  <c r="I225" i="5"/>
  <c r="N225" i="5" s="1"/>
  <c r="I224" i="5"/>
  <c r="N224" i="5" s="1"/>
  <c r="I223" i="5"/>
  <c r="N223" i="5" s="1"/>
  <c r="I222" i="5"/>
  <c r="N222" i="5" s="1"/>
  <c r="I221" i="5"/>
  <c r="N221" i="5" s="1"/>
  <c r="I220" i="5"/>
  <c r="N220" i="5" s="1"/>
  <c r="I219" i="5"/>
  <c r="N219" i="5" s="1"/>
  <c r="I218" i="5"/>
  <c r="N218" i="5" s="1"/>
  <c r="I217" i="5"/>
  <c r="N217" i="5" s="1"/>
  <c r="I216" i="5"/>
  <c r="N216" i="5" s="1"/>
  <c r="I215" i="5"/>
  <c r="N215" i="5" s="1"/>
  <c r="I214" i="5"/>
  <c r="N214" i="5" s="1"/>
  <c r="I213" i="5"/>
  <c r="N213" i="5" s="1"/>
  <c r="I212" i="5"/>
  <c r="N212" i="5" s="1"/>
  <c r="I211" i="5"/>
  <c r="N211" i="5" s="1"/>
  <c r="I210" i="5"/>
  <c r="N210" i="5" s="1"/>
  <c r="I209" i="5"/>
  <c r="N209" i="5" s="1"/>
  <c r="I208" i="5"/>
  <c r="N208" i="5" s="1"/>
  <c r="I207" i="5"/>
  <c r="N207" i="5" s="1"/>
  <c r="I206" i="5"/>
  <c r="N206" i="5" s="1"/>
  <c r="I205" i="5"/>
  <c r="N205" i="5" s="1"/>
  <c r="I204" i="5"/>
  <c r="N204" i="5" s="1"/>
  <c r="I203" i="5"/>
  <c r="N203" i="5" s="1"/>
  <c r="I202" i="5"/>
  <c r="N202" i="5" s="1"/>
  <c r="I201" i="5"/>
  <c r="N201" i="5" s="1"/>
  <c r="I200" i="5"/>
  <c r="N200" i="5" s="1"/>
  <c r="I199" i="5"/>
  <c r="N199" i="5" s="1"/>
  <c r="I198" i="5"/>
  <c r="N198" i="5" s="1"/>
  <c r="I197" i="5"/>
  <c r="N197" i="5" s="1"/>
  <c r="I196" i="5"/>
  <c r="N196" i="5" s="1"/>
  <c r="I195" i="5"/>
  <c r="N195" i="5" s="1"/>
  <c r="I194" i="5"/>
  <c r="N194" i="5" s="1"/>
  <c r="I193" i="5"/>
  <c r="N193" i="5" s="1"/>
  <c r="I192" i="5"/>
  <c r="N192" i="5" s="1"/>
  <c r="I191" i="5"/>
  <c r="N191" i="5" s="1"/>
  <c r="I190" i="5"/>
  <c r="N190" i="5" s="1"/>
  <c r="I189" i="5"/>
  <c r="N189" i="5" s="1"/>
  <c r="I188" i="5"/>
  <c r="N188" i="5" s="1"/>
  <c r="I187" i="5"/>
  <c r="N187" i="5" s="1"/>
  <c r="I186" i="5"/>
  <c r="N186" i="5" s="1"/>
  <c r="I185" i="5"/>
  <c r="N185" i="5" s="1"/>
  <c r="I184" i="5"/>
  <c r="N184" i="5" s="1"/>
  <c r="I183" i="5"/>
  <c r="N183" i="5" s="1"/>
  <c r="I182" i="5"/>
  <c r="N182" i="5" s="1"/>
  <c r="I181" i="5"/>
  <c r="N181" i="5" s="1"/>
  <c r="I180" i="5"/>
  <c r="N180" i="5" s="1"/>
  <c r="I179" i="5"/>
  <c r="N179" i="5" s="1"/>
  <c r="I178" i="5"/>
  <c r="N178" i="5" s="1"/>
  <c r="I177" i="5"/>
  <c r="N177" i="5" s="1"/>
  <c r="I176" i="5"/>
  <c r="N176" i="5" s="1"/>
  <c r="I175" i="5"/>
  <c r="N175" i="5" s="1"/>
  <c r="I174" i="5"/>
  <c r="N174" i="5" s="1"/>
  <c r="I173" i="5"/>
  <c r="N173" i="5" s="1"/>
  <c r="I172" i="5"/>
  <c r="N172" i="5" s="1"/>
  <c r="I171" i="5"/>
  <c r="N171" i="5" s="1"/>
  <c r="I170" i="5"/>
  <c r="N170" i="5" s="1"/>
  <c r="I169" i="5"/>
  <c r="N169" i="5" s="1"/>
  <c r="I168" i="5"/>
  <c r="N168" i="5" s="1"/>
  <c r="I167" i="5"/>
  <c r="N167" i="5" s="1"/>
  <c r="I166" i="5"/>
  <c r="N166" i="5" s="1"/>
  <c r="I165" i="5"/>
  <c r="N165" i="5" s="1"/>
  <c r="I164" i="5"/>
  <c r="N164" i="5" s="1"/>
  <c r="I163" i="5"/>
  <c r="N163" i="5" s="1"/>
  <c r="I162" i="5"/>
  <c r="N162" i="5" s="1"/>
  <c r="I161" i="5"/>
  <c r="N161" i="5" s="1"/>
  <c r="I160" i="5"/>
  <c r="N160" i="5" s="1"/>
  <c r="I159" i="5"/>
  <c r="N159" i="5" s="1"/>
  <c r="I158" i="5"/>
  <c r="N158" i="5" s="1"/>
  <c r="I157" i="5"/>
  <c r="N157" i="5" s="1"/>
  <c r="I156" i="5"/>
  <c r="N156" i="5" s="1"/>
  <c r="I155" i="5"/>
  <c r="N155" i="5" s="1"/>
  <c r="I154" i="5"/>
  <c r="N154" i="5" s="1"/>
  <c r="I153" i="5"/>
  <c r="N153" i="5" s="1"/>
  <c r="I152" i="5"/>
  <c r="N152" i="5" s="1"/>
  <c r="I151" i="5"/>
  <c r="N151" i="5" s="1"/>
  <c r="I150" i="5"/>
  <c r="N150" i="5" s="1"/>
  <c r="I149" i="5"/>
  <c r="N149" i="5" s="1"/>
  <c r="I148" i="5"/>
  <c r="N148" i="5" s="1"/>
  <c r="I147" i="5"/>
  <c r="N147" i="5" s="1"/>
  <c r="I146" i="5"/>
  <c r="N146" i="5" s="1"/>
  <c r="I145" i="5"/>
  <c r="N145" i="5" s="1"/>
  <c r="I144" i="5"/>
  <c r="N144" i="5" s="1"/>
  <c r="I143" i="5"/>
  <c r="N143" i="5" s="1"/>
  <c r="I142" i="5"/>
  <c r="N142" i="5" s="1"/>
  <c r="I141" i="5"/>
  <c r="N141" i="5" s="1"/>
  <c r="I140" i="5"/>
  <c r="N140" i="5" s="1"/>
  <c r="I139" i="5"/>
  <c r="N139" i="5" s="1"/>
  <c r="I138" i="5"/>
  <c r="N138" i="5" s="1"/>
  <c r="I137" i="5"/>
  <c r="N137" i="5" s="1"/>
  <c r="I136" i="5"/>
  <c r="N136" i="5" s="1"/>
  <c r="I135" i="5"/>
  <c r="N135" i="5" s="1"/>
  <c r="I134" i="5"/>
  <c r="N134" i="5" s="1"/>
  <c r="I133" i="5"/>
  <c r="N133" i="5" s="1"/>
  <c r="I132" i="5"/>
  <c r="N132" i="5" s="1"/>
  <c r="I131" i="5"/>
  <c r="N131" i="5" s="1"/>
  <c r="I130" i="5"/>
  <c r="N130" i="5" s="1"/>
  <c r="I129" i="5"/>
  <c r="N129" i="5" s="1"/>
  <c r="I128" i="5"/>
  <c r="N128" i="5" s="1"/>
  <c r="I127" i="5"/>
  <c r="N127" i="5" s="1"/>
  <c r="I126" i="5"/>
  <c r="N126" i="5" s="1"/>
  <c r="I125" i="5"/>
  <c r="N125" i="5" s="1"/>
  <c r="I124" i="5"/>
  <c r="N124" i="5" s="1"/>
  <c r="I123" i="5"/>
  <c r="N123" i="5" s="1"/>
  <c r="I122" i="5"/>
  <c r="N122" i="5" s="1"/>
  <c r="I121" i="5"/>
  <c r="N121" i="5" s="1"/>
  <c r="I120" i="5"/>
  <c r="N120" i="5" s="1"/>
  <c r="I119" i="5"/>
  <c r="N119" i="5" s="1"/>
  <c r="I118" i="5"/>
  <c r="N118" i="5" s="1"/>
  <c r="I117" i="5"/>
  <c r="N117" i="5" s="1"/>
  <c r="I116" i="5"/>
  <c r="N116" i="5" s="1"/>
  <c r="I115" i="5"/>
  <c r="N115" i="5" s="1"/>
  <c r="I114" i="5"/>
  <c r="N114" i="5" s="1"/>
  <c r="I113" i="5"/>
  <c r="N113" i="5" s="1"/>
  <c r="I112" i="5"/>
  <c r="N112" i="5" s="1"/>
  <c r="I111" i="5"/>
  <c r="N111" i="5" s="1"/>
  <c r="I110" i="5"/>
  <c r="N110" i="5" s="1"/>
  <c r="I109" i="5"/>
  <c r="N109" i="5" s="1"/>
  <c r="I108" i="5"/>
  <c r="N108" i="5" s="1"/>
  <c r="I107" i="5"/>
  <c r="N107" i="5" s="1"/>
  <c r="I106" i="5"/>
  <c r="N106" i="5" s="1"/>
  <c r="I105" i="5"/>
  <c r="N105" i="5" s="1"/>
  <c r="I104" i="5"/>
  <c r="N104" i="5" s="1"/>
  <c r="I103" i="5"/>
  <c r="N103" i="5" s="1"/>
  <c r="I102" i="5"/>
  <c r="N102" i="5" s="1"/>
  <c r="I101" i="5"/>
  <c r="N101" i="5" s="1"/>
  <c r="I100" i="5"/>
  <c r="N100" i="5" s="1"/>
  <c r="I99" i="5"/>
  <c r="N99" i="5" s="1"/>
  <c r="I98" i="5"/>
  <c r="N98" i="5" s="1"/>
  <c r="I97" i="5"/>
  <c r="N97" i="5" s="1"/>
  <c r="I96" i="5"/>
  <c r="N96" i="5" s="1"/>
  <c r="I95" i="5"/>
  <c r="N95" i="5" s="1"/>
  <c r="I94" i="5"/>
  <c r="N94" i="5" s="1"/>
  <c r="I93" i="5"/>
  <c r="N93" i="5" s="1"/>
  <c r="I92" i="5"/>
  <c r="N92" i="5" s="1"/>
  <c r="I91" i="5"/>
  <c r="N91" i="5" s="1"/>
  <c r="I90" i="5"/>
  <c r="N90" i="5" s="1"/>
  <c r="I89" i="5"/>
  <c r="N89" i="5" s="1"/>
  <c r="I88" i="5"/>
  <c r="N88" i="5" s="1"/>
  <c r="I87" i="5"/>
  <c r="N87" i="5" s="1"/>
  <c r="I86" i="5"/>
  <c r="N86" i="5" s="1"/>
  <c r="I85" i="5"/>
  <c r="N85" i="5" s="1"/>
  <c r="I84" i="5"/>
  <c r="N84" i="5" s="1"/>
  <c r="I83" i="5"/>
  <c r="N83" i="5" s="1"/>
  <c r="I82" i="5"/>
  <c r="N82" i="5" s="1"/>
  <c r="I81" i="5"/>
  <c r="N81" i="5" s="1"/>
  <c r="I80" i="5"/>
  <c r="N80" i="5" s="1"/>
  <c r="I79" i="5"/>
  <c r="N79" i="5" s="1"/>
  <c r="I78" i="5"/>
  <c r="N78" i="5" s="1"/>
  <c r="I77" i="5"/>
  <c r="N77" i="5" s="1"/>
  <c r="I76" i="5"/>
  <c r="N76" i="5" s="1"/>
  <c r="I75" i="5"/>
  <c r="N75" i="5" s="1"/>
  <c r="I74" i="5"/>
  <c r="N74" i="5" s="1"/>
  <c r="I73" i="5"/>
  <c r="N73" i="5" s="1"/>
  <c r="I72" i="5"/>
  <c r="N72" i="5" s="1"/>
  <c r="I71" i="5"/>
  <c r="N71" i="5" s="1"/>
  <c r="I70" i="5"/>
  <c r="N70" i="5" s="1"/>
  <c r="I69" i="5"/>
  <c r="N69" i="5" s="1"/>
  <c r="I68" i="5"/>
  <c r="N68" i="5" s="1"/>
  <c r="I67" i="5"/>
  <c r="N67" i="5" s="1"/>
  <c r="I66" i="5"/>
  <c r="N66" i="5" s="1"/>
  <c r="I65" i="5"/>
  <c r="N65" i="5" s="1"/>
  <c r="I64" i="5"/>
  <c r="N64" i="5" s="1"/>
  <c r="I63" i="5"/>
  <c r="N63" i="5" s="1"/>
  <c r="I62" i="5"/>
  <c r="N62" i="5" s="1"/>
  <c r="I61" i="5"/>
  <c r="N61" i="5" s="1"/>
  <c r="I60" i="5"/>
  <c r="N60" i="5" s="1"/>
  <c r="I59" i="5"/>
  <c r="N59" i="5" s="1"/>
  <c r="I58" i="5"/>
  <c r="N58" i="5" s="1"/>
  <c r="I57" i="5"/>
  <c r="N57" i="5" s="1"/>
  <c r="I56" i="5"/>
  <c r="N56" i="5" s="1"/>
  <c r="I55" i="5"/>
  <c r="N55" i="5" s="1"/>
  <c r="I54" i="5"/>
  <c r="N54" i="5" s="1"/>
  <c r="I53" i="5"/>
  <c r="N53" i="5" s="1"/>
  <c r="I52" i="5"/>
  <c r="N52" i="5" s="1"/>
  <c r="I51" i="5"/>
  <c r="N51" i="5" s="1"/>
  <c r="I50" i="5"/>
  <c r="N50" i="5" s="1"/>
  <c r="I49" i="5"/>
  <c r="N49" i="5" s="1"/>
  <c r="I48" i="5"/>
  <c r="N48" i="5" s="1"/>
  <c r="I47" i="5"/>
  <c r="N47" i="5" s="1"/>
  <c r="I46" i="5"/>
  <c r="N46" i="5" s="1"/>
  <c r="I45" i="5"/>
  <c r="N45" i="5" s="1"/>
  <c r="I44" i="5"/>
  <c r="N44" i="5" s="1"/>
  <c r="I43" i="5"/>
  <c r="N43" i="5" s="1"/>
  <c r="I42" i="5"/>
  <c r="N42" i="5" s="1"/>
  <c r="I41" i="5"/>
  <c r="N41" i="5" s="1"/>
  <c r="I40" i="5"/>
  <c r="N40" i="5" s="1"/>
  <c r="I39" i="5"/>
  <c r="N39" i="5" s="1"/>
  <c r="I38" i="5"/>
  <c r="N38" i="5" s="1"/>
  <c r="I37" i="5"/>
  <c r="N37" i="5" s="1"/>
  <c r="I36" i="5"/>
  <c r="N36" i="5" s="1"/>
  <c r="I35" i="5"/>
  <c r="N35" i="5" s="1"/>
  <c r="I34" i="5"/>
  <c r="N34" i="5" s="1"/>
  <c r="I33" i="5"/>
  <c r="N33" i="5" s="1"/>
  <c r="I32" i="5"/>
  <c r="N32" i="5" s="1"/>
  <c r="I31" i="5"/>
  <c r="N31" i="5" s="1"/>
  <c r="I30" i="5"/>
  <c r="N30" i="5" s="1"/>
  <c r="I29" i="5"/>
  <c r="N29" i="5" s="1"/>
  <c r="I28" i="5"/>
  <c r="N28" i="5" s="1"/>
  <c r="I27" i="5"/>
  <c r="N27" i="5" s="1"/>
  <c r="I26" i="5"/>
  <c r="N26" i="5" s="1"/>
  <c r="I25" i="5"/>
  <c r="N25" i="5" s="1"/>
  <c r="I24" i="5"/>
  <c r="N24" i="5" s="1"/>
  <c r="I23" i="5"/>
  <c r="N23" i="5" s="1"/>
  <c r="I22" i="5"/>
  <c r="N22" i="5" s="1"/>
  <c r="I21" i="5"/>
  <c r="N21" i="5" s="1"/>
  <c r="I20" i="5"/>
  <c r="N20" i="5" s="1"/>
  <c r="I19" i="5"/>
  <c r="N19" i="5" s="1"/>
  <c r="I18" i="5"/>
  <c r="N18" i="5" s="1"/>
  <c r="I17" i="5"/>
  <c r="N17" i="5" s="1"/>
  <c r="I16" i="5"/>
  <c r="N16" i="5" s="1"/>
  <c r="I15" i="5"/>
  <c r="N15" i="5" s="1"/>
  <c r="I14" i="5"/>
  <c r="N14" i="5" s="1"/>
  <c r="I13" i="5"/>
  <c r="N13" i="5" s="1"/>
  <c r="I12" i="5"/>
  <c r="N12" i="5" s="1"/>
  <c r="I11" i="5"/>
  <c r="N11" i="5" s="1"/>
  <c r="I10" i="5"/>
  <c r="N10" i="5" s="1"/>
  <c r="I9" i="5"/>
  <c r="N9" i="5" s="1"/>
  <c r="I8" i="5"/>
  <c r="N8" i="5" s="1"/>
  <c r="I7" i="5"/>
  <c r="N7" i="5" s="1"/>
  <c r="I6" i="5"/>
  <c r="N6" i="5" s="1"/>
  <c r="I5" i="5"/>
  <c r="N5" i="5" s="1"/>
  <c r="I4" i="5"/>
  <c r="N4" i="5" s="1"/>
  <c r="I3" i="5"/>
  <c r="N3" i="5" s="1"/>
  <c r="I2" i="5"/>
  <c r="N2" i="5" s="1"/>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2" i="6"/>
  <c r="H218" i="5"/>
  <c r="H233" i="5"/>
  <c r="H273" i="5"/>
  <c r="H393" i="5"/>
  <c r="H29" i="5"/>
  <c r="H207" i="5"/>
  <c r="H223" i="5"/>
  <c r="H228" i="5"/>
  <c r="H245" i="5"/>
  <c r="H255" i="5"/>
  <c r="H261" i="5"/>
  <c r="H271" i="5"/>
  <c r="H279" i="5"/>
  <c r="H288" i="5"/>
  <c r="H304" i="5"/>
  <c r="H320" i="5"/>
  <c r="H352" i="5"/>
  <c r="H376" i="5"/>
  <c r="H392" i="5"/>
  <c r="H409" i="5"/>
  <c r="H439" i="5"/>
  <c r="H477" i="5"/>
  <c r="H483" i="5"/>
  <c r="H496" i="5"/>
  <c r="H505" i="5"/>
  <c r="H512" i="5"/>
  <c r="H521" i="5"/>
  <c r="H536" i="5"/>
  <c r="H541" i="5"/>
  <c r="H550" i="5"/>
  <c r="H556" i="5"/>
  <c r="H565" i="5"/>
  <c r="H569" i="5"/>
  <c r="H585" i="5"/>
  <c r="H600"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2" i="5"/>
  <c r="A566" i="5"/>
  <c r="A567" i="5"/>
  <c r="A568" i="5"/>
  <c r="A569" i="5"/>
  <c r="A570" i="5"/>
  <c r="A571" i="5"/>
  <c r="A572" i="5"/>
  <c r="A573" i="5"/>
  <c r="A574" i="5"/>
  <c r="A575" i="5"/>
  <c r="H575" i="5" s="1"/>
  <c r="A576" i="5"/>
  <c r="H576" i="5" s="1"/>
  <c r="A577" i="5"/>
  <c r="A578" i="5"/>
  <c r="A579" i="5"/>
  <c r="A580" i="5"/>
  <c r="A581" i="5"/>
  <c r="A582" i="5"/>
  <c r="A583" i="5"/>
  <c r="H583" i="5" s="1"/>
  <c r="A584" i="5"/>
  <c r="A585" i="5"/>
  <c r="A586" i="5"/>
  <c r="A587" i="5"/>
  <c r="A588" i="5"/>
  <c r="A589" i="5"/>
  <c r="A590" i="5"/>
  <c r="A591" i="5"/>
  <c r="H591" i="5" s="1"/>
  <c r="A592" i="5"/>
  <c r="H592" i="5" s="1"/>
  <c r="A593" i="5"/>
  <c r="A594" i="5"/>
  <c r="A595" i="5"/>
  <c r="A596" i="5"/>
  <c r="A597" i="5"/>
  <c r="A598" i="5"/>
  <c r="A599" i="5"/>
  <c r="H599" i="5" s="1"/>
  <c r="A600" i="5"/>
  <c r="A601" i="5"/>
  <c r="A467" i="5"/>
  <c r="A468" i="5"/>
  <c r="A469" i="5"/>
  <c r="A470" i="5"/>
  <c r="A471" i="5"/>
  <c r="H471" i="5" s="1"/>
  <c r="A472" i="5"/>
  <c r="A473" i="5"/>
  <c r="H473" i="5" s="1"/>
  <c r="A474" i="5"/>
  <c r="A475" i="5"/>
  <c r="A476" i="5"/>
  <c r="A477" i="5"/>
  <c r="A478" i="5"/>
  <c r="A479" i="5"/>
  <c r="A480" i="5"/>
  <c r="A481" i="5"/>
  <c r="H481" i="5" s="1"/>
  <c r="A482" i="5"/>
  <c r="A483" i="5"/>
  <c r="A484" i="5"/>
  <c r="A485" i="5"/>
  <c r="A486" i="5"/>
  <c r="A487" i="5"/>
  <c r="A488" i="5"/>
  <c r="H488" i="5" s="1"/>
  <c r="A489" i="5"/>
  <c r="A490" i="5"/>
  <c r="A491" i="5"/>
  <c r="A492" i="5"/>
  <c r="H492" i="5" s="1"/>
  <c r="A493" i="5"/>
  <c r="A494" i="5"/>
  <c r="A495" i="5"/>
  <c r="H495" i="5" s="1"/>
  <c r="A496" i="5"/>
  <c r="A497" i="5"/>
  <c r="A498" i="5"/>
  <c r="A499" i="5"/>
  <c r="A500" i="5"/>
  <c r="A501" i="5"/>
  <c r="A502" i="5"/>
  <c r="A503" i="5"/>
  <c r="A504" i="5"/>
  <c r="H504" i="5" s="1"/>
  <c r="A505" i="5"/>
  <c r="A506" i="5"/>
  <c r="A507" i="5"/>
  <c r="A508" i="5"/>
  <c r="A509" i="5"/>
  <c r="A510" i="5"/>
  <c r="A511" i="5"/>
  <c r="H511" i="5" s="1"/>
  <c r="A512" i="5"/>
  <c r="A513" i="5"/>
  <c r="A514" i="5"/>
  <c r="A515" i="5"/>
  <c r="A516" i="5"/>
  <c r="A517" i="5"/>
  <c r="A518" i="5"/>
  <c r="A519" i="5"/>
  <c r="A520" i="5"/>
  <c r="H520" i="5" s="1"/>
  <c r="A521" i="5"/>
  <c r="A522" i="5"/>
  <c r="A523" i="5"/>
  <c r="H523" i="5" s="1"/>
  <c r="A524" i="5"/>
  <c r="A525" i="5"/>
  <c r="A526" i="5"/>
  <c r="A527" i="5"/>
  <c r="A528" i="5"/>
  <c r="A529" i="5"/>
  <c r="A530" i="5"/>
  <c r="A531" i="5"/>
  <c r="A532" i="5"/>
  <c r="A533" i="5"/>
  <c r="A534" i="5"/>
  <c r="A535" i="5"/>
  <c r="A536" i="5"/>
  <c r="A537" i="5"/>
  <c r="H537" i="5" s="1"/>
  <c r="A538" i="5"/>
  <c r="A539" i="5"/>
  <c r="A540" i="5"/>
  <c r="A541" i="5"/>
  <c r="A542" i="5"/>
  <c r="A543" i="5"/>
  <c r="A544" i="5"/>
  <c r="A545" i="5"/>
  <c r="A546" i="5"/>
  <c r="A547" i="5"/>
  <c r="A548" i="5"/>
  <c r="A549" i="5"/>
  <c r="A550" i="5"/>
  <c r="A551" i="5"/>
  <c r="A552" i="5"/>
  <c r="H552" i="5" s="1"/>
  <c r="A553" i="5"/>
  <c r="A554" i="5"/>
  <c r="A555" i="5"/>
  <c r="H555" i="5" s="1"/>
  <c r="A556" i="5"/>
  <c r="A557" i="5"/>
  <c r="A558" i="5"/>
  <c r="A559" i="5"/>
  <c r="A560" i="5"/>
  <c r="A561" i="5"/>
  <c r="A562" i="5"/>
  <c r="A563" i="5"/>
  <c r="A564" i="5"/>
  <c r="A565" i="5"/>
  <c r="A205" i="5"/>
  <c r="A206" i="5"/>
  <c r="A207" i="5"/>
  <c r="A208" i="5"/>
  <c r="H208" i="5" s="1"/>
  <c r="A209" i="5"/>
  <c r="A210" i="5"/>
  <c r="A211" i="5"/>
  <c r="A212" i="5"/>
  <c r="A213" i="5"/>
  <c r="A214" i="5"/>
  <c r="A215" i="5"/>
  <c r="H215" i="5" s="1"/>
  <c r="A216" i="5"/>
  <c r="A217" i="5"/>
  <c r="A218" i="5"/>
  <c r="A219" i="5"/>
  <c r="A220" i="5"/>
  <c r="A221" i="5"/>
  <c r="A222" i="5"/>
  <c r="A223" i="5"/>
  <c r="A224" i="5"/>
  <c r="H224" i="5" s="1"/>
  <c r="A225" i="5"/>
  <c r="A226" i="5"/>
  <c r="A227" i="5"/>
  <c r="A228" i="5"/>
  <c r="A229" i="5"/>
  <c r="A230" i="5"/>
  <c r="A231" i="5"/>
  <c r="H231" i="5" s="1"/>
  <c r="A232" i="5"/>
  <c r="A233" i="5"/>
  <c r="A234" i="5"/>
  <c r="A235" i="5"/>
  <c r="A236" i="5"/>
  <c r="A237" i="5"/>
  <c r="A238" i="5"/>
  <c r="A239" i="5"/>
  <c r="H239" i="5" s="1"/>
  <c r="A240" i="5"/>
  <c r="A241" i="5"/>
  <c r="H241" i="5" s="1"/>
  <c r="A242" i="5"/>
  <c r="A243" i="5"/>
  <c r="A244" i="5"/>
  <c r="A245" i="5"/>
  <c r="A246" i="5"/>
  <c r="A247" i="5"/>
  <c r="H247" i="5" s="1"/>
  <c r="A248" i="5"/>
  <c r="A249" i="5"/>
  <c r="A250" i="5"/>
  <c r="A251" i="5"/>
  <c r="A252" i="5"/>
  <c r="A253" i="5"/>
  <c r="A254" i="5"/>
  <c r="A255" i="5"/>
  <c r="A256" i="5"/>
  <c r="A257" i="5"/>
  <c r="A258" i="5"/>
  <c r="A259" i="5"/>
  <c r="A260" i="5"/>
  <c r="A261" i="5"/>
  <c r="A262" i="5"/>
  <c r="A263" i="5"/>
  <c r="H263" i="5" s="1"/>
  <c r="A264" i="5"/>
  <c r="H264" i="5" s="1"/>
  <c r="A265" i="5"/>
  <c r="H265" i="5" s="1"/>
  <c r="A266" i="5"/>
  <c r="A267" i="5"/>
  <c r="A268" i="5"/>
  <c r="A269" i="5"/>
  <c r="A270" i="5"/>
  <c r="A271" i="5"/>
  <c r="A272" i="5"/>
  <c r="A273" i="5"/>
  <c r="A274" i="5"/>
  <c r="A275" i="5"/>
  <c r="A276" i="5"/>
  <c r="A277" i="5"/>
  <c r="A278" i="5"/>
  <c r="A279" i="5"/>
  <c r="A280" i="5"/>
  <c r="H280" i="5" s="1"/>
  <c r="A281" i="5"/>
  <c r="A282" i="5"/>
  <c r="A283" i="5"/>
  <c r="A284" i="5"/>
  <c r="A285" i="5"/>
  <c r="A286" i="5"/>
  <c r="A287" i="5"/>
  <c r="A288" i="5"/>
  <c r="A289" i="5"/>
  <c r="H289" i="5" s="1"/>
  <c r="A290" i="5"/>
  <c r="A291" i="5"/>
  <c r="A292" i="5"/>
  <c r="A293" i="5"/>
  <c r="A294" i="5"/>
  <c r="A295" i="5"/>
  <c r="H295" i="5" s="1"/>
  <c r="A296" i="5"/>
  <c r="H296" i="5" s="1"/>
  <c r="A297" i="5"/>
  <c r="A298" i="5"/>
  <c r="A299" i="5"/>
  <c r="A300" i="5"/>
  <c r="A301" i="5"/>
  <c r="A302" i="5"/>
  <c r="A303" i="5"/>
  <c r="H303" i="5" s="1"/>
  <c r="A304" i="5"/>
  <c r="A305" i="5"/>
  <c r="A306" i="5"/>
  <c r="A307" i="5"/>
  <c r="A308" i="5"/>
  <c r="A309" i="5"/>
  <c r="A310" i="5"/>
  <c r="A311" i="5"/>
  <c r="A312" i="5"/>
  <c r="A313" i="5"/>
  <c r="A314" i="5"/>
  <c r="A315" i="5"/>
  <c r="A316" i="5"/>
  <c r="A317" i="5"/>
  <c r="A318" i="5"/>
  <c r="A319" i="5"/>
  <c r="A320" i="5"/>
  <c r="A321" i="5"/>
  <c r="A322" i="5"/>
  <c r="A323" i="5"/>
  <c r="A324" i="5"/>
  <c r="A325" i="5"/>
  <c r="A326" i="5"/>
  <c r="A327" i="5"/>
  <c r="H327" i="5" s="1"/>
  <c r="A328" i="5"/>
  <c r="H328" i="5" s="1"/>
  <c r="A329" i="5"/>
  <c r="A330" i="5"/>
  <c r="A331" i="5"/>
  <c r="A332" i="5"/>
  <c r="A333" i="5"/>
  <c r="A334" i="5"/>
  <c r="A335" i="5"/>
  <c r="A336" i="5"/>
  <c r="H336" i="5" s="1"/>
  <c r="A337" i="5"/>
  <c r="A338" i="5"/>
  <c r="A339" i="5"/>
  <c r="A340" i="5"/>
  <c r="A341" i="5"/>
  <c r="A342" i="5"/>
  <c r="A343" i="5"/>
  <c r="H343" i="5" s="1"/>
  <c r="A344" i="5"/>
  <c r="H344" i="5" s="1"/>
  <c r="A345" i="5"/>
  <c r="A346" i="5"/>
  <c r="A347" i="5"/>
  <c r="A348" i="5"/>
  <c r="A349" i="5"/>
  <c r="A350" i="5"/>
  <c r="A351" i="5"/>
  <c r="A352" i="5"/>
  <c r="A353" i="5"/>
  <c r="A354" i="5"/>
  <c r="A355" i="5"/>
  <c r="A356" i="5"/>
  <c r="A357" i="5"/>
  <c r="A358" i="5"/>
  <c r="A359" i="5"/>
  <c r="A360" i="5"/>
  <c r="H360" i="5" s="1"/>
  <c r="A361" i="5"/>
  <c r="A362" i="5"/>
  <c r="A363" i="5"/>
  <c r="A364" i="5"/>
  <c r="A365" i="5"/>
  <c r="A366" i="5"/>
  <c r="A367" i="5"/>
  <c r="A368" i="5"/>
  <c r="A369" i="5"/>
  <c r="A370" i="5"/>
  <c r="A371" i="5"/>
  <c r="A372" i="5"/>
  <c r="A373" i="5"/>
  <c r="A374" i="5"/>
  <c r="A375" i="5"/>
  <c r="A376" i="5"/>
  <c r="A377" i="5"/>
  <c r="A378" i="5"/>
  <c r="A379" i="5"/>
  <c r="A380" i="5"/>
  <c r="A381" i="5"/>
  <c r="A382" i="5"/>
  <c r="A383" i="5"/>
  <c r="H383" i="5" s="1"/>
  <c r="A384" i="5"/>
  <c r="A385" i="5"/>
  <c r="A386" i="5"/>
  <c r="A387" i="5"/>
  <c r="A388" i="5"/>
  <c r="A389" i="5"/>
  <c r="A390" i="5"/>
  <c r="A391" i="5"/>
  <c r="A392" i="5"/>
  <c r="A393" i="5"/>
  <c r="A394" i="5"/>
  <c r="A395" i="5"/>
  <c r="A396" i="5"/>
  <c r="A397" i="5"/>
  <c r="A398" i="5"/>
  <c r="A399" i="5"/>
  <c r="A400" i="5"/>
  <c r="A401" i="5"/>
  <c r="A402" i="5"/>
  <c r="A403" i="5"/>
  <c r="A404" i="5"/>
  <c r="A405" i="5"/>
  <c r="A406" i="5"/>
  <c r="A407" i="5"/>
  <c r="A408" i="5"/>
  <c r="H408" i="5" s="1"/>
  <c r="A409" i="5"/>
  <c r="A410" i="5"/>
  <c r="A411" i="5"/>
  <c r="A412" i="5"/>
  <c r="A413" i="5"/>
  <c r="A414" i="5"/>
  <c r="A415" i="5"/>
  <c r="A416" i="5"/>
  <c r="A417" i="5"/>
  <c r="A418" i="5"/>
  <c r="A419" i="5"/>
  <c r="A420" i="5"/>
  <c r="A421" i="5"/>
  <c r="A422" i="5"/>
  <c r="A423" i="5"/>
  <c r="A424" i="5"/>
  <c r="H424" i="5" s="1"/>
  <c r="A425" i="5"/>
  <c r="A426" i="5"/>
  <c r="A427" i="5"/>
  <c r="A428" i="5"/>
  <c r="A429" i="5"/>
  <c r="A430" i="5"/>
  <c r="A431" i="5"/>
  <c r="A432" i="5"/>
  <c r="A433" i="5"/>
  <c r="A434" i="5"/>
  <c r="A435" i="5"/>
  <c r="A436" i="5"/>
  <c r="A437" i="5"/>
  <c r="A438" i="5"/>
  <c r="A439" i="5"/>
  <c r="A440" i="5"/>
  <c r="A441" i="5"/>
  <c r="A442" i="5"/>
  <c r="A443" i="5"/>
  <c r="A444" i="5"/>
  <c r="A445" i="5"/>
  <c r="A446" i="5"/>
  <c r="A447" i="5"/>
  <c r="A448" i="5"/>
  <c r="A449" i="5"/>
  <c r="H449" i="5" s="1"/>
  <c r="A450" i="5"/>
  <c r="A451" i="5"/>
  <c r="A452" i="5"/>
  <c r="A453" i="5"/>
  <c r="A454" i="5"/>
  <c r="A455" i="5"/>
  <c r="H455" i="5" s="1"/>
  <c r="A456" i="5"/>
  <c r="A457" i="5"/>
  <c r="A458" i="5"/>
  <c r="A459" i="5"/>
  <c r="A460" i="5"/>
  <c r="A461" i="5"/>
  <c r="A462" i="5"/>
  <c r="A463" i="5"/>
  <c r="A464" i="5"/>
  <c r="A465" i="5"/>
  <c r="A466" i="5"/>
  <c r="A3" i="5"/>
  <c r="A4" i="5"/>
  <c r="A5" i="5"/>
  <c r="A6" i="5"/>
  <c r="A7" i="5"/>
  <c r="A8" i="5"/>
  <c r="A9" i="5"/>
  <c r="A10" i="5"/>
  <c r="A11" i="5"/>
  <c r="A12" i="5"/>
  <c r="A13" i="5"/>
  <c r="A14" i="5"/>
  <c r="A15" i="5"/>
  <c r="A16" i="5"/>
  <c r="A17" i="5"/>
  <c r="A18" i="5"/>
  <c r="A19" i="5"/>
  <c r="A20" i="5"/>
  <c r="A21" i="5"/>
  <c r="A22" i="5"/>
  <c r="A23" i="5"/>
  <c r="A24" i="5"/>
  <c r="H24" i="5" s="1"/>
  <c r="A25" i="5"/>
  <c r="A26" i="5"/>
  <c r="A27" i="5"/>
  <c r="A28" i="5"/>
  <c r="A29" i="5"/>
  <c r="A30" i="5"/>
  <c r="A31" i="5"/>
  <c r="A32" i="5"/>
  <c r="A33" i="5"/>
  <c r="A34" i="5"/>
  <c r="A35" i="5"/>
  <c r="A36" i="5"/>
  <c r="A37" i="5"/>
  <c r="A38" i="5"/>
  <c r="A39" i="5"/>
  <c r="A40" i="5"/>
  <c r="H40" i="5" s="1"/>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H71" i="5" s="1"/>
  <c r="A72" i="5"/>
  <c r="A73" i="5"/>
  <c r="A74" i="5"/>
  <c r="A75" i="5"/>
  <c r="A76" i="5"/>
  <c r="A77" i="5"/>
  <c r="A78" i="5"/>
  <c r="A79" i="5"/>
  <c r="A80" i="5"/>
  <c r="A81" i="5"/>
  <c r="A82" i="5"/>
  <c r="A83" i="5"/>
  <c r="A84" i="5"/>
  <c r="A85" i="5"/>
  <c r="A86" i="5"/>
  <c r="A87" i="5"/>
  <c r="H87" i="5" s="1"/>
  <c r="A88" i="5"/>
  <c r="A89" i="5"/>
  <c r="A90" i="5"/>
  <c r="A91" i="5"/>
  <c r="A92" i="5"/>
  <c r="A93" i="5"/>
  <c r="A94" i="5"/>
  <c r="A95" i="5"/>
  <c r="A96" i="5"/>
  <c r="H96" i="5" s="1"/>
  <c r="A97" i="5"/>
  <c r="A98" i="5"/>
  <c r="A99" i="5"/>
  <c r="A100" i="5"/>
  <c r="A101" i="5"/>
  <c r="A102" i="5"/>
  <c r="A103" i="5"/>
  <c r="A104" i="5"/>
  <c r="A105" i="5"/>
  <c r="A106" i="5"/>
  <c r="A107" i="5"/>
  <c r="A108" i="5"/>
  <c r="A109" i="5"/>
  <c r="A110" i="5"/>
  <c r="A111" i="5"/>
  <c r="H111" i="5" s="1"/>
  <c r="A112" i="5"/>
  <c r="A113" i="5"/>
  <c r="A114" i="5"/>
  <c r="A115" i="5"/>
  <c r="A116" i="5"/>
  <c r="A117" i="5"/>
  <c r="A118" i="5"/>
  <c r="A119" i="5"/>
  <c r="A120" i="5"/>
  <c r="A121" i="5"/>
  <c r="A122" i="5"/>
  <c r="A123" i="5"/>
  <c r="A124" i="5"/>
  <c r="A125" i="5"/>
  <c r="A126" i="5"/>
  <c r="A127" i="5"/>
  <c r="H127" i="5" s="1"/>
  <c r="A128" i="5"/>
  <c r="A129" i="5"/>
  <c r="A130" i="5"/>
  <c r="A131" i="5"/>
  <c r="A132" i="5"/>
  <c r="A133" i="5"/>
  <c r="A134" i="5"/>
  <c r="A135" i="5"/>
  <c r="A136" i="5"/>
  <c r="A137" i="5"/>
  <c r="A138" i="5"/>
  <c r="A139" i="5"/>
  <c r="A140" i="5"/>
  <c r="A141" i="5"/>
  <c r="A142" i="5"/>
  <c r="A143" i="5"/>
  <c r="A144" i="5"/>
  <c r="A145" i="5"/>
  <c r="A146" i="5"/>
  <c r="A147" i="5"/>
  <c r="A148" i="5"/>
  <c r="A149" i="5"/>
  <c r="A150" i="5"/>
  <c r="A151" i="5"/>
  <c r="A152" i="5"/>
  <c r="H152" i="5" s="1"/>
  <c r="A153" i="5"/>
  <c r="A154" i="5"/>
  <c r="A155" i="5"/>
  <c r="A156" i="5"/>
  <c r="A157" i="5"/>
  <c r="A158" i="5"/>
  <c r="A159" i="5"/>
  <c r="A160" i="5"/>
  <c r="A161" i="5"/>
  <c r="A162" i="5"/>
  <c r="A163" i="5"/>
  <c r="A164" i="5"/>
  <c r="A165" i="5"/>
  <c r="A166" i="5"/>
  <c r="A167" i="5"/>
  <c r="A168" i="5"/>
  <c r="H168" i="5" s="1"/>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H199" i="5" s="1"/>
  <c r="A200" i="5"/>
  <c r="A201" i="5"/>
  <c r="A202" i="5"/>
  <c r="A203" i="5"/>
  <c r="A204" i="5"/>
  <c r="A2" i="5"/>
  <c r="H2" i="5" s="1"/>
  <c r="H190" i="5" l="1"/>
  <c r="H166" i="5"/>
  <c r="H134" i="5"/>
  <c r="H94" i="5"/>
  <c r="H54" i="5"/>
  <c r="H430" i="5"/>
  <c r="H302" i="5"/>
  <c r="H286" i="5"/>
  <c r="H270" i="5"/>
  <c r="H230" i="5"/>
  <c r="H222" i="5"/>
  <c r="H519" i="5"/>
  <c r="H503" i="5"/>
  <c r="H590" i="5"/>
  <c r="H574" i="5"/>
  <c r="H310" i="5"/>
  <c r="H179" i="5"/>
  <c r="H115" i="5"/>
  <c r="H181" i="5"/>
  <c r="H165" i="5"/>
  <c r="H149" i="5"/>
  <c r="H141" i="5"/>
  <c r="H133" i="5"/>
  <c r="H117" i="5"/>
  <c r="H109" i="5"/>
  <c r="H101" i="5"/>
  <c r="H93" i="5"/>
  <c r="H85" i="5"/>
  <c r="H77" i="5"/>
  <c r="H69" i="5"/>
  <c r="H61" i="5"/>
  <c r="H53" i="5"/>
  <c r="H45" i="5"/>
  <c r="H37" i="5"/>
  <c r="H21" i="5"/>
  <c r="H13" i="5"/>
  <c r="H5" i="5"/>
  <c r="H461" i="5"/>
  <c r="H453" i="5"/>
  <c r="H445" i="5"/>
  <c r="H437" i="5"/>
  <c r="H429" i="5"/>
  <c r="H421" i="5"/>
  <c r="H413" i="5"/>
  <c r="H432" i="5"/>
  <c r="H371" i="5"/>
  <c r="H238" i="5"/>
  <c r="H173" i="5"/>
  <c r="H107" i="5"/>
  <c r="H23" i="5"/>
  <c r="H55" i="5"/>
  <c r="H198" i="5"/>
  <c r="H174" i="5"/>
  <c r="H150" i="5"/>
  <c r="H102" i="5"/>
  <c r="H46" i="5"/>
  <c r="H438" i="5"/>
  <c r="H278" i="5"/>
  <c r="H262" i="5"/>
  <c r="H254" i="5"/>
  <c r="H246" i="5"/>
  <c r="H206" i="5"/>
  <c r="H559" i="5"/>
  <c r="H551" i="5"/>
  <c r="H543" i="5"/>
  <c r="H535" i="5"/>
  <c r="H487" i="5"/>
  <c r="H479" i="5"/>
  <c r="H598" i="5"/>
  <c r="H582" i="5"/>
  <c r="H566" i="5"/>
  <c r="H204" i="5"/>
  <c r="H196" i="5"/>
  <c r="H188" i="5"/>
  <c r="H180" i="5"/>
  <c r="H172" i="5"/>
  <c r="H164" i="5"/>
  <c r="H156" i="5"/>
  <c r="H140" i="5"/>
  <c r="H124" i="5"/>
  <c r="H116" i="5"/>
  <c r="H108" i="5"/>
  <c r="H100" i="5"/>
  <c r="H92" i="5"/>
  <c r="H84" i="5"/>
  <c r="H76" i="5"/>
  <c r="H60" i="5"/>
  <c r="H36" i="5"/>
  <c r="H28" i="5"/>
  <c r="H20" i="5"/>
  <c r="H12" i="5"/>
  <c r="H4" i="5"/>
  <c r="H460" i="5"/>
  <c r="H452" i="5"/>
  <c r="H444" i="5"/>
  <c r="H436" i="5"/>
  <c r="H428" i="5"/>
  <c r="H420" i="5"/>
  <c r="H412" i="5"/>
  <c r="H396" i="5"/>
  <c r="H380" i="5"/>
  <c r="H372" i="5"/>
  <c r="H364" i="5"/>
  <c r="H423" i="5"/>
  <c r="H359" i="5"/>
  <c r="H294" i="5"/>
  <c r="H163" i="5"/>
  <c r="H6" i="5"/>
  <c r="H182" i="5"/>
  <c r="H158" i="5"/>
  <c r="H126" i="5"/>
  <c r="H110" i="5"/>
  <c r="H78" i="5"/>
  <c r="H62" i="5"/>
  <c r="H30" i="5"/>
  <c r="H14" i="5"/>
  <c r="H446" i="5"/>
  <c r="H406" i="5"/>
  <c r="H382" i="5"/>
  <c r="H358" i="5"/>
  <c r="H334" i="5"/>
  <c r="H67" i="5"/>
  <c r="H59" i="5"/>
  <c r="H51" i="5"/>
  <c r="H43" i="5"/>
  <c r="H35" i="5"/>
  <c r="H27" i="5"/>
  <c r="H19" i="5"/>
  <c r="H11" i="5"/>
  <c r="H3" i="5"/>
  <c r="H459" i="5"/>
  <c r="H451" i="5"/>
  <c r="H443" i="5"/>
  <c r="H435" i="5"/>
  <c r="H427" i="5"/>
  <c r="H411" i="5"/>
  <c r="H403" i="5"/>
  <c r="H395" i="5"/>
  <c r="H387" i="5"/>
  <c r="H379" i="5"/>
  <c r="H363" i="5"/>
  <c r="H355" i="5"/>
  <c r="H347" i="5"/>
  <c r="H331" i="5"/>
  <c r="H323" i="5"/>
  <c r="H315" i="5"/>
  <c r="H307" i="5"/>
  <c r="H299" i="5"/>
  <c r="H291" i="5"/>
  <c r="H283" i="5"/>
  <c r="H275" i="5"/>
  <c r="H267" i="5"/>
  <c r="H259" i="5"/>
  <c r="H251" i="5"/>
  <c r="H243" i="5"/>
  <c r="H235" i="5"/>
  <c r="H227" i="5"/>
  <c r="H219" i="5"/>
  <c r="H211" i="5"/>
  <c r="H564" i="5"/>
  <c r="K556" i="5"/>
  <c r="H548" i="5"/>
  <c r="K548" i="5" s="1"/>
  <c r="H540" i="5"/>
  <c r="H532" i="5"/>
  <c r="H524" i="5"/>
  <c r="H516" i="5"/>
  <c r="H508" i="5"/>
  <c r="H500" i="5"/>
  <c r="K492" i="5"/>
  <c r="H484" i="5"/>
  <c r="H476" i="5"/>
  <c r="H587" i="5"/>
  <c r="H571" i="5"/>
  <c r="H595" i="5"/>
  <c r="K595" i="5" s="1"/>
  <c r="H419" i="5"/>
  <c r="H157" i="5"/>
  <c r="H89" i="5"/>
  <c r="H171" i="5"/>
  <c r="H99" i="5"/>
  <c r="H91" i="5"/>
  <c r="H362" i="5"/>
  <c r="H290" i="5"/>
  <c r="H527" i="5"/>
  <c r="H468" i="5"/>
  <c r="H214" i="5"/>
  <c r="H148" i="5"/>
  <c r="H75" i="5"/>
  <c r="H118" i="5"/>
  <c r="H86" i="5"/>
  <c r="H70" i="5"/>
  <c r="H38" i="5"/>
  <c r="H22" i="5"/>
  <c r="H462" i="5"/>
  <c r="H422" i="5"/>
  <c r="H398" i="5"/>
  <c r="H374" i="5"/>
  <c r="H350" i="5"/>
  <c r="H326" i="5"/>
  <c r="H146" i="5"/>
  <c r="H113" i="5"/>
  <c r="H105" i="5"/>
  <c r="H97" i="5"/>
  <c r="H81" i="5"/>
  <c r="H73" i="5"/>
  <c r="H57" i="5"/>
  <c r="H49" i="5"/>
  <c r="H41" i="5"/>
  <c r="H33" i="5"/>
  <c r="H25" i="5"/>
  <c r="H579" i="5"/>
  <c r="H463" i="5"/>
  <c r="H404" i="5"/>
  <c r="H339" i="5"/>
  <c r="H142" i="5"/>
  <c r="H68" i="5"/>
  <c r="H155" i="5"/>
  <c r="H147" i="5"/>
  <c r="H139" i="5"/>
  <c r="H131" i="5"/>
  <c r="H123" i="5"/>
  <c r="H90" i="5"/>
  <c r="H442" i="5"/>
  <c r="H201" i="5"/>
  <c r="H193" i="5"/>
  <c r="H185" i="5"/>
  <c r="H177" i="5"/>
  <c r="H169" i="5"/>
  <c r="H161" i="5"/>
  <c r="H153" i="5"/>
  <c r="H145" i="5"/>
  <c r="H137" i="5"/>
  <c r="H129" i="5"/>
  <c r="H200" i="5"/>
  <c r="H192" i="5"/>
  <c r="H184" i="5"/>
  <c r="H176" i="5"/>
  <c r="K160" i="5"/>
  <c r="Q160" i="5" s="1"/>
  <c r="H160" i="5"/>
  <c r="H144" i="5"/>
  <c r="H136" i="5"/>
  <c r="H128" i="5"/>
  <c r="H120" i="5"/>
  <c r="H112" i="5"/>
  <c r="H104" i="5"/>
  <c r="K96" i="5"/>
  <c r="H88" i="5"/>
  <c r="H80" i="5"/>
  <c r="H72" i="5"/>
  <c r="H64" i="5"/>
  <c r="H56" i="5"/>
  <c r="H48" i="5"/>
  <c r="H32" i="5"/>
  <c r="H16" i="5"/>
  <c r="H8" i="5"/>
  <c r="H464" i="5"/>
  <c r="H456" i="5"/>
  <c r="H440" i="5"/>
  <c r="H454" i="5"/>
  <c r="H197" i="5"/>
  <c r="H132" i="5"/>
  <c r="H52" i="5"/>
  <c r="H121" i="5"/>
  <c r="H414" i="5"/>
  <c r="H390" i="5"/>
  <c r="H366" i="5"/>
  <c r="H342" i="5"/>
  <c r="H318" i="5"/>
  <c r="H203" i="5"/>
  <c r="H195" i="5"/>
  <c r="H187" i="5"/>
  <c r="H83" i="5"/>
  <c r="H162" i="5"/>
  <c r="H191" i="5"/>
  <c r="H183" i="5"/>
  <c r="H175" i="5"/>
  <c r="H167" i="5"/>
  <c r="H159" i="5"/>
  <c r="H151" i="5"/>
  <c r="H143" i="5"/>
  <c r="H135" i="5"/>
  <c r="H119" i="5"/>
  <c r="H103" i="5"/>
  <c r="H95" i="5"/>
  <c r="H79" i="5"/>
  <c r="H63" i="5"/>
  <c r="H47" i="5"/>
  <c r="H39" i="5"/>
  <c r="H31" i="5"/>
  <c r="H15" i="5"/>
  <c r="H7" i="5"/>
  <c r="H447" i="5"/>
  <c r="K439" i="5"/>
  <c r="H431" i="5"/>
  <c r="H415" i="5"/>
  <c r="H407" i="5"/>
  <c r="H399" i="5"/>
  <c r="H391" i="5"/>
  <c r="H375" i="5"/>
  <c r="H367" i="5"/>
  <c r="H351" i="5"/>
  <c r="H335" i="5"/>
  <c r="H319" i="5"/>
  <c r="H311" i="5"/>
  <c r="H448" i="5"/>
  <c r="H388" i="5"/>
  <c r="K388" i="5" s="1"/>
  <c r="H189" i="5"/>
  <c r="H125" i="5"/>
  <c r="H44" i="5"/>
  <c r="H65" i="5"/>
  <c r="H397" i="5"/>
  <c r="H365" i="5"/>
  <c r="H349" i="5"/>
  <c r="H325" i="5"/>
  <c r="H293" i="5"/>
  <c r="H253" i="5"/>
  <c r="K245" i="5"/>
  <c r="Q245" i="5" s="1"/>
  <c r="H221" i="5"/>
  <c r="H213" i="5"/>
  <c r="K550" i="5"/>
  <c r="H534" i="5"/>
  <c r="H526" i="5"/>
  <c r="H502" i="5"/>
  <c r="H470" i="5"/>
  <c r="H589" i="5"/>
  <c r="H581" i="5"/>
  <c r="H597" i="5"/>
  <c r="H568" i="5"/>
  <c r="K568" i="5" s="1"/>
  <c r="H510" i="5"/>
  <c r="H467" i="5"/>
  <c r="H373" i="5"/>
  <c r="H357" i="5"/>
  <c r="H309" i="5"/>
  <c r="H277" i="5"/>
  <c r="H260" i="5"/>
  <c r="H244" i="5"/>
  <c r="K376" i="5"/>
  <c r="H340" i="5"/>
  <c r="H324" i="5"/>
  <c r="H308" i="5"/>
  <c r="H292" i="5"/>
  <c r="H284" i="5"/>
  <c r="H268" i="5"/>
  <c r="H252" i="5"/>
  <c r="H236" i="5"/>
  <c r="H212" i="5"/>
  <c r="K565" i="5"/>
  <c r="H557" i="5"/>
  <c r="K541" i="5"/>
  <c r="H525" i="5"/>
  <c r="H517" i="5"/>
  <c r="H493" i="5"/>
  <c r="K477" i="5"/>
  <c r="H580" i="5"/>
  <c r="H572" i="5"/>
  <c r="H596" i="5"/>
  <c r="H567" i="5"/>
  <c r="H509" i="5"/>
  <c r="H494" i="5"/>
  <c r="H478" i="5"/>
  <c r="H405" i="5"/>
  <c r="H389" i="5"/>
  <c r="H356" i="5"/>
  <c r="H341" i="5"/>
  <c r="H276" i="5"/>
  <c r="H401" i="5"/>
  <c r="H563" i="5"/>
  <c r="K555" i="5"/>
  <c r="H539" i="5"/>
  <c r="K523" i="5"/>
  <c r="H507" i="5"/>
  <c r="H499" i="5"/>
  <c r="K483" i="5"/>
  <c r="Q483" i="5" s="1"/>
  <c r="H475" i="5"/>
  <c r="H594" i="5"/>
  <c r="H577" i="5"/>
  <c r="H549" i="5"/>
  <c r="K549" i="5" s="1"/>
  <c r="H533" i="5"/>
  <c r="H491" i="5"/>
  <c r="H417" i="5"/>
  <c r="H301" i="5"/>
  <c r="H237" i="5"/>
  <c r="H220" i="5"/>
  <c r="H205" i="5"/>
  <c r="H369" i="5"/>
  <c r="H9" i="5"/>
  <c r="H465" i="5"/>
  <c r="K449" i="5"/>
  <c r="H433" i="5"/>
  <c r="H425" i="5"/>
  <c r="H385" i="5"/>
  <c r="H377" i="5"/>
  <c r="H353" i="5"/>
  <c r="H345" i="5"/>
  <c r="H337" i="5"/>
  <c r="H329" i="5"/>
  <c r="H305" i="5"/>
  <c r="H297" i="5"/>
  <c r="K289" i="5"/>
  <c r="Q289" i="5" s="1"/>
  <c r="K273" i="5"/>
  <c r="K265" i="5"/>
  <c r="H257" i="5"/>
  <c r="H249" i="5"/>
  <c r="K241" i="5"/>
  <c r="K233" i="5"/>
  <c r="H225" i="5"/>
  <c r="H209" i="5"/>
  <c r="H593" i="5"/>
  <c r="K585" i="5"/>
  <c r="K569" i="5"/>
  <c r="H560" i="5"/>
  <c r="H547" i="5"/>
  <c r="H518" i="5"/>
  <c r="K518" i="5" s="1"/>
  <c r="H333" i="5"/>
  <c r="H317" i="5"/>
  <c r="H300" i="5"/>
  <c r="H285" i="5"/>
  <c r="H269" i="5"/>
  <c r="H361" i="5"/>
  <c r="H17" i="5"/>
  <c r="H416" i="5"/>
  <c r="H400" i="5"/>
  <c r="K384" i="5"/>
  <c r="H384" i="5"/>
  <c r="H368" i="5"/>
  <c r="K336" i="5"/>
  <c r="H312" i="5"/>
  <c r="H272" i="5"/>
  <c r="H256" i="5"/>
  <c r="H240" i="5"/>
  <c r="H216" i="5"/>
  <c r="K208" i="5"/>
  <c r="H561" i="5"/>
  <c r="H553" i="5"/>
  <c r="K537" i="5"/>
  <c r="H529" i="5"/>
  <c r="H497" i="5"/>
  <c r="H489" i="5"/>
  <c r="K489" i="5" s="1"/>
  <c r="K481" i="5"/>
  <c r="H584" i="5"/>
  <c r="K576" i="5"/>
  <c r="H588" i="5"/>
  <c r="K588" i="5" s="1"/>
  <c r="H545" i="5"/>
  <c r="H531" i="5"/>
  <c r="H515" i="5"/>
  <c r="H501" i="5"/>
  <c r="H486" i="5"/>
  <c r="K486" i="5" s="1"/>
  <c r="H472" i="5"/>
  <c r="H457" i="5"/>
  <c r="H441" i="5"/>
  <c r="H381" i="5"/>
  <c r="H348" i="5"/>
  <c r="H332" i="5"/>
  <c r="H316" i="5"/>
  <c r="H281" i="5"/>
  <c r="H248" i="5"/>
  <c r="H232" i="5"/>
  <c r="H217" i="5"/>
  <c r="H321" i="5"/>
  <c r="H522" i="5"/>
  <c r="H287" i="5"/>
  <c r="H544" i="5"/>
  <c r="H480" i="5"/>
  <c r="H601" i="5"/>
  <c r="H573" i="5"/>
  <c r="K573" i="5" s="1"/>
  <c r="H558" i="5"/>
  <c r="H542" i="5"/>
  <c r="H528" i="5"/>
  <c r="H513" i="5"/>
  <c r="H485" i="5"/>
  <c r="H469" i="5"/>
  <c r="H229" i="5"/>
  <c r="H313" i="5"/>
  <c r="H586" i="5"/>
  <c r="H578" i="5"/>
  <c r="H570" i="5"/>
  <c r="H562" i="5"/>
  <c r="H554" i="5"/>
  <c r="H546" i="5"/>
  <c r="H538" i="5"/>
  <c r="H530" i="5"/>
  <c r="H514" i="5"/>
  <c r="H506" i="5"/>
  <c r="H498" i="5"/>
  <c r="H490" i="5"/>
  <c r="H482" i="5"/>
  <c r="H474" i="5"/>
  <c r="H466" i="5"/>
  <c r="H458" i="5"/>
  <c r="H450" i="5"/>
  <c r="H434" i="5"/>
  <c r="H426" i="5"/>
  <c r="H418" i="5"/>
  <c r="H410" i="5"/>
  <c r="H402" i="5"/>
  <c r="K402" i="5" s="1"/>
  <c r="H394" i="5"/>
  <c r="K394" i="5" s="1"/>
  <c r="H386" i="5"/>
  <c r="H378" i="5"/>
  <c r="H370" i="5"/>
  <c r="H354" i="5"/>
  <c r="H346" i="5"/>
  <c r="K346" i="5" s="1"/>
  <c r="H338" i="5"/>
  <c r="H330" i="5"/>
  <c r="H322" i="5"/>
  <c r="H314" i="5"/>
  <c r="H306" i="5"/>
  <c r="H298" i="5"/>
  <c r="H282" i="5"/>
  <c r="K282" i="5" s="1"/>
  <c r="H274" i="5"/>
  <c r="H266" i="5"/>
  <c r="H258" i="5"/>
  <c r="H250" i="5"/>
  <c r="H242" i="5"/>
  <c r="H234" i="5"/>
  <c r="H226" i="5"/>
  <c r="H210" i="5"/>
  <c r="K210" i="5" s="1"/>
  <c r="H202" i="5"/>
  <c r="H194" i="5"/>
  <c r="H186" i="5"/>
  <c r="H178" i="5"/>
  <c r="H170" i="5"/>
  <c r="H154" i="5"/>
  <c r="H138" i="5"/>
  <c r="H130" i="5"/>
  <c r="H122" i="5"/>
  <c r="H114" i="5"/>
  <c r="H106" i="5"/>
  <c r="H98" i="5"/>
  <c r="H82" i="5"/>
  <c r="H74" i="5"/>
  <c r="H66" i="5"/>
  <c r="H58" i="5"/>
  <c r="H50" i="5"/>
  <c r="H42" i="5"/>
  <c r="H34" i="5"/>
  <c r="H26" i="5"/>
  <c r="H18" i="5"/>
  <c r="H10" i="5"/>
  <c r="K199" i="5"/>
  <c r="K127" i="5"/>
  <c r="K111" i="5"/>
  <c r="K87" i="5"/>
  <c r="K71" i="5"/>
  <c r="K455" i="5"/>
  <c r="K383" i="5"/>
  <c r="K343" i="5"/>
  <c r="K327" i="5"/>
  <c r="K303" i="5"/>
  <c r="Q303" i="5" s="1"/>
  <c r="K295" i="5"/>
  <c r="K279" i="5"/>
  <c r="K271" i="5"/>
  <c r="K263" i="5"/>
  <c r="K255" i="5"/>
  <c r="K247" i="5"/>
  <c r="K239" i="5"/>
  <c r="K231" i="5"/>
  <c r="Q231" i="5" s="1"/>
  <c r="K223" i="5"/>
  <c r="K215" i="5"/>
  <c r="K207" i="5"/>
  <c r="K552" i="5"/>
  <c r="K536" i="5"/>
  <c r="K512" i="5"/>
  <c r="Q512" i="5" s="1"/>
  <c r="K496" i="5"/>
  <c r="K488" i="5"/>
  <c r="K599" i="5"/>
  <c r="K591" i="5"/>
  <c r="K583" i="5"/>
  <c r="K575" i="5"/>
  <c r="Q575" i="5" s="1"/>
  <c r="K495" i="5"/>
  <c r="K2" i="5"/>
  <c r="K29" i="5"/>
  <c r="K5" i="5"/>
  <c r="Q5" i="5" s="1"/>
  <c r="K261" i="5"/>
  <c r="K471" i="5"/>
  <c r="K409" i="5"/>
  <c r="K401" i="5"/>
  <c r="K369" i="5"/>
  <c r="K6" i="5"/>
  <c r="Q6" i="5" s="1"/>
  <c r="K511" i="5"/>
  <c r="K168" i="5"/>
  <c r="K432" i="5"/>
  <c r="K424" i="5"/>
  <c r="K408" i="5"/>
  <c r="K392" i="5"/>
  <c r="K352" i="5"/>
  <c r="K328" i="5"/>
  <c r="K320" i="5"/>
  <c r="K304" i="5"/>
  <c r="Q304" i="5" s="1"/>
  <c r="K296" i="5"/>
  <c r="K288" i="5"/>
  <c r="K280" i="5"/>
  <c r="K264" i="5"/>
  <c r="K228" i="5"/>
  <c r="K600" i="5"/>
  <c r="K218" i="5"/>
  <c r="L280" i="5" l="1"/>
  <c r="Q280" i="5"/>
  <c r="M261" i="5"/>
  <c r="Q261" i="5"/>
  <c r="L591" i="5"/>
  <c r="Q591" i="5"/>
  <c r="M223" i="5"/>
  <c r="Q223" i="5"/>
  <c r="M295" i="5"/>
  <c r="Q295" i="5"/>
  <c r="M71" i="5"/>
  <c r="Q71" i="5"/>
  <c r="M199" i="5"/>
  <c r="Q199" i="5"/>
  <c r="M486" i="5"/>
  <c r="Q486" i="5"/>
  <c r="L233" i="5"/>
  <c r="Q233" i="5"/>
  <c r="L449" i="5"/>
  <c r="Q449" i="5"/>
  <c r="M477" i="5"/>
  <c r="Q477" i="5"/>
  <c r="M556" i="5"/>
  <c r="Q556" i="5"/>
  <c r="M352" i="5"/>
  <c r="Q352" i="5"/>
  <c r="M279" i="5"/>
  <c r="Q279" i="5"/>
  <c r="L384" i="5"/>
  <c r="Q384" i="5"/>
  <c r="M555" i="5"/>
  <c r="Q555" i="5"/>
  <c r="L376" i="5"/>
  <c r="Q376" i="5"/>
  <c r="M439" i="5"/>
  <c r="Q439" i="5"/>
  <c r="M432" i="5"/>
  <c r="Q432" i="5"/>
  <c r="M383" i="5"/>
  <c r="Q383" i="5"/>
  <c r="M548" i="5"/>
  <c r="Q548" i="5"/>
  <c r="M346" i="5"/>
  <c r="Q346" i="5"/>
  <c r="L518" i="5"/>
  <c r="Q518" i="5"/>
  <c r="M218" i="5"/>
  <c r="Q218" i="5"/>
  <c r="L296" i="5"/>
  <c r="Q296" i="5"/>
  <c r="M392" i="5"/>
  <c r="Q392" i="5"/>
  <c r="M536" i="5"/>
  <c r="Q536" i="5"/>
  <c r="M239" i="5"/>
  <c r="Q239" i="5"/>
  <c r="M87" i="5"/>
  <c r="Q87" i="5"/>
  <c r="M210" i="5"/>
  <c r="Q210" i="5"/>
  <c r="M282" i="5"/>
  <c r="Q282" i="5"/>
  <c r="M208" i="5"/>
  <c r="Q208" i="5"/>
  <c r="M568" i="5"/>
  <c r="Q568" i="5"/>
  <c r="M492" i="5"/>
  <c r="Q492" i="5"/>
  <c r="M471" i="5"/>
  <c r="Q471" i="5"/>
  <c r="M247" i="5"/>
  <c r="Q247" i="5"/>
  <c r="M327" i="5"/>
  <c r="Q327" i="5"/>
  <c r="L481" i="5"/>
  <c r="Q481" i="5"/>
  <c r="M541" i="5"/>
  <c r="Q541" i="5"/>
  <c r="M228" i="5"/>
  <c r="Q228" i="5"/>
  <c r="M215" i="5"/>
  <c r="Q215" i="5"/>
  <c r="L273" i="5"/>
  <c r="Q273" i="5"/>
  <c r="M565" i="5"/>
  <c r="Q565" i="5"/>
  <c r="M599" i="5"/>
  <c r="Q599" i="5"/>
  <c r="M511" i="5"/>
  <c r="Q511" i="5"/>
  <c r="L600" i="5"/>
  <c r="Q600" i="5"/>
  <c r="M320" i="5"/>
  <c r="Q320" i="5"/>
  <c r="M408" i="5"/>
  <c r="Q408" i="5"/>
  <c r="L409" i="5"/>
  <c r="Q409" i="5"/>
  <c r="M488" i="5"/>
  <c r="Q488" i="5"/>
  <c r="M552" i="5"/>
  <c r="Q552" i="5"/>
  <c r="M255" i="5"/>
  <c r="Q255" i="5"/>
  <c r="M343" i="5"/>
  <c r="Q343" i="5"/>
  <c r="L489" i="5"/>
  <c r="Q489" i="5"/>
  <c r="L537" i="5"/>
  <c r="Q537" i="5"/>
  <c r="M336" i="5"/>
  <c r="Q336" i="5"/>
  <c r="L569" i="5"/>
  <c r="Q569" i="5"/>
  <c r="M523" i="5"/>
  <c r="Q523" i="5"/>
  <c r="M388" i="5"/>
  <c r="Q388" i="5"/>
  <c r="M495" i="5"/>
  <c r="Q495" i="5"/>
  <c r="L241" i="5"/>
  <c r="Q241" i="5"/>
  <c r="L168" i="5"/>
  <c r="Q168" i="5"/>
  <c r="M29" i="5"/>
  <c r="Q29" i="5"/>
  <c r="M496" i="5"/>
  <c r="Q496" i="5"/>
  <c r="M263" i="5"/>
  <c r="Q263" i="5"/>
  <c r="M111" i="5"/>
  <c r="Q111" i="5"/>
  <c r="M573" i="5"/>
  <c r="Q573" i="5"/>
  <c r="M588" i="5"/>
  <c r="Q588" i="5"/>
  <c r="L585" i="5"/>
  <c r="Q585" i="5"/>
  <c r="M549" i="5"/>
  <c r="Q549" i="5"/>
  <c r="M96" i="5"/>
  <c r="Q96" i="5"/>
  <c r="L583" i="5"/>
  <c r="Q583" i="5"/>
  <c r="M127" i="5"/>
  <c r="Q127" i="5"/>
  <c r="M402" i="5"/>
  <c r="Q402" i="5"/>
  <c r="M550" i="5"/>
  <c r="Q550" i="5"/>
  <c r="M288" i="5"/>
  <c r="Q288" i="5"/>
  <c r="L369" i="5"/>
  <c r="Q369" i="5"/>
  <c r="L401" i="5"/>
  <c r="Q401" i="5"/>
  <c r="M328" i="5"/>
  <c r="Q328" i="5"/>
  <c r="M264" i="5"/>
  <c r="Q264" i="5"/>
  <c r="M424" i="5"/>
  <c r="Q424" i="5"/>
  <c r="M207" i="5"/>
  <c r="Q207" i="5"/>
  <c r="M271" i="5"/>
  <c r="Q271" i="5"/>
  <c r="M455" i="5"/>
  <c r="Q455" i="5"/>
  <c r="M394" i="5"/>
  <c r="Q394" i="5"/>
  <c r="M576" i="5"/>
  <c r="Q576" i="5"/>
  <c r="L265" i="5"/>
  <c r="Q265" i="5"/>
  <c r="M595" i="5"/>
  <c r="Q595" i="5"/>
  <c r="L2" i="5"/>
  <c r="Q2" i="5"/>
  <c r="K563" i="5"/>
  <c r="K530" i="5"/>
  <c r="K508" i="5"/>
  <c r="L508" i="5" s="1"/>
  <c r="K540" i="5"/>
  <c r="Q540" i="5" s="1"/>
  <c r="K499" i="5"/>
  <c r="Q499" i="5" s="1"/>
  <c r="K558" i="5"/>
  <c r="M558" i="5" s="1"/>
  <c r="K593" i="5"/>
  <c r="K311" i="5"/>
  <c r="K161" i="5"/>
  <c r="K564" i="5"/>
  <c r="K458" i="5"/>
  <c r="K322" i="5"/>
  <c r="L322" i="5" s="1"/>
  <c r="K497" i="5"/>
  <c r="K361" i="5"/>
  <c r="K466" i="5"/>
  <c r="K545" i="5"/>
  <c r="K572" i="5"/>
  <c r="K120" i="5"/>
  <c r="M449" i="5"/>
  <c r="K482" i="5"/>
  <c r="K554" i="5"/>
  <c r="K485" i="5"/>
  <c r="K269" i="5"/>
  <c r="K420" i="5"/>
  <c r="K546" i="5"/>
  <c r="K560" i="5"/>
  <c r="K287" i="5"/>
  <c r="K533" i="5"/>
  <c r="Q533" i="5" s="1"/>
  <c r="K448" i="5"/>
  <c r="L448" i="5" s="1"/>
  <c r="K474" i="5"/>
  <c r="K321" i="5"/>
  <c r="K417" i="5"/>
  <c r="L477" i="5"/>
  <c r="K570" i="5"/>
  <c r="L570" i="5" s="1"/>
  <c r="K469" i="5"/>
  <c r="K578" i="5"/>
  <c r="K522" i="5"/>
  <c r="K345" i="5"/>
  <c r="K8" i="5"/>
  <c r="K498" i="5"/>
  <c r="K515" i="5"/>
  <c r="K553" i="5"/>
  <c r="M553" i="5" s="1"/>
  <c r="K205" i="5"/>
  <c r="K539" i="5"/>
  <c r="K298" i="5"/>
  <c r="K514" i="5"/>
  <c r="K561" i="5"/>
  <c r="K357" i="5"/>
  <c r="K589" i="5"/>
  <c r="K502" i="5"/>
  <c r="K404" i="5"/>
  <c r="K285" i="5"/>
  <c r="K507" i="5"/>
  <c r="K500" i="5"/>
  <c r="Q500" i="5" s="1"/>
  <c r="K538" i="5"/>
  <c r="Q538" i="5" s="1"/>
  <c r="K225" i="5"/>
  <c r="K9" i="5"/>
  <c r="Q9" i="5" s="1"/>
  <c r="K510" i="5"/>
  <c r="K7" i="5"/>
  <c r="K584" i="5"/>
  <c r="L584" i="5" s="1"/>
  <c r="K201" i="5"/>
  <c r="Q201" i="5" s="1"/>
  <c r="M489" i="5"/>
  <c r="L595" i="5"/>
  <c r="L394" i="5"/>
  <c r="M376" i="5"/>
  <c r="L573" i="5"/>
  <c r="L568" i="5"/>
  <c r="L336" i="5"/>
  <c r="L549" i="5"/>
  <c r="L541" i="5"/>
  <c r="M518" i="5"/>
  <c r="M483" i="5"/>
  <c r="L483" i="5"/>
  <c r="L120" i="5"/>
  <c r="L289" i="5"/>
  <c r="M289" i="5"/>
  <c r="L160" i="5"/>
  <c r="M160" i="5"/>
  <c r="K557" i="5"/>
  <c r="K581" i="5"/>
  <c r="K422" i="5"/>
  <c r="K596" i="5"/>
  <c r="K372" i="5"/>
  <c r="K58" i="5"/>
  <c r="K130" i="5"/>
  <c r="K426" i="5"/>
  <c r="K312" i="5"/>
  <c r="K4" i="5"/>
  <c r="K181" i="5"/>
  <c r="K542" i="5"/>
  <c r="K413" i="5"/>
  <c r="Q413" i="5" s="1"/>
  <c r="K314" i="5"/>
  <c r="K237" i="5"/>
  <c r="Q237" i="5" s="1"/>
  <c r="K396" i="5"/>
  <c r="Q396" i="5" s="1"/>
  <c r="K229" i="5"/>
  <c r="K494" i="5"/>
  <c r="Q494" i="5" s="1"/>
  <c r="K534" i="5"/>
  <c r="Q534" i="5" s="1"/>
  <c r="K221" i="5"/>
  <c r="Q221" i="5" s="1"/>
  <c r="M273" i="5"/>
  <c r="L563" i="5"/>
  <c r="L589" i="5"/>
  <c r="L565" i="5"/>
  <c r="M546" i="5"/>
  <c r="M265" i="5"/>
  <c r="L402" i="5"/>
  <c r="M233" i="5"/>
  <c r="M569" i="5"/>
  <c r="M585" i="5"/>
  <c r="L492" i="5"/>
  <c r="L548" i="5"/>
  <c r="L87" i="5"/>
  <c r="L588" i="5"/>
  <c r="M161" i="5"/>
  <c r="M384" i="5"/>
  <c r="L346" i="5"/>
  <c r="L388" i="5"/>
  <c r="L96" i="5"/>
  <c r="L271" i="5"/>
  <c r="M241" i="5"/>
  <c r="L486" i="5"/>
  <c r="L228" i="5"/>
  <c r="M231" i="5"/>
  <c r="L231" i="5"/>
  <c r="M303" i="5"/>
  <c r="L303" i="5"/>
  <c r="M304" i="5"/>
  <c r="L304" i="5"/>
  <c r="M575" i="5"/>
  <c r="L575" i="5"/>
  <c r="M512" i="5"/>
  <c r="L512" i="5"/>
  <c r="M280" i="5"/>
  <c r="K601" i="5"/>
  <c r="Q601" i="5" s="1"/>
  <c r="K577" i="5"/>
  <c r="Q577" i="5" s="1"/>
  <c r="M245" i="5"/>
  <c r="L245" i="5"/>
  <c r="L439" i="5"/>
  <c r="M583" i="5"/>
  <c r="L555" i="5"/>
  <c r="K66" i="5"/>
  <c r="Q66" i="5" s="1"/>
  <c r="K138" i="5"/>
  <c r="Q138" i="5" s="1"/>
  <c r="K226" i="5"/>
  <c r="Q226" i="5" s="1"/>
  <c r="K370" i="5"/>
  <c r="Q370" i="5" s="1"/>
  <c r="K434" i="5"/>
  <c r="Q434" i="5" s="1"/>
  <c r="K506" i="5"/>
  <c r="Q506" i="5" s="1"/>
  <c r="K472" i="5"/>
  <c r="Q472" i="5" s="1"/>
  <c r="K433" i="5"/>
  <c r="Q433" i="5" s="1"/>
  <c r="M2" i="5"/>
  <c r="L408" i="5"/>
  <c r="K354" i="5"/>
  <c r="Q354" i="5" s="1"/>
  <c r="L261" i="5"/>
  <c r="L560" i="5"/>
  <c r="L71" i="5"/>
  <c r="L327" i="5"/>
  <c r="L320" i="5"/>
  <c r="L328" i="5"/>
  <c r="L127" i="5"/>
  <c r="K400" i="5"/>
  <c r="Q400" i="5" s="1"/>
  <c r="M401" i="5"/>
  <c r="L536" i="5"/>
  <c r="L343" i="5"/>
  <c r="L576" i="5"/>
  <c r="L295" i="5"/>
  <c r="M591" i="5"/>
  <c r="M168" i="5"/>
  <c r="L111" i="5"/>
  <c r="L223" i="5"/>
  <c r="K18" i="5"/>
  <c r="Q18" i="5" s="1"/>
  <c r="K82" i="5"/>
  <c r="Q82" i="5" s="1"/>
  <c r="K170" i="5"/>
  <c r="Q170" i="5" s="1"/>
  <c r="K242" i="5"/>
  <c r="Q242" i="5" s="1"/>
  <c r="K386" i="5"/>
  <c r="Q386" i="5" s="1"/>
  <c r="K480" i="5"/>
  <c r="Q480" i="5" s="1"/>
  <c r="K89" i="5"/>
  <c r="Q89" i="5" s="1"/>
  <c r="M409" i="5"/>
  <c r="M537" i="5"/>
  <c r="L239" i="5"/>
  <c r="L523" i="5"/>
  <c r="L218" i="5"/>
  <c r="L496" i="5"/>
  <c r="L552" i="5"/>
  <c r="L29" i="5"/>
  <c r="M296" i="5"/>
  <c r="L392" i="5"/>
  <c r="L210" i="5"/>
  <c r="L255" i="5"/>
  <c r="K26" i="5"/>
  <c r="Q26" i="5" s="1"/>
  <c r="K98" i="5"/>
  <c r="Q98" i="5" s="1"/>
  <c r="K178" i="5"/>
  <c r="Q178" i="5" s="1"/>
  <c r="K250" i="5"/>
  <c r="Q250" i="5" s="1"/>
  <c r="K528" i="5"/>
  <c r="Q528" i="5" s="1"/>
  <c r="K520" i="5"/>
  <c r="Q520" i="5" s="1"/>
  <c r="K332" i="5"/>
  <c r="Q332" i="5" s="1"/>
  <c r="K592" i="5"/>
  <c r="Q592" i="5" s="1"/>
  <c r="K216" i="5"/>
  <c r="Q216" i="5" s="1"/>
  <c r="K256" i="5"/>
  <c r="Q256" i="5" s="1"/>
  <c r="M481" i="5"/>
  <c r="L550" i="5"/>
  <c r="L511" i="5"/>
  <c r="L207" i="5"/>
  <c r="L247" i="5"/>
  <c r="L279" i="5"/>
  <c r="M600" i="5"/>
  <c r="L599" i="5"/>
  <c r="L488" i="5"/>
  <c r="L264" i="5"/>
  <c r="K34" i="5"/>
  <c r="Q34" i="5" s="1"/>
  <c r="K106" i="5"/>
  <c r="Q106" i="5" s="1"/>
  <c r="K186" i="5"/>
  <c r="Q186" i="5" s="1"/>
  <c r="K258" i="5"/>
  <c r="Q258" i="5" s="1"/>
  <c r="K330" i="5"/>
  <c r="Q330" i="5" s="1"/>
  <c r="K348" i="5"/>
  <c r="Q348" i="5" s="1"/>
  <c r="K368" i="5"/>
  <c r="Q368" i="5" s="1"/>
  <c r="L471" i="5"/>
  <c r="L215" i="5"/>
  <c r="L288" i="5"/>
  <c r="L424" i="5"/>
  <c r="L352" i="5"/>
  <c r="L495" i="5"/>
  <c r="L383" i="5"/>
  <c r="K42" i="5"/>
  <c r="Q42" i="5" s="1"/>
  <c r="K114" i="5"/>
  <c r="Q114" i="5" s="1"/>
  <c r="K194" i="5"/>
  <c r="Q194" i="5" s="1"/>
  <c r="K266" i="5"/>
  <c r="Q266" i="5" s="1"/>
  <c r="K338" i="5"/>
  <c r="Q338" i="5" s="1"/>
  <c r="K410" i="5"/>
  <c r="Q410" i="5" s="1"/>
  <c r="K344" i="5"/>
  <c r="Q344" i="5" s="1"/>
  <c r="K544" i="5"/>
  <c r="Q544" i="5" s="1"/>
  <c r="K121" i="5"/>
  <c r="Q121" i="5" s="1"/>
  <c r="M369" i="5"/>
  <c r="L282" i="5"/>
  <c r="L455" i="5"/>
  <c r="L199" i="5"/>
  <c r="L263" i="5"/>
  <c r="L208" i="5"/>
  <c r="L432" i="5"/>
  <c r="L556" i="5"/>
  <c r="K50" i="5"/>
  <c r="Q50" i="5" s="1"/>
  <c r="K122" i="5"/>
  <c r="Q122" i="5" s="1"/>
  <c r="K313" i="5"/>
  <c r="Q313" i="5" s="1"/>
  <c r="K217" i="5"/>
  <c r="Q217" i="5" s="1"/>
  <c r="K441" i="5"/>
  <c r="Q441" i="5" s="1"/>
  <c r="K17" i="5"/>
  <c r="Q17" i="5" s="1"/>
  <c r="K236" i="5"/>
  <c r="Q236" i="5" s="1"/>
  <c r="K292" i="5"/>
  <c r="Q292" i="5" s="1"/>
  <c r="K365" i="5"/>
  <c r="Q365" i="5" s="1"/>
  <c r="K65" i="5"/>
  <c r="Q65" i="5" s="1"/>
  <c r="K47" i="5"/>
  <c r="Q47" i="5" s="1"/>
  <c r="K95" i="5"/>
  <c r="Q95" i="5" s="1"/>
  <c r="K167" i="5"/>
  <c r="Q167" i="5" s="1"/>
  <c r="K162" i="5"/>
  <c r="Q162" i="5" s="1"/>
  <c r="K88" i="5"/>
  <c r="Q88" i="5" s="1"/>
  <c r="K339" i="5"/>
  <c r="Q339" i="5" s="1"/>
  <c r="K41" i="5"/>
  <c r="Q41" i="5" s="1"/>
  <c r="K105" i="5"/>
  <c r="Q105" i="5" s="1"/>
  <c r="K326" i="5"/>
  <c r="Q326" i="5" s="1"/>
  <c r="K527" i="5"/>
  <c r="Q527" i="5" s="1"/>
  <c r="K443" i="5"/>
  <c r="Q443" i="5" s="1"/>
  <c r="K35" i="5"/>
  <c r="Q35" i="5" s="1"/>
  <c r="K67" i="5"/>
  <c r="Q67" i="5" s="1"/>
  <c r="K126" i="5"/>
  <c r="Q126" i="5" s="1"/>
  <c r="K436" i="5"/>
  <c r="Q436" i="5" s="1"/>
  <c r="K582" i="5"/>
  <c r="Q582" i="5" s="1"/>
  <c r="K559" i="5"/>
  <c r="Q559" i="5" s="1"/>
  <c r="K262" i="5"/>
  <c r="Q262" i="5" s="1"/>
  <c r="K102" i="5"/>
  <c r="Q102" i="5" s="1"/>
  <c r="K152" i="5"/>
  <c r="Q152" i="5" s="1"/>
  <c r="K371" i="5"/>
  <c r="Q371" i="5" s="1"/>
  <c r="K61" i="5"/>
  <c r="Q61" i="5" s="1"/>
  <c r="K115" i="5"/>
  <c r="Q115" i="5" s="1"/>
  <c r="K166" i="5"/>
  <c r="Q166" i="5" s="1"/>
  <c r="K202" i="5"/>
  <c r="Q202" i="5" s="1"/>
  <c r="K274" i="5"/>
  <c r="Q274" i="5" s="1"/>
  <c r="K418" i="5"/>
  <c r="Q418" i="5" s="1"/>
  <c r="K490" i="5"/>
  <c r="Q490" i="5" s="1"/>
  <c r="K562" i="5"/>
  <c r="Q562" i="5" s="1"/>
  <c r="K316" i="5"/>
  <c r="Q316" i="5" s="1"/>
  <c r="K501" i="5"/>
  <c r="Q501" i="5" s="1"/>
  <c r="K521" i="5"/>
  <c r="Q521" i="5" s="1"/>
  <c r="K353" i="5"/>
  <c r="Q353" i="5" s="1"/>
  <c r="K393" i="5"/>
  <c r="Q393" i="5" s="1"/>
  <c r="K220" i="5"/>
  <c r="Q220" i="5" s="1"/>
  <c r="K475" i="5"/>
  <c r="Q475" i="5" s="1"/>
  <c r="K531" i="5"/>
  <c r="Q531" i="5" s="1"/>
  <c r="K509" i="5"/>
  <c r="Q509" i="5" s="1"/>
  <c r="K580" i="5"/>
  <c r="Q580" i="5" s="1"/>
  <c r="K308" i="5"/>
  <c r="Q308" i="5" s="1"/>
  <c r="K373" i="5"/>
  <c r="Q373" i="5" s="1"/>
  <c r="K253" i="5"/>
  <c r="Q253" i="5" s="1"/>
  <c r="K325" i="5"/>
  <c r="Q325" i="5" s="1"/>
  <c r="K44" i="5"/>
  <c r="Q44" i="5" s="1"/>
  <c r="K367" i="5"/>
  <c r="Q367" i="5" s="1"/>
  <c r="K399" i="5"/>
  <c r="Q399" i="5" s="1"/>
  <c r="K15" i="5"/>
  <c r="Q15" i="5" s="1"/>
  <c r="K63" i="5"/>
  <c r="Q63" i="5" s="1"/>
  <c r="K103" i="5"/>
  <c r="Q103" i="5" s="1"/>
  <c r="K143" i="5"/>
  <c r="Q143" i="5" s="1"/>
  <c r="K175" i="5"/>
  <c r="Q175" i="5" s="1"/>
  <c r="K203" i="5"/>
  <c r="Q203" i="5" s="1"/>
  <c r="K390" i="5"/>
  <c r="Q390" i="5" s="1"/>
  <c r="K52" i="5"/>
  <c r="Q52" i="5" s="1"/>
  <c r="K16" i="5"/>
  <c r="Q16" i="5" s="1"/>
  <c r="K137" i="5"/>
  <c r="Q137" i="5" s="1"/>
  <c r="K193" i="5"/>
  <c r="Q193" i="5" s="1"/>
  <c r="K123" i="5"/>
  <c r="Q123" i="5" s="1"/>
  <c r="K155" i="5"/>
  <c r="Q155" i="5" s="1"/>
  <c r="K81" i="5"/>
  <c r="Q81" i="5" s="1"/>
  <c r="K70" i="5"/>
  <c r="Q70" i="5" s="1"/>
  <c r="K99" i="5"/>
  <c r="Q99" i="5" s="1"/>
  <c r="K157" i="5"/>
  <c r="Q157" i="5" s="1"/>
  <c r="K579" i="5"/>
  <c r="Q579" i="5" s="1"/>
  <c r="K516" i="5"/>
  <c r="Q516" i="5" s="1"/>
  <c r="K235" i="5"/>
  <c r="Q235" i="5" s="1"/>
  <c r="K267" i="5"/>
  <c r="Q267" i="5" s="1"/>
  <c r="K299" i="5"/>
  <c r="Q299" i="5" s="1"/>
  <c r="K331" i="5"/>
  <c r="Q331" i="5" s="1"/>
  <c r="K379" i="5"/>
  <c r="Q379" i="5" s="1"/>
  <c r="K411" i="5"/>
  <c r="Q411" i="5" s="1"/>
  <c r="K451" i="5"/>
  <c r="Q451" i="5" s="1"/>
  <c r="K406" i="5"/>
  <c r="Q406" i="5" s="1"/>
  <c r="K364" i="5"/>
  <c r="Q364" i="5" s="1"/>
  <c r="K36" i="5"/>
  <c r="Q36" i="5" s="1"/>
  <c r="K172" i="5"/>
  <c r="Q172" i="5" s="1"/>
  <c r="K204" i="5"/>
  <c r="Q204" i="5" s="1"/>
  <c r="K429" i="5"/>
  <c r="Q429" i="5" s="1"/>
  <c r="K461" i="5"/>
  <c r="Q461" i="5" s="1"/>
  <c r="K37" i="5"/>
  <c r="Q37" i="5" s="1"/>
  <c r="K93" i="5"/>
  <c r="Q93" i="5" s="1"/>
  <c r="K165" i="5"/>
  <c r="Q165" i="5" s="1"/>
  <c r="K179" i="5"/>
  <c r="Q179" i="5" s="1"/>
  <c r="K270" i="5"/>
  <c r="Q270" i="5" s="1"/>
  <c r="K329" i="5"/>
  <c r="Q329" i="5" s="1"/>
  <c r="K276" i="5"/>
  <c r="Q276" i="5" s="1"/>
  <c r="K567" i="5"/>
  <c r="Q567" i="5" s="1"/>
  <c r="K252" i="5"/>
  <c r="Q252" i="5" s="1"/>
  <c r="K504" i="5"/>
  <c r="Q504" i="5" s="1"/>
  <c r="K467" i="5"/>
  <c r="Q467" i="5" s="1"/>
  <c r="K397" i="5"/>
  <c r="Q397" i="5" s="1"/>
  <c r="K125" i="5"/>
  <c r="Q125" i="5" s="1"/>
  <c r="K319" i="5"/>
  <c r="Q319" i="5" s="1"/>
  <c r="K83" i="5"/>
  <c r="Q83" i="5" s="1"/>
  <c r="K318" i="5"/>
  <c r="Q318" i="5" s="1"/>
  <c r="K132" i="5"/>
  <c r="Q132" i="5" s="1"/>
  <c r="K456" i="5"/>
  <c r="Q456" i="5" s="1"/>
  <c r="K463" i="5"/>
  <c r="Q463" i="5" s="1"/>
  <c r="K49" i="5"/>
  <c r="Q49" i="5" s="1"/>
  <c r="K113" i="5"/>
  <c r="Q113" i="5" s="1"/>
  <c r="K350" i="5"/>
  <c r="Q350" i="5" s="1"/>
  <c r="K75" i="5"/>
  <c r="Q75" i="5" s="1"/>
  <c r="K476" i="5"/>
  <c r="Q476" i="5" s="1"/>
  <c r="K11" i="5"/>
  <c r="Q11" i="5" s="1"/>
  <c r="K334" i="5"/>
  <c r="Q334" i="5" s="1"/>
  <c r="K62" i="5"/>
  <c r="Q62" i="5" s="1"/>
  <c r="K158" i="5"/>
  <c r="Q158" i="5" s="1"/>
  <c r="K163" i="5"/>
  <c r="Q163" i="5" s="1"/>
  <c r="K92" i="5"/>
  <c r="Q92" i="5" s="1"/>
  <c r="K124" i="5"/>
  <c r="Q124" i="5" s="1"/>
  <c r="K598" i="5"/>
  <c r="Q598" i="5" s="1"/>
  <c r="K206" i="5"/>
  <c r="Q206" i="5" s="1"/>
  <c r="K278" i="5"/>
  <c r="Q278" i="5" s="1"/>
  <c r="K150" i="5"/>
  <c r="Q150" i="5" s="1"/>
  <c r="K69" i="5"/>
  <c r="Q69" i="5" s="1"/>
  <c r="K133" i="5"/>
  <c r="Q133" i="5" s="1"/>
  <c r="K310" i="5"/>
  <c r="Q310" i="5" s="1"/>
  <c r="K503" i="5"/>
  <c r="Q503" i="5" s="1"/>
  <c r="K54" i="5"/>
  <c r="Q54" i="5" s="1"/>
  <c r="K190" i="5"/>
  <c r="Q190" i="5" s="1"/>
  <c r="K209" i="5"/>
  <c r="Q209" i="5" s="1"/>
  <c r="K297" i="5"/>
  <c r="Q297" i="5" s="1"/>
  <c r="K232" i="5"/>
  <c r="Q232" i="5" s="1"/>
  <c r="K301" i="5"/>
  <c r="Q301" i="5" s="1"/>
  <c r="K341" i="5"/>
  <c r="Q341" i="5" s="1"/>
  <c r="K189" i="5"/>
  <c r="Q189" i="5" s="1"/>
  <c r="K183" i="5"/>
  <c r="Q183" i="5" s="1"/>
  <c r="K414" i="5"/>
  <c r="Q414" i="5" s="1"/>
  <c r="K197" i="5"/>
  <c r="Q197" i="5" s="1"/>
  <c r="K32" i="5"/>
  <c r="Q32" i="5" s="1"/>
  <c r="K64" i="5"/>
  <c r="Q64" i="5" s="1"/>
  <c r="K192" i="5"/>
  <c r="Q192" i="5" s="1"/>
  <c r="K145" i="5"/>
  <c r="Q145" i="5" s="1"/>
  <c r="K169" i="5"/>
  <c r="Q169" i="5" s="1"/>
  <c r="K131" i="5"/>
  <c r="Q131" i="5" s="1"/>
  <c r="K462" i="5"/>
  <c r="Q462" i="5" s="1"/>
  <c r="K86" i="5"/>
  <c r="Q86" i="5" s="1"/>
  <c r="K148" i="5"/>
  <c r="Q148" i="5" s="1"/>
  <c r="K419" i="5"/>
  <c r="Q419" i="5" s="1"/>
  <c r="K587" i="5"/>
  <c r="Q587" i="5" s="1"/>
  <c r="K524" i="5"/>
  <c r="Q524" i="5" s="1"/>
  <c r="K211" i="5"/>
  <c r="Q211" i="5" s="1"/>
  <c r="K243" i="5"/>
  <c r="Q243" i="5" s="1"/>
  <c r="K275" i="5"/>
  <c r="Q275" i="5" s="1"/>
  <c r="K307" i="5"/>
  <c r="Q307" i="5" s="1"/>
  <c r="K347" i="5"/>
  <c r="Q347" i="5" s="1"/>
  <c r="K387" i="5"/>
  <c r="Q387" i="5" s="1"/>
  <c r="K427" i="5"/>
  <c r="Q427" i="5" s="1"/>
  <c r="K459" i="5"/>
  <c r="Q459" i="5" s="1"/>
  <c r="K19" i="5"/>
  <c r="Q19" i="5" s="1"/>
  <c r="K43" i="5"/>
  <c r="Q43" i="5" s="1"/>
  <c r="K446" i="5"/>
  <c r="Q446" i="5" s="1"/>
  <c r="K444" i="5"/>
  <c r="Q444" i="5" s="1"/>
  <c r="K12" i="5"/>
  <c r="Q12" i="5" s="1"/>
  <c r="K100" i="5"/>
  <c r="Q100" i="5" s="1"/>
  <c r="K535" i="5"/>
  <c r="Q535" i="5" s="1"/>
  <c r="K55" i="5"/>
  <c r="Q55" i="5" s="1"/>
  <c r="K437" i="5"/>
  <c r="Q437" i="5" s="1"/>
  <c r="K45" i="5"/>
  <c r="Q45" i="5" s="1"/>
  <c r="K101" i="5"/>
  <c r="Q101" i="5" s="1"/>
  <c r="K519" i="5"/>
  <c r="Q519" i="5" s="1"/>
  <c r="K286" i="5"/>
  <c r="Q286" i="5" s="1"/>
  <c r="K10" i="5"/>
  <c r="Q10" i="5" s="1"/>
  <c r="K74" i="5"/>
  <c r="Q74" i="5" s="1"/>
  <c r="K154" i="5"/>
  <c r="Q154" i="5" s="1"/>
  <c r="K234" i="5"/>
  <c r="Q234" i="5" s="1"/>
  <c r="K306" i="5"/>
  <c r="Q306" i="5" s="1"/>
  <c r="K378" i="5"/>
  <c r="Q378" i="5" s="1"/>
  <c r="K450" i="5"/>
  <c r="Q450" i="5" s="1"/>
  <c r="K586" i="5"/>
  <c r="Q586" i="5" s="1"/>
  <c r="K381" i="5"/>
  <c r="Q381" i="5" s="1"/>
  <c r="K473" i="5"/>
  <c r="Q473" i="5" s="1"/>
  <c r="K529" i="5"/>
  <c r="Q529" i="5" s="1"/>
  <c r="K224" i="5"/>
  <c r="Q224" i="5" s="1"/>
  <c r="K272" i="5"/>
  <c r="Q272" i="5" s="1"/>
  <c r="K300" i="5"/>
  <c r="Q300" i="5" s="1"/>
  <c r="K337" i="5"/>
  <c r="Q337" i="5" s="1"/>
  <c r="K457" i="5"/>
  <c r="Q457" i="5" s="1"/>
  <c r="K360" i="5"/>
  <c r="Q360" i="5" s="1"/>
  <c r="K356" i="5"/>
  <c r="Q356" i="5" s="1"/>
  <c r="K517" i="5"/>
  <c r="Q517" i="5" s="1"/>
  <c r="K268" i="5"/>
  <c r="Q268" i="5" s="1"/>
  <c r="K324" i="5"/>
  <c r="Q324" i="5" s="1"/>
  <c r="K244" i="5"/>
  <c r="Q244" i="5" s="1"/>
  <c r="K349" i="5"/>
  <c r="Q349" i="5" s="1"/>
  <c r="K24" i="5"/>
  <c r="Q24" i="5" s="1"/>
  <c r="K375" i="5"/>
  <c r="Q375" i="5" s="1"/>
  <c r="K407" i="5"/>
  <c r="Q407" i="5" s="1"/>
  <c r="K31" i="5"/>
  <c r="Q31" i="5" s="1"/>
  <c r="K151" i="5"/>
  <c r="Q151" i="5" s="1"/>
  <c r="K187" i="5"/>
  <c r="Q187" i="5" s="1"/>
  <c r="K342" i="5"/>
  <c r="Q342" i="5" s="1"/>
  <c r="K128" i="5"/>
  <c r="Q128" i="5" s="1"/>
  <c r="K200" i="5"/>
  <c r="Q200" i="5" s="1"/>
  <c r="K68" i="5"/>
  <c r="Q68" i="5" s="1"/>
  <c r="K25" i="5"/>
  <c r="Q25" i="5" s="1"/>
  <c r="K57" i="5"/>
  <c r="Q57" i="5" s="1"/>
  <c r="K374" i="5"/>
  <c r="Q374" i="5" s="1"/>
  <c r="K214" i="5"/>
  <c r="Q214" i="5" s="1"/>
  <c r="K290" i="5"/>
  <c r="Q290" i="5" s="1"/>
  <c r="K171" i="5"/>
  <c r="Q171" i="5" s="1"/>
  <c r="K51" i="5"/>
  <c r="Q51" i="5" s="1"/>
  <c r="K358" i="5"/>
  <c r="Q358" i="5" s="1"/>
  <c r="K78" i="5"/>
  <c r="Q78" i="5" s="1"/>
  <c r="K182" i="5"/>
  <c r="Q182" i="5" s="1"/>
  <c r="K294" i="5"/>
  <c r="Q294" i="5" s="1"/>
  <c r="K60" i="5"/>
  <c r="Q60" i="5" s="1"/>
  <c r="K140" i="5"/>
  <c r="Q140" i="5" s="1"/>
  <c r="K180" i="5"/>
  <c r="Q180" i="5" s="1"/>
  <c r="K246" i="5"/>
  <c r="Q246" i="5" s="1"/>
  <c r="K438" i="5"/>
  <c r="Q438" i="5" s="1"/>
  <c r="K174" i="5"/>
  <c r="Q174" i="5" s="1"/>
  <c r="K23" i="5"/>
  <c r="Q23" i="5" s="1"/>
  <c r="K77" i="5"/>
  <c r="Q77" i="5" s="1"/>
  <c r="K141" i="5"/>
  <c r="Q141" i="5" s="1"/>
  <c r="K574" i="5"/>
  <c r="Q574" i="5" s="1"/>
  <c r="K94" i="5"/>
  <c r="Q94" i="5" s="1"/>
  <c r="K505" i="5"/>
  <c r="Q505" i="5" s="1"/>
  <c r="K416" i="5"/>
  <c r="Q416" i="5" s="1"/>
  <c r="K317" i="5"/>
  <c r="Q317" i="5" s="1"/>
  <c r="K249" i="5"/>
  <c r="Q249" i="5" s="1"/>
  <c r="K377" i="5"/>
  <c r="Q377" i="5" s="1"/>
  <c r="K491" i="5"/>
  <c r="Q491" i="5" s="1"/>
  <c r="K594" i="5"/>
  <c r="Q594" i="5" s="1"/>
  <c r="K389" i="5"/>
  <c r="Q389" i="5" s="1"/>
  <c r="K493" i="5"/>
  <c r="Q493" i="5" s="1"/>
  <c r="K340" i="5"/>
  <c r="Q340" i="5" s="1"/>
  <c r="K260" i="5"/>
  <c r="Q260" i="5" s="1"/>
  <c r="K597" i="5"/>
  <c r="Q597" i="5" s="1"/>
  <c r="K213" i="5"/>
  <c r="Q213" i="5" s="1"/>
  <c r="K335" i="5"/>
  <c r="Q335" i="5" s="1"/>
  <c r="K447" i="5"/>
  <c r="Q447" i="5" s="1"/>
  <c r="K79" i="5"/>
  <c r="Q79" i="5" s="1"/>
  <c r="K119" i="5"/>
  <c r="Q119" i="5" s="1"/>
  <c r="K40" i="5"/>
  <c r="Q40" i="5" s="1"/>
  <c r="K454" i="5"/>
  <c r="Q454" i="5" s="1"/>
  <c r="K440" i="5"/>
  <c r="Q440" i="5" s="1"/>
  <c r="K464" i="5"/>
  <c r="Q464" i="5" s="1"/>
  <c r="K72" i="5"/>
  <c r="Q72" i="5" s="1"/>
  <c r="K104" i="5"/>
  <c r="Q104" i="5" s="1"/>
  <c r="K177" i="5"/>
  <c r="Q177" i="5" s="1"/>
  <c r="K442" i="5"/>
  <c r="Q442" i="5" s="1"/>
  <c r="K139" i="5"/>
  <c r="Q139" i="5" s="1"/>
  <c r="K142" i="5"/>
  <c r="Q142" i="5" s="1"/>
  <c r="K97" i="5"/>
  <c r="Q97" i="5" s="1"/>
  <c r="K22" i="5"/>
  <c r="Q22" i="5" s="1"/>
  <c r="K118" i="5"/>
  <c r="Q118" i="5" s="1"/>
  <c r="K484" i="5"/>
  <c r="Q484" i="5" s="1"/>
  <c r="K219" i="5"/>
  <c r="Q219" i="5" s="1"/>
  <c r="K251" i="5"/>
  <c r="Q251" i="5" s="1"/>
  <c r="K355" i="5"/>
  <c r="Q355" i="5" s="1"/>
  <c r="K395" i="5"/>
  <c r="Q395" i="5" s="1"/>
  <c r="K435" i="5"/>
  <c r="Q435" i="5" s="1"/>
  <c r="K3" i="5"/>
  <c r="K27" i="5"/>
  <c r="Q27" i="5" s="1"/>
  <c r="K14" i="5"/>
  <c r="Q14" i="5" s="1"/>
  <c r="K359" i="5"/>
  <c r="Q359" i="5" s="1"/>
  <c r="K428" i="5"/>
  <c r="Q428" i="5" s="1"/>
  <c r="K452" i="5"/>
  <c r="Q452" i="5" s="1"/>
  <c r="K20" i="5"/>
  <c r="Q20" i="5" s="1"/>
  <c r="K156" i="5"/>
  <c r="Q156" i="5" s="1"/>
  <c r="K188" i="5"/>
  <c r="Q188" i="5" s="1"/>
  <c r="K479" i="5"/>
  <c r="Q479" i="5" s="1"/>
  <c r="K543" i="5"/>
  <c r="Q543" i="5" s="1"/>
  <c r="K107" i="5"/>
  <c r="Q107" i="5" s="1"/>
  <c r="K445" i="5"/>
  <c r="Q445" i="5" s="1"/>
  <c r="K13" i="5"/>
  <c r="Q13" i="5" s="1"/>
  <c r="K53" i="5"/>
  <c r="Q53" i="5" s="1"/>
  <c r="K109" i="5"/>
  <c r="Q109" i="5" s="1"/>
  <c r="K222" i="5"/>
  <c r="Q222" i="5" s="1"/>
  <c r="K302" i="5"/>
  <c r="Q302" i="5" s="1"/>
  <c r="K333" i="5"/>
  <c r="Q333" i="5" s="1"/>
  <c r="K281" i="5"/>
  <c r="Q281" i="5" s="1"/>
  <c r="K305" i="5"/>
  <c r="Q305" i="5" s="1"/>
  <c r="K385" i="5"/>
  <c r="Q385" i="5" s="1"/>
  <c r="K425" i="5"/>
  <c r="Q425" i="5" s="1"/>
  <c r="K547" i="5"/>
  <c r="Q547" i="5" s="1"/>
  <c r="K405" i="5"/>
  <c r="Q405" i="5" s="1"/>
  <c r="K212" i="5"/>
  <c r="Q212" i="5" s="1"/>
  <c r="K284" i="5"/>
  <c r="Q284" i="5" s="1"/>
  <c r="K277" i="5"/>
  <c r="Q277" i="5" s="1"/>
  <c r="K415" i="5"/>
  <c r="Q415" i="5" s="1"/>
  <c r="K39" i="5"/>
  <c r="Q39" i="5" s="1"/>
  <c r="K159" i="5"/>
  <c r="Q159" i="5" s="1"/>
  <c r="K191" i="5"/>
  <c r="Q191" i="5" s="1"/>
  <c r="K195" i="5"/>
  <c r="Q195" i="5" s="1"/>
  <c r="K366" i="5"/>
  <c r="Q366" i="5" s="1"/>
  <c r="K48" i="5"/>
  <c r="Q48" i="5" s="1"/>
  <c r="K136" i="5"/>
  <c r="Q136" i="5" s="1"/>
  <c r="K176" i="5"/>
  <c r="Q176" i="5" s="1"/>
  <c r="K153" i="5"/>
  <c r="Q153" i="5" s="1"/>
  <c r="K33" i="5"/>
  <c r="Q33" i="5" s="1"/>
  <c r="K146" i="5"/>
  <c r="Q146" i="5" s="1"/>
  <c r="K398" i="5"/>
  <c r="Q398" i="5" s="1"/>
  <c r="K571" i="5"/>
  <c r="Q571" i="5" s="1"/>
  <c r="K532" i="5"/>
  <c r="Q532" i="5" s="1"/>
  <c r="K283" i="5"/>
  <c r="Q283" i="5" s="1"/>
  <c r="K315" i="5"/>
  <c r="Q315" i="5" s="1"/>
  <c r="K59" i="5"/>
  <c r="Q59" i="5" s="1"/>
  <c r="K110" i="5"/>
  <c r="Q110" i="5" s="1"/>
  <c r="K423" i="5"/>
  <c r="Q423" i="5" s="1"/>
  <c r="K460" i="5"/>
  <c r="Q460" i="5" s="1"/>
  <c r="K76" i="5"/>
  <c r="Q76" i="5" s="1"/>
  <c r="K108" i="5"/>
  <c r="Q108" i="5" s="1"/>
  <c r="K566" i="5"/>
  <c r="Q566" i="5" s="1"/>
  <c r="K487" i="5"/>
  <c r="Q487" i="5" s="1"/>
  <c r="K254" i="5"/>
  <c r="Q254" i="5" s="1"/>
  <c r="K46" i="5"/>
  <c r="Q46" i="5" s="1"/>
  <c r="K198" i="5"/>
  <c r="Q198" i="5" s="1"/>
  <c r="K173" i="5"/>
  <c r="Q173" i="5" s="1"/>
  <c r="K421" i="5"/>
  <c r="Q421" i="5" s="1"/>
  <c r="K590" i="5"/>
  <c r="Q590" i="5" s="1"/>
  <c r="K134" i="5"/>
  <c r="Q134" i="5" s="1"/>
  <c r="K513" i="5"/>
  <c r="Q513" i="5" s="1"/>
  <c r="K240" i="5"/>
  <c r="Q240" i="5" s="1"/>
  <c r="K257" i="5"/>
  <c r="Q257" i="5" s="1"/>
  <c r="K465" i="5"/>
  <c r="Q465" i="5" s="1"/>
  <c r="K478" i="5"/>
  <c r="Q478" i="5" s="1"/>
  <c r="K525" i="5"/>
  <c r="Q525" i="5" s="1"/>
  <c r="K248" i="5"/>
  <c r="Q248" i="5" s="1"/>
  <c r="K309" i="5"/>
  <c r="Q309" i="5" s="1"/>
  <c r="K470" i="5"/>
  <c r="Q470" i="5" s="1"/>
  <c r="K526" i="5"/>
  <c r="Q526" i="5" s="1"/>
  <c r="K293" i="5"/>
  <c r="Q293" i="5" s="1"/>
  <c r="K351" i="5"/>
  <c r="Q351" i="5" s="1"/>
  <c r="K391" i="5"/>
  <c r="Q391" i="5" s="1"/>
  <c r="K431" i="5"/>
  <c r="Q431" i="5" s="1"/>
  <c r="K135" i="5"/>
  <c r="Q135" i="5" s="1"/>
  <c r="K56" i="5"/>
  <c r="Q56" i="5" s="1"/>
  <c r="K80" i="5"/>
  <c r="Q80" i="5" s="1"/>
  <c r="K112" i="5"/>
  <c r="Q112" i="5" s="1"/>
  <c r="K144" i="5"/>
  <c r="Q144" i="5" s="1"/>
  <c r="K184" i="5"/>
  <c r="Q184" i="5" s="1"/>
  <c r="K129" i="5"/>
  <c r="Q129" i="5" s="1"/>
  <c r="K185" i="5"/>
  <c r="Q185" i="5" s="1"/>
  <c r="K90" i="5"/>
  <c r="Q90" i="5" s="1"/>
  <c r="K147" i="5"/>
  <c r="Q147" i="5" s="1"/>
  <c r="K73" i="5"/>
  <c r="Q73" i="5" s="1"/>
  <c r="K38" i="5"/>
  <c r="Q38" i="5" s="1"/>
  <c r="K468" i="5"/>
  <c r="Q468" i="5" s="1"/>
  <c r="K362" i="5"/>
  <c r="Q362" i="5" s="1"/>
  <c r="K91" i="5"/>
  <c r="Q91" i="5" s="1"/>
  <c r="K227" i="5"/>
  <c r="Q227" i="5" s="1"/>
  <c r="K259" i="5"/>
  <c r="Q259" i="5" s="1"/>
  <c r="K291" i="5"/>
  <c r="Q291" i="5" s="1"/>
  <c r="K323" i="5"/>
  <c r="Q323" i="5" s="1"/>
  <c r="K363" i="5"/>
  <c r="Q363" i="5" s="1"/>
  <c r="K403" i="5"/>
  <c r="Q403" i="5" s="1"/>
  <c r="K382" i="5"/>
  <c r="Q382" i="5" s="1"/>
  <c r="K30" i="5"/>
  <c r="Q30" i="5" s="1"/>
  <c r="K380" i="5"/>
  <c r="Q380" i="5" s="1"/>
  <c r="K412" i="5"/>
  <c r="Q412" i="5" s="1"/>
  <c r="K28" i="5"/>
  <c r="Q28" i="5" s="1"/>
  <c r="K84" i="5"/>
  <c r="Q84" i="5" s="1"/>
  <c r="K116" i="5"/>
  <c r="Q116" i="5" s="1"/>
  <c r="K164" i="5"/>
  <c r="Q164" i="5" s="1"/>
  <c r="K196" i="5"/>
  <c r="Q196" i="5" s="1"/>
  <c r="K551" i="5"/>
  <c r="Q551" i="5" s="1"/>
  <c r="K238" i="5"/>
  <c r="Q238" i="5" s="1"/>
  <c r="K453" i="5"/>
  <c r="Q453" i="5" s="1"/>
  <c r="K21" i="5"/>
  <c r="Q21" i="5" s="1"/>
  <c r="K85" i="5"/>
  <c r="Q85" i="5" s="1"/>
  <c r="K117" i="5"/>
  <c r="Q117" i="5" s="1"/>
  <c r="K149" i="5"/>
  <c r="Q149" i="5" s="1"/>
  <c r="K230" i="5"/>
  <c r="Q230" i="5" s="1"/>
  <c r="K430" i="5"/>
  <c r="Q430" i="5" s="1"/>
  <c r="L5" i="5"/>
  <c r="M5" i="5"/>
  <c r="L6" i="5"/>
  <c r="M6" i="5"/>
  <c r="L9" i="5"/>
  <c r="M9" i="5"/>
  <c r="L499" i="5" l="1"/>
  <c r="M499" i="5"/>
  <c r="M229" i="5"/>
  <c r="Q229" i="5"/>
  <c r="L312" i="5"/>
  <c r="Q312" i="5"/>
  <c r="L557" i="5"/>
  <c r="Q557" i="5"/>
  <c r="M507" i="5"/>
  <c r="Q507" i="5"/>
  <c r="M298" i="5"/>
  <c r="Q298" i="5"/>
  <c r="L522" i="5"/>
  <c r="Q522" i="5"/>
  <c r="M448" i="5"/>
  <c r="Q448" i="5"/>
  <c r="L554" i="5"/>
  <c r="Q554" i="5"/>
  <c r="L497" i="5"/>
  <c r="Q497" i="5"/>
  <c r="L485" i="5"/>
  <c r="Q485" i="5"/>
  <c r="M426" i="5"/>
  <c r="Q426" i="5"/>
  <c r="M584" i="5"/>
  <c r="Q584" i="5"/>
  <c r="M285" i="5"/>
  <c r="Q285" i="5"/>
  <c r="M539" i="5"/>
  <c r="Q539" i="5"/>
  <c r="M578" i="5"/>
  <c r="Q578" i="5"/>
  <c r="M482" i="5"/>
  <c r="Q482" i="5"/>
  <c r="M322" i="5"/>
  <c r="Q322" i="5"/>
  <c r="M581" i="5"/>
  <c r="Q581" i="5"/>
  <c r="L514" i="5"/>
  <c r="Q514" i="5"/>
  <c r="L361" i="5"/>
  <c r="Q361" i="5"/>
  <c r="M130" i="5"/>
  <c r="Q130" i="5"/>
  <c r="M7" i="5"/>
  <c r="Q7" i="5"/>
  <c r="M404" i="5"/>
  <c r="Q404" i="5"/>
  <c r="M205" i="5"/>
  <c r="Q205" i="5"/>
  <c r="M469" i="5"/>
  <c r="Q469" i="5"/>
  <c r="M287" i="5"/>
  <c r="Q287" i="5"/>
  <c r="M458" i="5"/>
  <c r="Q458" i="5"/>
  <c r="M508" i="5"/>
  <c r="Q508" i="5"/>
  <c r="M4" i="5"/>
  <c r="Q4" i="5"/>
  <c r="M474" i="5"/>
  <c r="Q474" i="5"/>
  <c r="M314" i="5"/>
  <c r="Q314" i="5"/>
  <c r="M58" i="5"/>
  <c r="Q58" i="5"/>
  <c r="M510" i="5"/>
  <c r="Q510" i="5"/>
  <c r="M502" i="5"/>
  <c r="Q502" i="5"/>
  <c r="L553" i="5"/>
  <c r="Q553" i="5"/>
  <c r="M570" i="5"/>
  <c r="Q570" i="5"/>
  <c r="M560" i="5"/>
  <c r="Q560" i="5"/>
  <c r="M120" i="5"/>
  <c r="Q120" i="5"/>
  <c r="M564" i="5"/>
  <c r="Q564" i="5"/>
  <c r="M530" i="5"/>
  <c r="Q530" i="5"/>
  <c r="M485" i="5"/>
  <c r="M372" i="5"/>
  <c r="Q372" i="5"/>
  <c r="M589" i="5"/>
  <c r="Q589" i="5"/>
  <c r="M515" i="5"/>
  <c r="Q515" i="5"/>
  <c r="L546" i="5"/>
  <c r="Q546" i="5"/>
  <c r="M572" i="5"/>
  <c r="Q572" i="5"/>
  <c r="L161" i="5"/>
  <c r="Q161" i="5"/>
  <c r="M563" i="5"/>
  <c r="Q563" i="5"/>
  <c r="L3" i="5"/>
  <c r="Q3" i="5"/>
  <c r="M542" i="5"/>
  <c r="Q542" i="5"/>
  <c r="M596" i="5"/>
  <c r="Q596" i="5"/>
  <c r="L225" i="5"/>
  <c r="Q225" i="5"/>
  <c r="M357" i="5"/>
  <c r="Q357" i="5"/>
  <c r="M498" i="5"/>
  <c r="Q498" i="5"/>
  <c r="L417" i="5"/>
  <c r="Q417" i="5"/>
  <c r="M420" i="5"/>
  <c r="Q420" i="5"/>
  <c r="M545" i="5"/>
  <c r="Q545" i="5"/>
  <c r="M311" i="5"/>
  <c r="Q311" i="5"/>
  <c r="L345" i="5"/>
  <c r="Q345" i="5"/>
  <c r="L558" i="5"/>
  <c r="Q558" i="5"/>
  <c r="L502" i="5"/>
  <c r="M181" i="5"/>
  <c r="Q181" i="5"/>
  <c r="M422" i="5"/>
  <c r="Q422" i="5"/>
  <c r="L561" i="5"/>
  <c r="Q561" i="5"/>
  <c r="L8" i="5"/>
  <c r="Q8" i="5"/>
  <c r="L321" i="5"/>
  <c r="Q321" i="5"/>
  <c r="M269" i="5"/>
  <c r="Q269" i="5"/>
  <c r="L466" i="5"/>
  <c r="Q466" i="5"/>
  <c r="L593" i="5"/>
  <c r="Q593" i="5"/>
  <c r="L269" i="5"/>
  <c r="L498" i="5"/>
  <c r="M593" i="5"/>
  <c r="L530" i="5"/>
  <c r="L420" i="5"/>
  <c r="M417" i="5"/>
  <c r="L564" i="5"/>
  <c r="M225" i="5"/>
  <c r="M540" i="5"/>
  <c r="L540" i="5"/>
  <c r="L357" i="5"/>
  <c r="L545" i="5"/>
  <c r="L311" i="5"/>
  <c r="L7" i="5"/>
  <c r="L130" i="5"/>
  <c r="L469" i="5"/>
  <c r="L287" i="5"/>
  <c r="L458" i="5"/>
  <c r="L404" i="5"/>
  <c r="M321" i="5"/>
  <c r="M8" i="5"/>
  <c r="M466" i="5"/>
  <c r="L426" i="5"/>
  <c r="M361" i="5"/>
  <c r="M561" i="5"/>
  <c r="M497" i="5"/>
  <c r="M514" i="5"/>
  <c r="L572" i="5"/>
  <c r="M554" i="5"/>
  <c r="M533" i="5"/>
  <c r="L533" i="5"/>
  <c r="L578" i="5"/>
  <c r="L482" i="5"/>
  <c r="M522" i="5"/>
  <c r="L539" i="5"/>
  <c r="L285" i="5"/>
  <c r="L474" i="5"/>
  <c r="M345" i="5"/>
  <c r="L205" i="5"/>
  <c r="L515" i="5"/>
  <c r="L510" i="5"/>
  <c r="M500" i="5"/>
  <c r="L500" i="5"/>
  <c r="L507" i="5"/>
  <c r="L298" i="5"/>
  <c r="L201" i="5"/>
  <c r="M201" i="5"/>
  <c r="L422" i="5"/>
  <c r="L538" i="5"/>
  <c r="M538" i="5"/>
  <c r="L58" i="5"/>
  <c r="L372" i="5"/>
  <c r="L4" i="5"/>
  <c r="L314" i="5"/>
  <c r="L229" i="5"/>
  <c r="L542" i="5"/>
  <c r="M312" i="5"/>
  <c r="L596" i="5"/>
  <c r="L181" i="5"/>
  <c r="M557" i="5"/>
  <c r="M237" i="5"/>
  <c r="L237" i="5"/>
  <c r="M396" i="5"/>
  <c r="L396" i="5"/>
  <c r="M413" i="5"/>
  <c r="L413" i="5"/>
  <c r="M221" i="5"/>
  <c r="L221" i="5"/>
  <c r="L581" i="5"/>
  <c r="M534" i="5"/>
  <c r="L534" i="5"/>
  <c r="M494" i="5"/>
  <c r="L494" i="5"/>
  <c r="M3" i="5"/>
  <c r="L144" i="5"/>
  <c r="M144" i="5"/>
  <c r="M159" i="5"/>
  <c r="L159" i="5"/>
  <c r="M142" i="5"/>
  <c r="L142" i="5"/>
  <c r="M317" i="5"/>
  <c r="L317" i="5"/>
  <c r="M78" i="5"/>
  <c r="L78" i="5"/>
  <c r="M535" i="5"/>
  <c r="L535" i="5"/>
  <c r="M587" i="5"/>
  <c r="L587" i="5"/>
  <c r="M301" i="5"/>
  <c r="L301" i="5"/>
  <c r="M163" i="5"/>
  <c r="L163" i="5"/>
  <c r="M125" i="5"/>
  <c r="L125" i="5"/>
  <c r="M299" i="5"/>
  <c r="L299" i="5"/>
  <c r="M203" i="5"/>
  <c r="L203" i="5"/>
  <c r="M475" i="5"/>
  <c r="L475" i="5"/>
  <c r="M152" i="5"/>
  <c r="L152" i="5"/>
  <c r="M162" i="5"/>
  <c r="L162" i="5"/>
  <c r="M42" i="5"/>
  <c r="L42" i="5"/>
  <c r="M34" i="5"/>
  <c r="L34" i="5"/>
  <c r="M332" i="5"/>
  <c r="L332" i="5"/>
  <c r="M117" i="5"/>
  <c r="L117" i="5"/>
  <c r="M116" i="5"/>
  <c r="L116" i="5"/>
  <c r="M363" i="5"/>
  <c r="L363" i="5"/>
  <c r="M38" i="5"/>
  <c r="L38" i="5"/>
  <c r="M112" i="5"/>
  <c r="L112" i="5"/>
  <c r="L526" i="5"/>
  <c r="M526" i="5"/>
  <c r="M240" i="5"/>
  <c r="L240" i="5"/>
  <c r="M254" i="5"/>
  <c r="L254" i="5"/>
  <c r="M59" i="5"/>
  <c r="L59" i="5"/>
  <c r="L153" i="5"/>
  <c r="M153" i="5"/>
  <c r="M39" i="5"/>
  <c r="L39" i="5"/>
  <c r="L385" i="5"/>
  <c r="M385" i="5"/>
  <c r="M13" i="5"/>
  <c r="L13" i="5"/>
  <c r="M452" i="5"/>
  <c r="L452" i="5"/>
  <c r="M355" i="5"/>
  <c r="L355" i="5"/>
  <c r="M139" i="5"/>
  <c r="L139" i="5"/>
  <c r="M40" i="5"/>
  <c r="L40" i="5"/>
  <c r="M340" i="5"/>
  <c r="L340" i="5"/>
  <c r="M416" i="5"/>
  <c r="L416" i="5"/>
  <c r="L438" i="5"/>
  <c r="M438" i="5"/>
  <c r="M358" i="5"/>
  <c r="L358" i="5"/>
  <c r="M68" i="5"/>
  <c r="L68" i="5"/>
  <c r="L375" i="5"/>
  <c r="M375" i="5"/>
  <c r="M360" i="5"/>
  <c r="L360" i="5"/>
  <c r="L381" i="5"/>
  <c r="M381" i="5"/>
  <c r="M10" i="5"/>
  <c r="L10" i="5"/>
  <c r="M100" i="5"/>
  <c r="L100" i="5"/>
  <c r="M387" i="5"/>
  <c r="L387" i="5"/>
  <c r="M419" i="5"/>
  <c r="L419" i="5"/>
  <c r="M64" i="5"/>
  <c r="L64" i="5"/>
  <c r="L232" i="5"/>
  <c r="M232" i="5"/>
  <c r="M69" i="5"/>
  <c r="L69" i="5"/>
  <c r="M158" i="5"/>
  <c r="L158" i="5"/>
  <c r="L49" i="5"/>
  <c r="M49" i="5"/>
  <c r="M397" i="5"/>
  <c r="L397" i="5"/>
  <c r="M179" i="5"/>
  <c r="L179" i="5"/>
  <c r="M36" i="5"/>
  <c r="L36" i="5"/>
  <c r="M267" i="5"/>
  <c r="L267" i="5"/>
  <c r="M155" i="5"/>
  <c r="L155" i="5"/>
  <c r="M175" i="5"/>
  <c r="L175" i="5"/>
  <c r="M325" i="5"/>
  <c r="L325" i="5"/>
  <c r="M220" i="5"/>
  <c r="L220" i="5"/>
  <c r="M418" i="5"/>
  <c r="L418" i="5"/>
  <c r="M102" i="5"/>
  <c r="L102" i="5"/>
  <c r="M443" i="5"/>
  <c r="L443" i="5"/>
  <c r="L167" i="5"/>
  <c r="M167" i="5"/>
  <c r="L441" i="5"/>
  <c r="M441" i="5"/>
  <c r="M544" i="5"/>
  <c r="L544" i="5"/>
  <c r="M520" i="5"/>
  <c r="L520" i="5"/>
  <c r="M18" i="5"/>
  <c r="L18" i="5"/>
  <c r="L433" i="5"/>
  <c r="M433" i="5"/>
  <c r="M577" i="5"/>
  <c r="L577" i="5"/>
  <c r="M164" i="5"/>
  <c r="L164" i="5"/>
  <c r="M46" i="5"/>
  <c r="L46" i="5"/>
  <c r="M20" i="5"/>
  <c r="L20" i="5"/>
  <c r="M260" i="5"/>
  <c r="L260" i="5"/>
  <c r="M174" i="5"/>
  <c r="L174" i="5"/>
  <c r="M74" i="5"/>
  <c r="L74" i="5"/>
  <c r="M427" i="5"/>
  <c r="L427" i="5"/>
  <c r="M192" i="5"/>
  <c r="L192" i="5"/>
  <c r="M133" i="5"/>
  <c r="L133" i="5"/>
  <c r="L113" i="5"/>
  <c r="M113" i="5"/>
  <c r="M270" i="5"/>
  <c r="L270" i="5"/>
  <c r="M172" i="5"/>
  <c r="L172" i="5"/>
  <c r="L81" i="5"/>
  <c r="M81" i="5"/>
  <c r="M44" i="5"/>
  <c r="L44" i="5"/>
  <c r="M490" i="5"/>
  <c r="L490" i="5"/>
  <c r="M35" i="5"/>
  <c r="L35" i="5"/>
  <c r="L17" i="5"/>
  <c r="M17" i="5"/>
  <c r="L121" i="5"/>
  <c r="M121" i="5"/>
  <c r="M82" i="5"/>
  <c r="L82" i="5"/>
  <c r="M66" i="5"/>
  <c r="L66" i="5"/>
  <c r="M85" i="5"/>
  <c r="L85" i="5"/>
  <c r="M84" i="5"/>
  <c r="L84" i="5"/>
  <c r="M323" i="5"/>
  <c r="L323" i="5"/>
  <c r="L73" i="5"/>
  <c r="M73" i="5"/>
  <c r="M80" i="5"/>
  <c r="L80" i="5"/>
  <c r="M470" i="5"/>
  <c r="L470" i="5"/>
  <c r="L513" i="5"/>
  <c r="M513" i="5"/>
  <c r="L487" i="5"/>
  <c r="M487" i="5"/>
  <c r="M315" i="5"/>
  <c r="L315" i="5"/>
  <c r="M176" i="5"/>
  <c r="L176" i="5"/>
  <c r="L415" i="5"/>
  <c r="M415" i="5"/>
  <c r="L305" i="5"/>
  <c r="M305" i="5"/>
  <c r="L445" i="5"/>
  <c r="M445" i="5"/>
  <c r="M428" i="5"/>
  <c r="L428" i="5"/>
  <c r="M251" i="5"/>
  <c r="L251" i="5"/>
  <c r="L442" i="5"/>
  <c r="M442" i="5"/>
  <c r="M119" i="5"/>
  <c r="L119" i="5"/>
  <c r="L493" i="5"/>
  <c r="M493" i="5"/>
  <c r="L505" i="5"/>
  <c r="M505" i="5"/>
  <c r="M246" i="5"/>
  <c r="L246" i="5"/>
  <c r="M51" i="5"/>
  <c r="L51" i="5"/>
  <c r="M200" i="5"/>
  <c r="L200" i="5"/>
  <c r="M24" i="5"/>
  <c r="L24" i="5"/>
  <c r="L457" i="5"/>
  <c r="M457" i="5"/>
  <c r="M586" i="5"/>
  <c r="L586" i="5"/>
  <c r="M286" i="5"/>
  <c r="L286" i="5"/>
  <c r="M12" i="5"/>
  <c r="L12" i="5"/>
  <c r="M347" i="5"/>
  <c r="L347" i="5"/>
  <c r="M148" i="5"/>
  <c r="L148" i="5"/>
  <c r="M32" i="5"/>
  <c r="L32" i="5"/>
  <c r="L297" i="5"/>
  <c r="M297" i="5"/>
  <c r="M150" i="5"/>
  <c r="L150" i="5"/>
  <c r="M62" i="5"/>
  <c r="L62" i="5"/>
  <c r="M463" i="5"/>
  <c r="L463" i="5"/>
  <c r="M467" i="5"/>
  <c r="L467" i="5"/>
  <c r="M165" i="5"/>
  <c r="L165" i="5"/>
  <c r="M364" i="5"/>
  <c r="L364" i="5"/>
  <c r="M235" i="5"/>
  <c r="L235" i="5"/>
  <c r="M123" i="5"/>
  <c r="L123" i="5"/>
  <c r="M143" i="5"/>
  <c r="L143" i="5"/>
  <c r="M253" i="5"/>
  <c r="L253" i="5"/>
  <c r="L393" i="5"/>
  <c r="M393" i="5"/>
  <c r="M274" i="5"/>
  <c r="L274" i="5"/>
  <c r="M262" i="5"/>
  <c r="L262" i="5"/>
  <c r="M527" i="5"/>
  <c r="L527" i="5"/>
  <c r="L95" i="5"/>
  <c r="M95" i="5"/>
  <c r="L217" i="5"/>
  <c r="M217" i="5"/>
  <c r="M344" i="5"/>
  <c r="L344" i="5"/>
  <c r="M368" i="5"/>
  <c r="L368" i="5"/>
  <c r="M528" i="5"/>
  <c r="L528" i="5"/>
  <c r="M472" i="5"/>
  <c r="L472" i="5"/>
  <c r="L601" i="5"/>
  <c r="M601" i="5"/>
  <c r="M468" i="5"/>
  <c r="L468" i="5"/>
  <c r="L33" i="5"/>
  <c r="M33" i="5"/>
  <c r="L454" i="5"/>
  <c r="M454" i="5"/>
  <c r="L25" i="5"/>
  <c r="M25" i="5"/>
  <c r="M21" i="5"/>
  <c r="L21" i="5"/>
  <c r="M56" i="5"/>
  <c r="L56" i="5"/>
  <c r="L566" i="5"/>
  <c r="M566" i="5"/>
  <c r="L281" i="5"/>
  <c r="M281" i="5"/>
  <c r="M389" i="5"/>
  <c r="L389" i="5"/>
  <c r="M128" i="5"/>
  <c r="L128" i="5"/>
  <c r="M519" i="5"/>
  <c r="L519" i="5"/>
  <c r="M197" i="5"/>
  <c r="L197" i="5"/>
  <c r="M456" i="5"/>
  <c r="L456" i="5"/>
  <c r="M516" i="5"/>
  <c r="L516" i="5"/>
  <c r="L353" i="5"/>
  <c r="M353" i="5"/>
  <c r="M47" i="5"/>
  <c r="L47" i="5"/>
  <c r="M410" i="5"/>
  <c r="L410" i="5"/>
  <c r="L89" i="5"/>
  <c r="M89" i="5"/>
  <c r="M412" i="5"/>
  <c r="L412" i="5"/>
  <c r="M248" i="5"/>
  <c r="L248" i="5"/>
  <c r="M48" i="5"/>
  <c r="L48" i="5"/>
  <c r="M14" i="5"/>
  <c r="L14" i="5"/>
  <c r="M447" i="5"/>
  <c r="L447" i="5"/>
  <c r="M140" i="5"/>
  <c r="L140" i="5"/>
  <c r="M300" i="5"/>
  <c r="L300" i="5"/>
  <c r="M275" i="5"/>
  <c r="L275" i="5"/>
  <c r="M190" i="5"/>
  <c r="L190" i="5"/>
  <c r="M11" i="5"/>
  <c r="L11" i="5"/>
  <c r="M132" i="5"/>
  <c r="L132" i="5"/>
  <c r="M451" i="5"/>
  <c r="L451" i="5"/>
  <c r="M579" i="5"/>
  <c r="L579" i="5"/>
  <c r="L137" i="5"/>
  <c r="M137" i="5"/>
  <c r="L63" i="5"/>
  <c r="M63" i="5"/>
  <c r="L521" i="5"/>
  <c r="M521" i="5"/>
  <c r="M166" i="5"/>
  <c r="L166" i="5"/>
  <c r="L582" i="5"/>
  <c r="M582" i="5"/>
  <c r="L105" i="5"/>
  <c r="M105" i="5"/>
  <c r="L65" i="5"/>
  <c r="M65" i="5"/>
  <c r="L122" i="5"/>
  <c r="M122" i="5"/>
  <c r="M338" i="5"/>
  <c r="L338" i="5"/>
  <c r="M330" i="5"/>
  <c r="L330" i="5"/>
  <c r="M178" i="5"/>
  <c r="L178" i="5"/>
  <c r="M480" i="5"/>
  <c r="L480" i="5"/>
  <c r="M434" i="5"/>
  <c r="L434" i="5"/>
  <c r="M149" i="5"/>
  <c r="L149" i="5"/>
  <c r="M293" i="5"/>
  <c r="L293" i="5"/>
  <c r="L425" i="5"/>
  <c r="M425" i="5"/>
  <c r="L473" i="5"/>
  <c r="M473" i="5"/>
  <c r="M291" i="5"/>
  <c r="L291" i="5"/>
  <c r="M134" i="5"/>
  <c r="L134" i="5"/>
  <c r="M277" i="5"/>
  <c r="L277" i="5"/>
  <c r="M219" i="5"/>
  <c r="L219" i="5"/>
  <c r="M94" i="5"/>
  <c r="L94" i="5"/>
  <c r="M349" i="5"/>
  <c r="L349" i="5"/>
  <c r="M444" i="5"/>
  <c r="L444" i="5"/>
  <c r="L209" i="5"/>
  <c r="M209" i="5"/>
  <c r="M93" i="5"/>
  <c r="L93" i="5"/>
  <c r="M103" i="5"/>
  <c r="L103" i="5"/>
  <c r="M202" i="5"/>
  <c r="L202" i="5"/>
  <c r="L313" i="5"/>
  <c r="M313" i="5"/>
  <c r="M348" i="5"/>
  <c r="L348" i="5"/>
  <c r="M250" i="5"/>
  <c r="L250" i="5"/>
  <c r="M506" i="5"/>
  <c r="L506" i="5"/>
  <c r="M259" i="5"/>
  <c r="L259" i="5"/>
  <c r="L590" i="5"/>
  <c r="M590" i="5"/>
  <c r="M284" i="5"/>
  <c r="L284" i="5"/>
  <c r="M484" i="5"/>
  <c r="L484" i="5"/>
  <c r="M574" i="5"/>
  <c r="L574" i="5"/>
  <c r="M244" i="5"/>
  <c r="L244" i="5"/>
  <c r="M446" i="5"/>
  <c r="L446" i="5"/>
  <c r="M414" i="5"/>
  <c r="L414" i="5"/>
  <c r="M206" i="5"/>
  <c r="L206" i="5"/>
  <c r="M308" i="5"/>
  <c r="L308" i="5"/>
  <c r="M238" i="5"/>
  <c r="L238" i="5"/>
  <c r="M380" i="5"/>
  <c r="L380" i="5"/>
  <c r="M227" i="5"/>
  <c r="L227" i="5"/>
  <c r="L185" i="5"/>
  <c r="M185" i="5"/>
  <c r="L431" i="5"/>
  <c r="M431" i="5"/>
  <c r="L525" i="5"/>
  <c r="M525" i="5"/>
  <c r="M421" i="5"/>
  <c r="L421" i="5"/>
  <c r="M76" i="5"/>
  <c r="L76" i="5"/>
  <c r="M571" i="5"/>
  <c r="L571" i="5"/>
  <c r="M366" i="5"/>
  <c r="L366" i="5"/>
  <c r="M212" i="5"/>
  <c r="L212" i="5"/>
  <c r="M302" i="5"/>
  <c r="L302" i="5"/>
  <c r="M479" i="5"/>
  <c r="L479" i="5"/>
  <c r="M27" i="5"/>
  <c r="L27" i="5"/>
  <c r="M118" i="5"/>
  <c r="L118" i="5"/>
  <c r="M72" i="5"/>
  <c r="L72" i="5"/>
  <c r="M335" i="5"/>
  <c r="L335" i="5"/>
  <c r="M491" i="5"/>
  <c r="L491" i="5"/>
  <c r="M141" i="5"/>
  <c r="L141" i="5"/>
  <c r="M60" i="5"/>
  <c r="L60" i="5"/>
  <c r="M214" i="5"/>
  <c r="L214" i="5"/>
  <c r="M187" i="5"/>
  <c r="L187" i="5"/>
  <c r="M324" i="5"/>
  <c r="L324" i="5"/>
  <c r="M272" i="5"/>
  <c r="L272" i="5"/>
  <c r="M306" i="5"/>
  <c r="L306" i="5"/>
  <c r="M45" i="5"/>
  <c r="L45" i="5"/>
  <c r="M43" i="5"/>
  <c r="L43" i="5"/>
  <c r="M243" i="5"/>
  <c r="L243" i="5"/>
  <c r="M131" i="5"/>
  <c r="L131" i="5"/>
  <c r="M183" i="5"/>
  <c r="L183" i="5"/>
  <c r="M54" i="5"/>
  <c r="L54" i="5"/>
  <c r="L598" i="5"/>
  <c r="M598" i="5"/>
  <c r="M476" i="5"/>
  <c r="L476" i="5"/>
  <c r="M318" i="5"/>
  <c r="L318" i="5"/>
  <c r="M567" i="5"/>
  <c r="L567" i="5"/>
  <c r="M461" i="5"/>
  <c r="L461" i="5"/>
  <c r="M411" i="5"/>
  <c r="L411" i="5"/>
  <c r="M157" i="5"/>
  <c r="L157" i="5"/>
  <c r="L16" i="5"/>
  <c r="M16" i="5"/>
  <c r="M15" i="5"/>
  <c r="L15" i="5"/>
  <c r="M580" i="5"/>
  <c r="L580" i="5"/>
  <c r="M501" i="5"/>
  <c r="L501" i="5"/>
  <c r="M115" i="5"/>
  <c r="L115" i="5"/>
  <c r="M436" i="5"/>
  <c r="L436" i="5"/>
  <c r="L41" i="5"/>
  <c r="M41" i="5"/>
  <c r="L365" i="5"/>
  <c r="M365" i="5"/>
  <c r="M50" i="5"/>
  <c r="L50" i="5"/>
  <c r="M266" i="5"/>
  <c r="L266" i="5"/>
  <c r="M258" i="5"/>
  <c r="L258" i="5"/>
  <c r="M256" i="5"/>
  <c r="L256" i="5"/>
  <c r="M98" i="5"/>
  <c r="L98" i="5"/>
  <c r="M386" i="5"/>
  <c r="L386" i="5"/>
  <c r="M400" i="5"/>
  <c r="L400" i="5"/>
  <c r="M370" i="5"/>
  <c r="L370" i="5"/>
  <c r="L257" i="5"/>
  <c r="M257" i="5"/>
  <c r="M53" i="5"/>
  <c r="L53" i="5"/>
  <c r="M356" i="5"/>
  <c r="L356" i="5"/>
  <c r="M28" i="5"/>
  <c r="L28" i="5"/>
  <c r="M309" i="5"/>
  <c r="L309" i="5"/>
  <c r="L136" i="5"/>
  <c r="M136" i="5"/>
  <c r="M107" i="5"/>
  <c r="L107" i="5"/>
  <c r="L177" i="5"/>
  <c r="M177" i="5"/>
  <c r="M180" i="5"/>
  <c r="L180" i="5"/>
  <c r="L337" i="5"/>
  <c r="M337" i="5"/>
  <c r="M307" i="5"/>
  <c r="L307" i="5"/>
  <c r="M278" i="5"/>
  <c r="L278" i="5"/>
  <c r="M504" i="5"/>
  <c r="L504" i="5"/>
  <c r="L193" i="5"/>
  <c r="M193" i="5"/>
  <c r="M559" i="5"/>
  <c r="L559" i="5"/>
  <c r="M90" i="5"/>
  <c r="L90" i="5"/>
  <c r="M108" i="5"/>
  <c r="L108" i="5"/>
  <c r="M543" i="5"/>
  <c r="L543" i="5"/>
  <c r="L594" i="5"/>
  <c r="M594" i="5"/>
  <c r="M342" i="5"/>
  <c r="L342" i="5"/>
  <c r="M101" i="5"/>
  <c r="L101" i="5"/>
  <c r="L462" i="5"/>
  <c r="M462" i="5"/>
  <c r="M37" i="5"/>
  <c r="L37" i="5"/>
  <c r="M430" i="5"/>
  <c r="L430" i="5"/>
  <c r="M30" i="5"/>
  <c r="L30" i="5"/>
  <c r="L129" i="5"/>
  <c r="M129" i="5"/>
  <c r="L391" i="5"/>
  <c r="M391" i="5"/>
  <c r="M478" i="5"/>
  <c r="L478" i="5"/>
  <c r="M460" i="5"/>
  <c r="L460" i="5"/>
  <c r="M398" i="5"/>
  <c r="L398" i="5"/>
  <c r="M195" i="5"/>
  <c r="L195" i="5"/>
  <c r="M405" i="5"/>
  <c r="L405" i="5"/>
  <c r="M222" i="5"/>
  <c r="L222" i="5"/>
  <c r="M188" i="5"/>
  <c r="L188" i="5"/>
  <c r="M22" i="5"/>
  <c r="L22" i="5"/>
  <c r="M464" i="5"/>
  <c r="L464" i="5"/>
  <c r="M213" i="5"/>
  <c r="L213" i="5"/>
  <c r="L377" i="5"/>
  <c r="M377" i="5"/>
  <c r="M77" i="5"/>
  <c r="L77" i="5"/>
  <c r="M294" i="5"/>
  <c r="L294" i="5"/>
  <c r="L374" i="5"/>
  <c r="M374" i="5"/>
  <c r="M151" i="5"/>
  <c r="L151" i="5"/>
  <c r="M268" i="5"/>
  <c r="L268" i="5"/>
  <c r="M224" i="5"/>
  <c r="L224" i="5"/>
  <c r="M234" i="5"/>
  <c r="L234" i="5"/>
  <c r="M437" i="5"/>
  <c r="L437" i="5"/>
  <c r="M19" i="5"/>
  <c r="L19" i="5"/>
  <c r="M211" i="5"/>
  <c r="L211" i="5"/>
  <c r="L169" i="5"/>
  <c r="M169" i="5"/>
  <c r="M189" i="5"/>
  <c r="L189" i="5"/>
  <c r="M503" i="5"/>
  <c r="L503" i="5"/>
  <c r="M124" i="5"/>
  <c r="L124" i="5"/>
  <c r="M75" i="5"/>
  <c r="L75" i="5"/>
  <c r="M83" i="5"/>
  <c r="L83" i="5"/>
  <c r="M276" i="5"/>
  <c r="L276" i="5"/>
  <c r="M429" i="5"/>
  <c r="L429" i="5"/>
  <c r="M379" i="5"/>
  <c r="L379" i="5"/>
  <c r="M99" i="5"/>
  <c r="L99" i="5"/>
  <c r="M52" i="5"/>
  <c r="L52" i="5"/>
  <c r="M399" i="5"/>
  <c r="L399" i="5"/>
  <c r="L509" i="5"/>
  <c r="M509" i="5"/>
  <c r="M316" i="5"/>
  <c r="L316" i="5"/>
  <c r="M61" i="5"/>
  <c r="L61" i="5"/>
  <c r="M126" i="5"/>
  <c r="L126" i="5"/>
  <c r="M339" i="5"/>
  <c r="L339" i="5"/>
  <c r="M292" i="5"/>
  <c r="L292" i="5"/>
  <c r="M194" i="5"/>
  <c r="L194" i="5"/>
  <c r="M186" i="5"/>
  <c r="L186" i="5"/>
  <c r="L216" i="5"/>
  <c r="M216" i="5"/>
  <c r="M26" i="5"/>
  <c r="L26" i="5"/>
  <c r="M242" i="5"/>
  <c r="L242" i="5"/>
  <c r="M354" i="5"/>
  <c r="L354" i="5"/>
  <c r="M226" i="5"/>
  <c r="L226" i="5"/>
  <c r="M403" i="5"/>
  <c r="L403" i="5"/>
  <c r="M110" i="5"/>
  <c r="L110" i="5"/>
  <c r="M395" i="5"/>
  <c r="L395" i="5"/>
  <c r="M407" i="5"/>
  <c r="L407" i="5"/>
  <c r="M147" i="5"/>
  <c r="L147" i="5"/>
  <c r="M283" i="5"/>
  <c r="L283" i="5"/>
  <c r="M359" i="5"/>
  <c r="L359" i="5"/>
  <c r="M79" i="5"/>
  <c r="L79" i="5"/>
  <c r="M171" i="5"/>
  <c r="L171" i="5"/>
  <c r="M450" i="5"/>
  <c r="L450" i="5"/>
  <c r="M86" i="5"/>
  <c r="L86" i="5"/>
  <c r="L334" i="5"/>
  <c r="M334" i="5"/>
  <c r="L406" i="5"/>
  <c r="M406" i="5"/>
  <c r="L373" i="5"/>
  <c r="M373" i="5"/>
  <c r="L326" i="5"/>
  <c r="M326" i="5"/>
  <c r="M453" i="5"/>
  <c r="L453" i="5"/>
  <c r="L135" i="5"/>
  <c r="M135" i="5"/>
  <c r="M532" i="5"/>
  <c r="L532" i="5"/>
  <c r="M333" i="5"/>
  <c r="L333" i="5"/>
  <c r="L104" i="5"/>
  <c r="M104" i="5"/>
  <c r="M290" i="5"/>
  <c r="L290" i="5"/>
  <c r="M378" i="5"/>
  <c r="L378" i="5"/>
  <c r="M252" i="5"/>
  <c r="L252" i="5"/>
  <c r="M551" i="5"/>
  <c r="L551" i="5"/>
  <c r="M91" i="5"/>
  <c r="L91" i="5"/>
  <c r="M173" i="5"/>
  <c r="L173" i="5"/>
  <c r="M230" i="5"/>
  <c r="L230" i="5"/>
  <c r="M196" i="5"/>
  <c r="L196" i="5"/>
  <c r="M382" i="5"/>
  <c r="L382" i="5"/>
  <c r="M362" i="5"/>
  <c r="L362" i="5"/>
  <c r="M184" i="5"/>
  <c r="L184" i="5"/>
  <c r="M351" i="5"/>
  <c r="L351" i="5"/>
  <c r="L465" i="5"/>
  <c r="M465" i="5"/>
  <c r="M198" i="5"/>
  <c r="L198" i="5"/>
  <c r="M423" i="5"/>
  <c r="L423" i="5"/>
  <c r="M146" i="5"/>
  <c r="L146" i="5"/>
  <c r="M191" i="5"/>
  <c r="L191" i="5"/>
  <c r="M547" i="5"/>
  <c r="L547" i="5"/>
  <c r="M109" i="5"/>
  <c r="L109" i="5"/>
  <c r="M156" i="5"/>
  <c r="L156" i="5"/>
  <c r="M435" i="5"/>
  <c r="L435" i="5"/>
  <c r="L97" i="5"/>
  <c r="M97" i="5"/>
  <c r="L440" i="5"/>
  <c r="M440" i="5"/>
  <c r="M597" i="5"/>
  <c r="L597" i="5"/>
  <c r="L249" i="5"/>
  <c r="M249" i="5"/>
  <c r="M23" i="5"/>
  <c r="L23" i="5"/>
  <c r="M182" i="5"/>
  <c r="L182" i="5"/>
  <c r="L57" i="5"/>
  <c r="M57" i="5"/>
  <c r="M31" i="5"/>
  <c r="L31" i="5"/>
  <c r="M517" i="5"/>
  <c r="L517" i="5"/>
  <c r="L529" i="5"/>
  <c r="M529" i="5"/>
  <c r="M154" i="5"/>
  <c r="L154" i="5"/>
  <c r="M55" i="5"/>
  <c r="L55" i="5"/>
  <c r="M459" i="5"/>
  <c r="L459" i="5"/>
  <c r="M524" i="5"/>
  <c r="L524" i="5"/>
  <c r="L145" i="5"/>
  <c r="M145" i="5"/>
  <c r="M341" i="5"/>
  <c r="L341" i="5"/>
  <c r="L310" i="5"/>
  <c r="M310" i="5"/>
  <c r="M92" i="5"/>
  <c r="L92" i="5"/>
  <c r="M350" i="5"/>
  <c r="L350" i="5"/>
  <c r="M319" i="5"/>
  <c r="L319" i="5"/>
  <c r="L329" i="5"/>
  <c r="M329" i="5"/>
  <c r="M204" i="5"/>
  <c r="L204" i="5"/>
  <c r="M331" i="5"/>
  <c r="L331" i="5"/>
  <c r="M70" i="5"/>
  <c r="L70" i="5"/>
  <c r="L390" i="5"/>
  <c r="M390" i="5"/>
  <c r="M367" i="5"/>
  <c r="L367" i="5"/>
  <c r="M531" i="5"/>
  <c r="L531" i="5"/>
  <c r="M562" i="5"/>
  <c r="L562" i="5"/>
  <c r="M371" i="5"/>
  <c r="L371" i="5"/>
  <c r="M67" i="5"/>
  <c r="L67" i="5"/>
  <c r="L88" i="5"/>
  <c r="M88" i="5"/>
  <c r="M236" i="5"/>
  <c r="L236" i="5"/>
  <c r="M114" i="5"/>
  <c r="L114" i="5"/>
  <c r="M106" i="5"/>
  <c r="L106" i="5"/>
  <c r="M592" i="5"/>
  <c r="L592" i="5"/>
  <c r="M170" i="5"/>
  <c r="L170" i="5"/>
  <c r="M138" i="5"/>
  <c r="L13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<sst xmlns="http://schemas.openxmlformats.org/spreadsheetml/2006/main" count="9100" uniqueCount="3193">
  <si>
    <t>Item ID</t>
  </si>
  <si>
    <t>Item Name</t>
  </si>
  <si>
    <t>Category</t>
  </si>
  <si>
    <t>Supplier</t>
  </si>
  <si>
    <t>Unit cost</t>
  </si>
  <si>
    <t>Unit Price</t>
  </si>
  <si>
    <t>Re order Level</t>
  </si>
  <si>
    <t>1x16 PLC Splitter</t>
  </si>
  <si>
    <t>Splitters</t>
  </si>
  <si>
    <t>Amphenol</t>
  </si>
  <si>
    <t>1600.45</t>
  </si>
  <si>
    <t>36</t>
  </si>
  <si>
    <t>Mechanical Splicer</t>
  </si>
  <si>
    <t>Splicers</t>
  </si>
  <si>
    <t>CommScope</t>
  </si>
  <si>
    <t>1190.93</t>
  </si>
  <si>
    <t>48</t>
  </si>
  <si>
    <t>Single-Mode Fiber Cable 200m</t>
  </si>
  <si>
    <t>Fiber Optic Cables</t>
  </si>
  <si>
    <t>Belden</t>
  </si>
  <si>
    <t>2088.64</t>
  </si>
  <si>
    <t>88</t>
  </si>
  <si>
    <t>1x8 PLC Splitter</t>
  </si>
  <si>
    <t>AFL</t>
  </si>
  <si>
    <t>17.25</t>
  </si>
  <si>
    <t>49</t>
  </si>
  <si>
    <t>Fiber Adapter</t>
  </si>
  <si>
    <t>Accessories</t>
  </si>
  <si>
    <t>Corning Inc.</t>
  </si>
  <si>
    <t>3404.2</t>
  </si>
  <si>
    <t>81</t>
  </si>
  <si>
    <t>Fixed Attenuator 20dB</t>
  </si>
  <si>
    <t>Attenuators</t>
  </si>
  <si>
    <t>1454.17</t>
  </si>
  <si>
    <t>93</t>
  </si>
  <si>
    <t>Fusion Splicer</t>
  </si>
  <si>
    <t>Siemon</t>
  </si>
  <si>
    <t>846.51</t>
  </si>
  <si>
    <t>52</t>
  </si>
  <si>
    <t>1141.41</t>
  </si>
  <si>
    <t>54</t>
  </si>
  <si>
    <t>48-Port Fiber Patch Panel</t>
  </si>
  <si>
    <t>Patch Panels</t>
  </si>
  <si>
    <t>494.2</t>
  </si>
  <si>
    <t>865.62</t>
  </si>
  <si>
    <t>43</t>
  </si>
  <si>
    <t>10</t>
  </si>
  <si>
    <t>96-Port Fiber Patch Panel</t>
  </si>
  <si>
    <t>277.51</t>
  </si>
  <si>
    <t>79</t>
  </si>
  <si>
    <t>11</t>
  </si>
  <si>
    <t>QSFP28 Transceiver</t>
  </si>
  <si>
    <t>Transceivers</t>
  </si>
  <si>
    <t>HellermannTyton</t>
  </si>
  <si>
    <t>852.41</t>
  </si>
  <si>
    <t>64</t>
  </si>
  <si>
    <t>12</t>
  </si>
  <si>
    <t>12-Port Fiber Patch Panel</t>
  </si>
  <si>
    <t>Huber+Suhner</t>
  </si>
  <si>
    <t>1515.52</t>
  </si>
  <si>
    <t>39</t>
  </si>
  <si>
    <t>13</t>
  </si>
  <si>
    <t>LC APC Connector</t>
  </si>
  <si>
    <t>Connectors</t>
  </si>
  <si>
    <t>567.28</t>
  </si>
  <si>
    <t>84</t>
  </si>
  <si>
    <t>14</t>
  </si>
  <si>
    <t>1796.09</t>
  </si>
  <si>
    <t>30</t>
  </si>
  <si>
    <t>15</t>
  </si>
  <si>
    <t>Fixed Attenuator 5dB</t>
  </si>
  <si>
    <t>798.2</t>
  </si>
  <si>
    <t>83</t>
  </si>
  <si>
    <t>16</t>
  </si>
  <si>
    <t>1x2 PLC Splitter</t>
  </si>
  <si>
    <t>256.58</t>
  </si>
  <si>
    <t>55</t>
  </si>
  <si>
    <t>17</t>
  </si>
  <si>
    <t>TE Connectivity</t>
  </si>
  <si>
    <t>1484.52</t>
  </si>
  <si>
    <t>2666.95</t>
  </si>
  <si>
    <t>18</t>
  </si>
  <si>
    <t>MTP UPC Connector</t>
  </si>
  <si>
    <t>1714.17</t>
  </si>
  <si>
    <t>2046.34</t>
  </si>
  <si>
    <t>45</t>
  </si>
  <si>
    <t>19</t>
  </si>
  <si>
    <t>24-Port Fiber Patch Panel</t>
  </si>
  <si>
    <t>1773.05</t>
  </si>
  <si>
    <t>3098.97</t>
  </si>
  <si>
    <t>20</t>
  </si>
  <si>
    <t>Prysmian Group</t>
  </si>
  <si>
    <t>577.51</t>
  </si>
  <si>
    <t>1028.16</t>
  </si>
  <si>
    <t>47</t>
  </si>
  <si>
    <t>21</t>
  </si>
  <si>
    <t>1448.33</t>
  </si>
  <si>
    <t>2578.14</t>
  </si>
  <si>
    <t>59</t>
  </si>
  <si>
    <t>22</t>
  </si>
  <si>
    <t>CFP Transceiver</t>
  </si>
  <si>
    <t>Panduit</t>
  </si>
  <si>
    <t>737.06</t>
  </si>
  <si>
    <t>844.2</t>
  </si>
  <si>
    <t>50</t>
  </si>
  <si>
    <t>23</t>
  </si>
  <si>
    <t>839.54</t>
  </si>
  <si>
    <t>1239.65</t>
  </si>
  <si>
    <t>28</t>
  </si>
  <si>
    <t>24</t>
  </si>
  <si>
    <t>1x32 PLC Splitter</t>
  </si>
  <si>
    <t>181.76</t>
  </si>
  <si>
    <t>301.07</t>
  </si>
  <si>
    <t>25</t>
  </si>
  <si>
    <t>996.3</t>
  </si>
  <si>
    <t>1436.94</t>
  </si>
  <si>
    <t>33</t>
  </si>
  <si>
    <t>26</t>
  </si>
  <si>
    <t>FC APC Connector</t>
  </si>
  <si>
    <t>630.68</t>
  </si>
  <si>
    <t>1168.53</t>
  </si>
  <si>
    <t>27</t>
  </si>
  <si>
    <t>Armored Fiber Cable 200m</t>
  </si>
  <si>
    <t>Leviton</t>
  </si>
  <si>
    <t>1075.74</t>
  </si>
  <si>
    <t>1742.62</t>
  </si>
  <si>
    <t>ST UPC Connector</t>
  </si>
  <si>
    <t>1249.66</t>
  </si>
  <si>
    <t>1832.34</t>
  </si>
  <si>
    <t>29</t>
  </si>
  <si>
    <t>1997.37</t>
  </si>
  <si>
    <t>2857.07</t>
  </si>
  <si>
    <t>75</t>
  </si>
  <si>
    <t>QSFP Transceiver</t>
  </si>
  <si>
    <t>1197.56</t>
  </si>
  <si>
    <t>2143.3</t>
  </si>
  <si>
    <t>31</t>
  </si>
  <si>
    <t>1807.04</t>
  </si>
  <si>
    <t>3164.85</t>
  </si>
  <si>
    <t>32</t>
  </si>
  <si>
    <t>1782.7</t>
  </si>
  <si>
    <t>2157.31</t>
  </si>
  <si>
    <t>Fiber Cleaner</t>
  </si>
  <si>
    <t>373.91</t>
  </si>
  <si>
    <t>532.56</t>
  </si>
  <si>
    <t>34</t>
  </si>
  <si>
    <t>553.01</t>
  </si>
  <si>
    <t>625.22</t>
  </si>
  <si>
    <t>77</t>
  </si>
  <si>
    <t>35</t>
  </si>
  <si>
    <t>Fixed Attenuator 15dB</t>
  </si>
  <si>
    <t>1841.77</t>
  </si>
  <si>
    <t>3528.41</t>
  </si>
  <si>
    <t>82</t>
  </si>
  <si>
    <t>220.13</t>
  </si>
  <si>
    <t>267.32</t>
  </si>
  <si>
    <t>37</t>
  </si>
  <si>
    <t>Fiber Jumper</t>
  </si>
  <si>
    <t>1663.18</t>
  </si>
  <si>
    <t>2231.44</t>
  </si>
  <si>
    <t>38</t>
  </si>
  <si>
    <t>1325.07</t>
  </si>
  <si>
    <t>2396.54</t>
  </si>
  <si>
    <t>Fiber Optic Polisher</t>
  </si>
  <si>
    <t>Tools</t>
  </si>
  <si>
    <t>1828.15</t>
  </si>
  <si>
    <t>2159.76</t>
  </si>
  <si>
    <t>95</t>
  </si>
  <si>
    <t>40</t>
  </si>
  <si>
    <t>1789.47</t>
  </si>
  <si>
    <t>3100.56</t>
  </si>
  <si>
    <t>41</t>
  </si>
  <si>
    <t>237.27</t>
  </si>
  <si>
    <t>275.62</t>
  </si>
  <si>
    <t>85</t>
  </si>
  <si>
    <t>42</t>
  </si>
  <si>
    <t>52.07</t>
  </si>
  <si>
    <t>76.97</t>
  </si>
  <si>
    <t>Pedestal Enclosure</t>
  </si>
  <si>
    <t>Enclosures</t>
  </si>
  <si>
    <t>423.32</t>
  </si>
  <si>
    <t>611.2</t>
  </si>
  <si>
    <t>71</t>
  </si>
  <si>
    <t>44</t>
  </si>
  <si>
    <t>Fiber Optic Cutter</t>
  </si>
  <si>
    <t>1153.06</t>
  </si>
  <si>
    <t>1402.0</t>
  </si>
  <si>
    <t>Single-Mode Fiber Cable 100m</t>
  </si>
  <si>
    <t>422.48</t>
  </si>
  <si>
    <t>786.86</t>
  </si>
  <si>
    <t>76</t>
  </si>
  <si>
    <t>46</t>
  </si>
  <si>
    <t>1063.44</t>
  </si>
  <si>
    <t>1887.12</t>
  </si>
  <si>
    <t>1460.91</t>
  </si>
  <si>
    <t>1969.33</t>
  </si>
  <si>
    <t>67</t>
  </si>
  <si>
    <t>Outdoor Fiber Cable 50m</t>
  </si>
  <si>
    <t>608.56</t>
  </si>
  <si>
    <t>1081.79</t>
  </si>
  <si>
    <t>1063.5</t>
  </si>
  <si>
    <t>1564.29</t>
  </si>
  <si>
    <t>601.09</t>
  </si>
  <si>
    <t>950.25</t>
  </si>
  <si>
    <t>66</t>
  </si>
  <si>
    <t>51</t>
  </si>
  <si>
    <t>1619.64</t>
  </si>
  <si>
    <t>2597.35</t>
  </si>
  <si>
    <t>63</t>
  </si>
  <si>
    <t>1985.84</t>
  </si>
  <si>
    <t>2298.88</t>
  </si>
  <si>
    <t>53</t>
  </si>
  <si>
    <t>589.26</t>
  </si>
  <si>
    <t>1169.4</t>
  </si>
  <si>
    <t>Fiber Optic Stripper</t>
  </si>
  <si>
    <t>217.34</t>
  </si>
  <si>
    <t>344.64</t>
  </si>
  <si>
    <t>56</t>
  </si>
  <si>
    <t>378.73</t>
  </si>
  <si>
    <t>731.32</t>
  </si>
  <si>
    <t>70</t>
  </si>
  <si>
    <t>749.97</t>
  </si>
  <si>
    <t>1424.65</t>
  </si>
  <si>
    <t>57</t>
  </si>
  <si>
    <t>1581.53</t>
  </si>
  <si>
    <t>2927.58</t>
  </si>
  <si>
    <t>94</t>
  </si>
  <si>
    <t>58</t>
  </si>
  <si>
    <t>MPO APC Connector</t>
  </si>
  <si>
    <t>260.34</t>
  </si>
  <si>
    <t>289.51</t>
  </si>
  <si>
    <t>333.48</t>
  </si>
  <si>
    <t>664.57</t>
  </si>
  <si>
    <t>60</t>
  </si>
  <si>
    <t>1808.2</t>
  </si>
  <si>
    <t>3225.72</t>
  </si>
  <si>
    <t>61</t>
  </si>
  <si>
    <t>1757.54</t>
  </si>
  <si>
    <t>3028.11</t>
  </si>
  <si>
    <t>98</t>
  </si>
  <si>
    <t>62</t>
  </si>
  <si>
    <t>Fiber Pigtail</t>
  </si>
  <si>
    <t>818.08</t>
  </si>
  <si>
    <t>1244.03</t>
  </si>
  <si>
    <t>1096.42</t>
  </si>
  <si>
    <t>1631.52</t>
  </si>
  <si>
    <t>275.74</t>
  </si>
  <si>
    <t>519.42</t>
  </si>
  <si>
    <t>96</t>
  </si>
  <si>
    <t>65</t>
  </si>
  <si>
    <t>LC UPC Connector</t>
  </si>
  <si>
    <t>953.43</t>
  </si>
  <si>
    <t>1646.19</t>
  </si>
  <si>
    <t>1131.74</t>
  </si>
  <si>
    <t>1549.72</t>
  </si>
  <si>
    <t>Fiber Optic Tester</t>
  </si>
  <si>
    <t>1280.05</t>
  </si>
  <si>
    <t>1966.77</t>
  </si>
  <si>
    <t>68</t>
  </si>
  <si>
    <t>377.47</t>
  </si>
  <si>
    <t>550.11</t>
  </si>
  <si>
    <t>90</t>
  </si>
  <si>
    <t>69</t>
  </si>
  <si>
    <t>1x4 PLC Splitter</t>
  </si>
  <si>
    <t>1914.82</t>
  </si>
  <si>
    <t>3155.84</t>
  </si>
  <si>
    <t>76.51</t>
  </si>
  <si>
    <t>132.36</t>
  </si>
  <si>
    <t>1404.1</t>
  </si>
  <si>
    <t>1975.06</t>
  </si>
  <si>
    <t>72</t>
  </si>
  <si>
    <t>1081.9</t>
  </si>
  <si>
    <t>1550.63</t>
  </si>
  <si>
    <t>73</t>
  </si>
  <si>
    <t>Fixed Attenuator 2dB</t>
  </si>
  <si>
    <t>1835.6</t>
  </si>
  <si>
    <t>2686.88</t>
  </si>
  <si>
    <t>74</t>
  </si>
  <si>
    <t>1794.85</t>
  </si>
  <si>
    <t>2913.22</t>
  </si>
  <si>
    <t>1612.69</t>
  </si>
  <si>
    <t>3050.31</t>
  </si>
  <si>
    <t>736.95</t>
  </si>
  <si>
    <t>1382.2</t>
  </si>
  <si>
    <t>945.5</t>
  </si>
  <si>
    <t>1063.23</t>
  </si>
  <si>
    <t>78</t>
  </si>
  <si>
    <t>1445.39</t>
  </si>
  <si>
    <t>2054.96</t>
  </si>
  <si>
    <t>100</t>
  </si>
  <si>
    <t>844.54</t>
  </si>
  <si>
    <t>1448.27</t>
  </si>
  <si>
    <t>80</t>
  </si>
  <si>
    <t>1560.52</t>
  </si>
  <si>
    <t>2251.27</t>
  </si>
  <si>
    <t>1824.39</t>
  </si>
  <si>
    <t>3319.66</t>
  </si>
  <si>
    <t>1055.99</t>
  </si>
  <si>
    <t>1292.95</t>
  </si>
  <si>
    <t>1947.3</t>
  </si>
  <si>
    <t>2469.32</t>
  </si>
  <si>
    <t>458.62</t>
  </si>
  <si>
    <t>622.3</t>
  </si>
  <si>
    <t>558.85</t>
  </si>
  <si>
    <t>643.35</t>
  </si>
  <si>
    <t>86</t>
  </si>
  <si>
    <t>1448.2</t>
  </si>
  <si>
    <t>2574.06</t>
  </si>
  <si>
    <t>87</t>
  </si>
  <si>
    <t>Indoor Fiber Cable 500m</t>
  </si>
  <si>
    <t>14.98</t>
  </si>
  <si>
    <t>28.83</t>
  </si>
  <si>
    <t>719.88</t>
  </si>
  <si>
    <t>1139.88</t>
  </si>
  <si>
    <t>89</t>
  </si>
  <si>
    <t>171.77</t>
  </si>
  <si>
    <t>259.38</t>
  </si>
  <si>
    <t>808.45</t>
  </si>
  <si>
    <t>1484.18</t>
  </si>
  <si>
    <t>91</t>
  </si>
  <si>
    <t>1302.94</t>
  </si>
  <si>
    <t>2096.07</t>
  </si>
  <si>
    <t>92</t>
  </si>
  <si>
    <t>912.7</t>
  </si>
  <si>
    <t>1041.48</t>
  </si>
  <si>
    <t>1076.38</t>
  </si>
  <si>
    <t>1711.33</t>
  </si>
  <si>
    <t>298.77</t>
  </si>
  <si>
    <t>572.18</t>
  </si>
  <si>
    <t>1806.12</t>
  </si>
  <si>
    <t>2752.77</t>
  </si>
  <si>
    <t>563.28</t>
  </si>
  <si>
    <t>799.09</t>
  </si>
  <si>
    <t>371.14</t>
  </si>
  <si>
    <t>704.64</t>
  </si>
  <si>
    <t>689.76</t>
  </si>
  <si>
    <t>1067.65</t>
  </si>
  <si>
    <t>99</t>
  </si>
  <si>
    <t>185.96</t>
  </si>
  <si>
    <t>350.67</t>
  </si>
  <si>
    <t>691.44</t>
  </si>
  <si>
    <t>1277.38</t>
  </si>
  <si>
    <t>1496.56</t>
  </si>
  <si>
    <t>1991.0</t>
  </si>
  <si>
    <t>FC UPC Connector</t>
  </si>
  <si>
    <t>1130.17</t>
  </si>
  <si>
    <t>1707.35</t>
  </si>
  <si>
    <t>1679.29</t>
  </si>
  <si>
    <t>2166.75</t>
  </si>
  <si>
    <t>Dome Enclosure</t>
  </si>
  <si>
    <t>281.54</t>
  </si>
  <si>
    <t>400.04</t>
  </si>
  <si>
    <t>1262.28</t>
  </si>
  <si>
    <t>1963.72</t>
  </si>
  <si>
    <t>450.83</t>
  </si>
  <si>
    <t>520.66</t>
  </si>
  <si>
    <t>Armored Fiber Cable 500m</t>
  </si>
  <si>
    <t>1093.91</t>
  </si>
  <si>
    <t>1623.2</t>
  </si>
  <si>
    <t>1483.91</t>
  </si>
  <si>
    <t>1714.91</t>
  </si>
  <si>
    <t>Wall-Mount Enclosure</t>
  </si>
  <si>
    <t>1019.84</t>
  </si>
  <si>
    <t>1201.89</t>
  </si>
  <si>
    <t>SFP Transceiver</t>
  </si>
  <si>
    <t>591.74</t>
  </si>
  <si>
    <t>1045.02</t>
  </si>
  <si>
    <t>269.73</t>
  </si>
  <si>
    <t>479.57</t>
  </si>
  <si>
    <t>1737.47</t>
  </si>
  <si>
    <t>3021.16</t>
  </si>
  <si>
    <t>1724.92</t>
  </si>
  <si>
    <t>2435.42</t>
  </si>
  <si>
    <t>1175.66</t>
  </si>
  <si>
    <t>1666.6</t>
  </si>
  <si>
    <t>673.43</t>
  </si>
  <si>
    <t>863.84</t>
  </si>
  <si>
    <t>1736.73</t>
  </si>
  <si>
    <t>3142.46</t>
  </si>
  <si>
    <t>344.81</t>
  </si>
  <si>
    <t>458.13</t>
  </si>
  <si>
    <t>1371.06</t>
  </si>
  <si>
    <t>2335.39</t>
  </si>
  <si>
    <t>889.36</t>
  </si>
  <si>
    <t>1412.33</t>
  </si>
  <si>
    <t>Fixed Attenuator 1dB</t>
  </si>
  <si>
    <t>612.46</t>
  </si>
  <si>
    <t>956.82</t>
  </si>
  <si>
    <t>1731.94</t>
  </si>
  <si>
    <t>3379.01</t>
  </si>
  <si>
    <t>1803.27</t>
  </si>
  <si>
    <t>3013.85</t>
  </si>
  <si>
    <t>176.85</t>
  </si>
  <si>
    <t>227.12</t>
  </si>
  <si>
    <t>98.25</t>
  </si>
  <si>
    <t>164.96</t>
  </si>
  <si>
    <t>328.14</t>
  </si>
  <si>
    <t>549.71</t>
  </si>
  <si>
    <t>72-Port Fiber Patch Panel</t>
  </si>
  <si>
    <t>712.33</t>
  </si>
  <si>
    <t>869.05</t>
  </si>
  <si>
    <t>1796.17</t>
  </si>
  <si>
    <t>2063.15</t>
  </si>
  <si>
    <t>1267.94</t>
  </si>
  <si>
    <t>2270.84</t>
  </si>
  <si>
    <t>710.38</t>
  </si>
  <si>
    <t>1320.49</t>
  </si>
  <si>
    <t>Rack-Mount Enclosure</t>
  </si>
  <si>
    <t>650.46</t>
  </si>
  <si>
    <t>1178.36</t>
  </si>
  <si>
    <t>395.89</t>
  </si>
  <si>
    <t>614.71</t>
  </si>
  <si>
    <t>1060.45</t>
  </si>
  <si>
    <t>1702.45</t>
  </si>
  <si>
    <t>643.43</t>
  </si>
  <si>
    <t>1271.58</t>
  </si>
  <si>
    <t>SC UPC Connector</t>
  </si>
  <si>
    <t>440.53</t>
  </si>
  <si>
    <t>686.25</t>
  </si>
  <si>
    <t>1351.42</t>
  </si>
  <si>
    <t>1598.19</t>
  </si>
  <si>
    <t>1145.27</t>
  </si>
  <si>
    <t>1964.34</t>
  </si>
  <si>
    <t>Indoor Fiber Cable 100m</t>
  </si>
  <si>
    <t>1968.65</t>
  </si>
  <si>
    <t>2381.8</t>
  </si>
  <si>
    <t>249.46</t>
  </si>
  <si>
    <t>405.93</t>
  </si>
  <si>
    <t>1015.35</t>
  </si>
  <si>
    <t>1556.48</t>
  </si>
  <si>
    <t>1173.48</t>
  </si>
  <si>
    <t>1316.43</t>
  </si>
  <si>
    <t>309.75</t>
  </si>
  <si>
    <t>557.61</t>
  </si>
  <si>
    <t>Outdoor Fiber Cable 100m</t>
  </si>
  <si>
    <t>1486.39</t>
  </si>
  <si>
    <t>2583.89</t>
  </si>
  <si>
    <t>1989.14</t>
  </si>
  <si>
    <t>3164.57</t>
  </si>
  <si>
    <t>130.98</t>
  </si>
  <si>
    <t>219.69</t>
  </si>
  <si>
    <t>1359.87</t>
  </si>
  <si>
    <t>1566.69</t>
  </si>
  <si>
    <t>1452.2</t>
  </si>
  <si>
    <t>2720.41</t>
  </si>
  <si>
    <t>775.41</t>
  </si>
  <si>
    <t>1381.41</t>
  </si>
  <si>
    <t>1417.31</t>
  </si>
  <si>
    <t>2395.4</t>
  </si>
  <si>
    <t>1801.69</t>
  </si>
  <si>
    <t>2159.55</t>
  </si>
  <si>
    <t>299.29</t>
  </si>
  <si>
    <t>349.06</t>
  </si>
  <si>
    <t>1567.24</t>
  </si>
  <si>
    <t>2166.32</t>
  </si>
  <si>
    <t>Multi-Mode Fiber Cable 200m</t>
  </si>
  <si>
    <t>1068.98</t>
  </si>
  <si>
    <t>1688.32</t>
  </si>
  <si>
    <t>506.25</t>
  </si>
  <si>
    <t>569.4</t>
  </si>
  <si>
    <t>556.68</t>
  </si>
  <si>
    <t>1001.84</t>
  </si>
  <si>
    <t>1636.56</t>
  </si>
  <si>
    <t>2991.32</t>
  </si>
  <si>
    <t>1019.63</t>
  </si>
  <si>
    <t>1892.72</t>
  </si>
  <si>
    <t>1472.3</t>
  </si>
  <si>
    <t>2015.11</t>
  </si>
  <si>
    <t>Fixed Attenuator 3dB</t>
  </si>
  <si>
    <t>1896.27</t>
  </si>
  <si>
    <t>3407.56</t>
  </si>
  <si>
    <t>755.54</t>
  </si>
  <si>
    <t>1351.81</t>
  </si>
  <si>
    <t>649.64</t>
  </si>
  <si>
    <t>1185.92</t>
  </si>
  <si>
    <t>557.53</t>
  </si>
  <si>
    <t>904.64</t>
  </si>
  <si>
    <t>724.45</t>
  </si>
  <si>
    <t>822.0</t>
  </si>
  <si>
    <t>432.74</t>
  </si>
  <si>
    <t>783.17</t>
  </si>
  <si>
    <t>1182.98</t>
  </si>
  <si>
    <t>2122.61</t>
  </si>
  <si>
    <t>642.04</t>
  </si>
  <si>
    <t>1179.39</t>
  </si>
  <si>
    <t>475.3</t>
  </si>
  <si>
    <t>649.71</t>
  </si>
  <si>
    <t>461.01</t>
  </si>
  <si>
    <t>868.5</t>
  </si>
  <si>
    <t>1548.11</t>
  </si>
  <si>
    <t>2421.28</t>
  </si>
  <si>
    <t>499.16</t>
  </si>
  <si>
    <t>925.16</t>
  </si>
  <si>
    <t>1008.58</t>
  </si>
  <si>
    <t>1408.56</t>
  </si>
  <si>
    <t>1041.64</t>
  </si>
  <si>
    <t>1961.35</t>
  </si>
  <si>
    <t>456.39</t>
  </si>
  <si>
    <t>628.81</t>
  </si>
  <si>
    <t>598.67</t>
  </si>
  <si>
    <t>1067.99</t>
  </si>
  <si>
    <t>1189.41</t>
  </si>
  <si>
    <t>1654.57</t>
  </si>
  <si>
    <t>1677.26</t>
  </si>
  <si>
    <t>2423.02</t>
  </si>
  <si>
    <t>1240.67</t>
  </si>
  <si>
    <t>1417.65</t>
  </si>
  <si>
    <t>259.02</t>
  </si>
  <si>
    <t>513.21</t>
  </si>
  <si>
    <t>Outdoor Fiber Cable 300m</t>
  </si>
  <si>
    <t>1956.84</t>
  </si>
  <si>
    <t>3121.43</t>
  </si>
  <si>
    <t>1479.69</t>
  </si>
  <si>
    <t>2251.15</t>
  </si>
  <si>
    <t>851.43</t>
  </si>
  <si>
    <t>937.81</t>
  </si>
  <si>
    <t>1803.99</t>
  </si>
  <si>
    <t>2867.27</t>
  </si>
  <si>
    <t>Fiber Optic Crimper</t>
  </si>
  <si>
    <t>353.9</t>
  </si>
  <si>
    <t>685.06</t>
  </si>
  <si>
    <t>369.72</t>
  </si>
  <si>
    <t>713.58</t>
  </si>
  <si>
    <t>Armored Fiber Cable 300m</t>
  </si>
  <si>
    <t>1176.27</t>
  </si>
  <si>
    <t>1507.3</t>
  </si>
  <si>
    <t>1456.62</t>
  </si>
  <si>
    <t>2887.33</t>
  </si>
  <si>
    <t>865.08</t>
  </si>
  <si>
    <t>1419.74</t>
  </si>
  <si>
    <t>259.22</t>
  </si>
  <si>
    <t>311.1</t>
  </si>
  <si>
    <t>367.79</t>
  </si>
  <si>
    <t>671.88</t>
  </si>
  <si>
    <t>1832.13</t>
  </si>
  <si>
    <t>3368.34</t>
  </si>
  <si>
    <t>1759.42</t>
  </si>
  <si>
    <t>124.94</t>
  </si>
  <si>
    <t>158.53</t>
  </si>
  <si>
    <t>1803.65</t>
  </si>
  <si>
    <t>2902.31</t>
  </si>
  <si>
    <t>1653.7</t>
  </si>
  <si>
    <t>2968.99</t>
  </si>
  <si>
    <t>742.32</t>
  </si>
  <si>
    <t>1301.85</t>
  </si>
  <si>
    <t>1916.28</t>
  </si>
  <si>
    <t>3256.89</t>
  </si>
  <si>
    <t>1059.96</t>
  </si>
  <si>
    <t>1686.26</t>
  </si>
  <si>
    <t>1136.03</t>
  </si>
  <si>
    <t>2107.31</t>
  </si>
  <si>
    <t>1718.73</t>
  </si>
  <si>
    <t>2021.74</t>
  </si>
  <si>
    <t>986.54</t>
  </si>
  <si>
    <t>1446.34</t>
  </si>
  <si>
    <t>1064.98</t>
  </si>
  <si>
    <t>2095.04</t>
  </si>
  <si>
    <t>1873.51</t>
  </si>
  <si>
    <t>3047.44</t>
  </si>
  <si>
    <t>106.55</t>
  </si>
  <si>
    <t>189.98</t>
  </si>
  <si>
    <t>1541.48</t>
  </si>
  <si>
    <t>2920.66</t>
  </si>
  <si>
    <t>SFP+ Transceiver</t>
  </si>
  <si>
    <t>1639.77</t>
  </si>
  <si>
    <t>2282.14</t>
  </si>
  <si>
    <t>352.76</t>
  </si>
  <si>
    <t>496.46</t>
  </si>
  <si>
    <t>1459.98</t>
  </si>
  <si>
    <t>1979.7</t>
  </si>
  <si>
    <t>694.52</t>
  </si>
  <si>
    <t>778.25</t>
  </si>
  <si>
    <t>508.26</t>
  </si>
  <si>
    <t>1010.68</t>
  </si>
  <si>
    <t>885.03</t>
  </si>
  <si>
    <t>1633.92</t>
  </si>
  <si>
    <t>MPO UPC Connector</t>
  </si>
  <si>
    <t>476.75</t>
  </si>
  <si>
    <t>828.65</t>
  </si>
  <si>
    <t>1685.14</t>
  </si>
  <si>
    <t>2383.24</t>
  </si>
  <si>
    <t>1191.96</t>
  </si>
  <si>
    <t>1947.55</t>
  </si>
  <si>
    <t>987.13</t>
  </si>
  <si>
    <t>1832.87</t>
  </si>
  <si>
    <t>1406.27</t>
  </si>
  <si>
    <t>2629.15</t>
  </si>
  <si>
    <t>565.76</t>
  </si>
  <si>
    <t>857.05</t>
  </si>
  <si>
    <t>614.69</t>
  </si>
  <si>
    <t>681.31</t>
  </si>
  <si>
    <t>Outdoor Fiber Cable 200m</t>
  </si>
  <si>
    <t>514.58</t>
  </si>
  <si>
    <t>817.06</t>
  </si>
  <si>
    <t>MTP APC Connector</t>
  </si>
  <si>
    <t>576.2</t>
  </si>
  <si>
    <t>771.37</t>
  </si>
  <si>
    <t>156.61</t>
  </si>
  <si>
    <t>240.23</t>
  </si>
  <si>
    <t>1526.95</t>
  </si>
  <si>
    <t>2028.18</t>
  </si>
  <si>
    <t>677.52</t>
  </si>
  <si>
    <t>747.37</t>
  </si>
  <si>
    <t>205.16</t>
  </si>
  <si>
    <t>256.84</t>
  </si>
  <si>
    <t>1247.14</t>
  </si>
  <si>
    <t>1824.53</t>
  </si>
  <si>
    <t>881.42</t>
  </si>
  <si>
    <t>1388.11</t>
  </si>
  <si>
    <t>264.95</t>
  </si>
  <si>
    <t>462.15</t>
  </si>
  <si>
    <t>1053.91</t>
  </si>
  <si>
    <t>1808.9</t>
  </si>
  <si>
    <t>1337.64</t>
  </si>
  <si>
    <t>2170.99</t>
  </si>
  <si>
    <t>1323.84</t>
  </si>
  <si>
    <t>1534.28</t>
  </si>
  <si>
    <t>1786.09</t>
  </si>
  <si>
    <t>2418.91</t>
  </si>
  <si>
    <t>1113.26</t>
  </si>
  <si>
    <t>1381.12</t>
  </si>
  <si>
    <t>167.41</t>
  </si>
  <si>
    <t>283.06</t>
  </si>
  <si>
    <t>1011.75</t>
  </si>
  <si>
    <t>1340.94</t>
  </si>
  <si>
    <t>630.29</t>
  </si>
  <si>
    <t>1128.47</t>
  </si>
  <si>
    <t>833.0</t>
  </si>
  <si>
    <t>1567.74</t>
  </si>
  <si>
    <t>1887.18</t>
  </si>
  <si>
    <t>3195.13</t>
  </si>
  <si>
    <t>1769.51</t>
  </si>
  <si>
    <t>2372.45</t>
  </si>
  <si>
    <t>9.79</t>
  </si>
  <si>
    <t>11.91</t>
  </si>
  <si>
    <t>485.67</t>
  </si>
  <si>
    <t>907.75</t>
  </si>
  <si>
    <t>968.64</t>
  </si>
  <si>
    <t>1370.19</t>
  </si>
  <si>
    <t>1387.29</t>
  </si>
  <si>
    <t>2768.88</t>
  </si>
  <si>
    <t>580.93</t>
  </si>
  <si>
    <t>683.41</t>
  </si>
  <si>
    <t>903.46</t>
  </si>
  <si>
    <t>1431.44</t>
  </si>
  <si>
    <t>651.64</t>
  </si>
  <si>
    <t>1208.94</t>
  </si>
  <si>
    <t>SC APC Connector</t>
  </si>
  <si>
    <t>1748.51</t>
  </si>
  <si>
    <t>1934.34</t>
  </si>
  <si>
    <t>Fixed Attenuator 10dB</t>
  </si>
  <si>
    <t>1524.7</t>
  </si>
  <si>
    <t>1699.36</t>
  </si>
  <si>
    <t>96.32</t>
  </si>
  <si>
    <t>178.19</t>
  </si>
  <si>
    <t>57.06</t>
  </si>
  <si>
    <t>95.97</t>
  </si>
  <si>
    <t>1214.41</t>
  </si>
  <si>
    <t>1737.45</t>
  </si>
  <si>
    <t>605.54</t>
  </si>
  <si>
    <t>908.9</t>
  </si>
  <si>
    <t>1638.91</t>
  </si>
  <si>
    <t>2234.32</t>
  </si>
  <si>
    <t>Armored Fiber Cable 50m</t>
  </si>
  <si>
    <t>471.79</t>
  </si>
  <si>
    <t>878.98</t>
  </si>
  <si>
    <t>685.9</t>
  </si>
  <si>
    <t>846.22</t>
  </si>
  <si>
    <t>1787.45</t>
  </si>
  <si>
    <t>2488.37</t>
  </si>
  <si>
    <t>1587.47</t>
  </si>
  <si>
    <t>2362.54</t>
  </si>
  <si>
    <t>1459.35</t>
  </si>
  <si>
    <t>2111.63</t>
  </si>
  <si>
    <t>1720.18</t>
  </si>
  <si>
    <t>2797.87</t>
  </si>
  <si>
    <t>239.3</t>
  </si>
  <si>
    <t>432.97</t>
  </si>
  <si>
    <t>1043.1</t>
  </si>
  <si>
    <t>1601.69</t>
  </si>
  <si>
    <t>1335.57</t>
  </si>
  <si>
    <t>2041.49</t>
  </si>
  <si>
    <t>465.33</t>
  </si>
  <si>
    <t>882.28</t>
  </si>
  <si>
    <t>526.82</t>
  </si>
  <si>
    <t>582.04</t>
  </si>
  <si>
    <t>1702.82</t>
  </si>
  <si>
    <t>2284.38</t>
  </si>
  <si>
    <t>264.83</t>
  </si>
  <si>
    <t>350.42</t>
  </si>
  <si>
    <t>962.39</t>
  </si>
  <si>
    <t>1516.05</t>
  </si>
  <si>
    <t>1613.57</t>
  </si>
  <si>
    <t>3152.21</t>
  </si>
  <si>
    <t>1263.68</t>
  </si>
  <si>
    <t>1676.36</t>
  </si>
  <si>
    <t>389.18</t>
  </si>
  <si>
    <t>516.76</t>
  </si>
  <si>
    <t>769.0</t>
  </si>
  <si>
    <t>1390.61</t>
  </si>
  <si>
    <t>130.96</t>
  </si>
  <si>
    <t>200.65</t>
  </si>
  <si>
    <t>47.82</t>
  </si>
  <si>
    <t>81.09</t>
  </si>
  <si>
    <t>1329.99</t>
  </si>
  <si>
    <t>2533.47</t>
  </si>
  <si>
    <t>1370.97</t>
  </si>
  <si>
    <t>2336.81</t>
  </si>
  <si>
    <t>861.96</t>
  </si>
  <si>
    <t>980.48</t>
  </si>
  <si>
    <t>253.07</t>
  </si>
  <si>
    <t>453.96</t>
  </si>
  <si>
    <t>70.75</t>
  </si>
  <si>
    <t>82.95</t>
  </si>
  <si>
    <t>1022.43</t>
  </si>
  <si>
    <t>1551.47</t>
  </si>
  <si>
    <t>832.94</t>
  </si>
  <si>
    <t>1074.8</t>
  </si>
  <si>
    <t>236.78</t>
  </si>
  <si>
    <t>339.6</t>
  </si>
  <si>
    <t>555.64</t>
  </si>
  <si>
    <t>772.08</t>
  </si>
  <si>
    <t>1574.68</t>
  </si>
  <si>
    <t>2938.37</t>
  </si>
  <si>
    <t>1500.89</t>
  </si>
  <si>
    <t>2759.4</t>
  </si>
  <si>
    <t>Single-Mode Fiber Cable 50m</t>
  </si>
  <si>
    <t>281.72</t>
  </si>
  <si>
    <t>510.96</t>
  </si>
  <si>
    <t>527.36</t>
  </si>
  <si>
    <t>1044.66</t>
  </si>
  <si>
    <t>946.09</t>
  </si>
  <si>
    <t>1520.32</t>
  </si>
  <si>
    <t>1808.18</t>
  </si>
  <si>
    <t>3220.69</t>
  </si>
  <si>
    <t>176.88</t>
  </si>
  <si>
    <t>245.25</t>
  </si>
  <si>
    <t>730.22</t>
  </si>
  <si>
    <t>1002.88</t>
  </si>
  <si>
    <t>544.28</t>
  </si>
  <si>
    <t>744.81</t>
  </si>
  <si>
    <t>1864.07</t>
  </si>
  <si>
    <t>2453.66</t>
  </si>
  <si>
    <t>836.45</t>
  </si>
  <si>
    <t>1639.21</t>
  </si>
  <si>
    <t>261.87</t>
  </si>
  <si>
    <t>376.05</t>
  </si>
  <si>
    <t>894.25</t>
  </si>
  <si>
    <t>1705.43</t>
  </si>
  <si>
    <t>410.12</t>
  </si>
  <si>
    <t>459.71</t>
  </si>
  <si>
    <t>444.38</t>
  </si>
  <si>
    <t>811.76</t>
  </si>
  <si>
    <t>370.32</t>
  </si>
  <si>
    <t>733.13</t>
  </si>
  <si>
    <t>228.13</t>
  </si>
  <si>
    <t>376.66</t>
  </si>
  <si>
    <t>1668.07</t>
  </si>
  <si>
    <t>2155.38</t>
  </si>
  <si>
    <t>945.44</t>
  </si>
  <si>
    <t>1555.29</t>
  </si>
  <si>
    <t>1582.52</t>
  </si>
  <si>
    <t>2104.48</t>
  </si>
  <si>
    <t>256.85</t>
  </si>
  <si>
    <t>390.75</t>
  </si>
  <si>
    <t>1311.91</t>
  </si>
  <si>
    <t>1845.26</t>
  </si>
  <si>
    <t>103.12</t>
  </si>
  <si>
    <t>175.86</t>
  </si>
  <si>
    <t>1885.35</t>
  </si>
  <si>
    <t>3037.35</t>
  </si>
  <si>
    <t>1638.34</t>
  </si>
  <si>
    <t>2790.54</t>
  </si>
  <si>
    <t>1490.64</t>
  </si>
  <si>
    <t>2123.31</t>
  </si>
  <si>
    <t>578.42</t>
  </si>
  <si>
    <t>1092.52</t>
  </si>
  <si>
    <t>Multi-Mode Fiber Cable 100m</t>
  </si>
  <si>
    <t>1088.18</t>
  </si>
  <si>
    <t>2031.2</t>
  </si>
  <si>
    <t>288.0</t>
  </si>
  <si>
    <t>405.42</t>
  </si>
  <si>
    <t>1810.9</t>
  </si>
  <si>
    <t>3566.87</t>
  </si>
  <si>
    <t>145.45</t>
  </si>
  <si>
    <t>250.4</t>
  </si>
  <si>
    <t>1852.09</t>
  </si>
  <si>
    <t>2999.47</t>
  </si>
  <si>
    <t>1214.63</t>
  </si>
  <si>
    <t>2393.22</t>
  </si>
  <si>
    <t>423.38</t>
  </si>
  <si>
    <t>584.81</t>
  </si>
  <si>
    <t>1895.13</t>
  </si>
  <si>
    <t>2807.91</t>
  </si>
  <si>
    <t>567.45</t>
  </si>
  <si>
    <t>879.89</t>
  </si>
  <si>
    <t>Outdoor Fiber Cable 500m</t>
  </si>
  <si>
    <t>339.57</t>
  </si>
  <si>
    <t>550.69</t>
  </si>
  <si>
    <t>1615.17</t>
  </si>
  <si>
    <t>2479.05</t>
  </si>
  <si>
    <t>1176.93</t>
  </si>
  <si>
    <t>1411.5</t>
  </si>
  <si>
    <t>46.67</t>
  </si>
  <si>
    <t>80.69</t>
  </si>
  <si>
    <t>533.76</t>
  </si>
  <si>
    <t>1003.07</t>
  </si>
  <si>
    <t>64.26</t>
  </si>
  <si>
    <t>116.05</t>
  </si>
  <si>
    <t>529.35</t>
  </si>
  <si>
    <t>604.65</t>
  </si>
  <si>
    <t>1985.01</t>
  </si>
  <si>
    <t>3217.69</t>
  </si>
  <si>
    <t>93.14</t>
  </si>
  <si>
    <t>164.86</t>
  </si>
  <si>
    <t>1221.72</t>
  </si>
  <si>
    <t>1955.03</t>
  </si>
  <si>
    <t>1797.52</t>
  </si>
  <si>
    <t>3396.07</t>
  </si>
  <si>
    <t>1581.49</t>
  </si>
  <si>
    <t>2905.69</t>
  </si>
  <si>
    <t>1013.39</t>
  </si>
  <si>
    <t>1235.37</t>
  </si>
  <si>
    <t>1466.62</t>
  </si>
  <si>
    <t>2298.53</t>
  </si>
  <si>
    <t>259.09</t>
  </si>
  <si>
    <t>410.03</t>
  </si>
  <si>
    <t>1502.99</t>
  </si>
  <si>
    <t>2669.36</t>
  </si>
  <si>
    <t>1754.95</t>
  </si>
  <si>
    <t>3438.72</t>
  </si>
  <si>
    <t>212.67</t>
  </si>
  <si>
    <t>374.73</t>
  </si>
  <si>
    <t>187.04</t>
  </si>
  <si>
    <t>325.99</t>
  </si>
  <si>
    <t>107.78</t>
  </si>
  <si>
    <t>214.85</t>
  </si>
  <si>
    <t>735.11</t>
  </si>
  <si>
    <t>1121.64</t>
  </si>
  <si>
    <t>513.96</t>
  </si>
  <si>
    <t>759.92</t>
  </si>
  <si>
    <t>ST APC Connector</t>
  </si>
  <si>
    <t>814.95</t>
  </si>
  <si>
    <t>1390.41</t>
  </si>
  <si>
    <t>397.73</t>
  </si>
  <si>
    <t>512.41</t>
  </si>
  <si>
    <t>1087.01</t>
  </si>
  <si>
    <t>1824.34</t>
  </si>
  <si>
    <t>1259.95</t>
  </si>
  <si>
    <t>1657.14</t>
  </si>
  <si>
    <t>143.65</t>
  </si>
  <si>
    <t>225.54</t>
  </si>
  <si>
    <t>245.26</t>
  </si>
  <si>
    <t>318.63</t>
  </si>
  <si>
    <t>1392.22</t>
  </si>
  <si>
    <t>1593.22</t>
  </si>
  <si>
    <t>963.17</t>
  </si>
  <si>
    <t>1522.78</t>
  </si>
  <si>
    <t>1821.87</t>
  </si>
  <si>
    <t>3232.68</t>
  </si>
  <si>
    <t>1666.92</t>
  </si>
  <si>
    <t>2040.84</t>
  </si>
  <si>
    <t>960.08</t>
  </si>
  <si>
    <t>1159.49</t>
  </si>
  <si>
    <t>1163.17</t>
  </si>
  <si>
    <t>1680.01</t>
  </si>
  <si>
    <t>585.87</t>
  </si>
  <si>
    <t>1090.08</t>
  </si>
  <si>
    <t>155.66</t>
  </si>
  <si>
    <t>257.41</t>
  </si>
  <si>
    <t>66.95</t>
  </si>
  <si>
    <t>87.25</t>
  </si>
  <si>
    <t>957.13</t>
  </si>
  <si>
    <t>1514.04</t>
  </si>
  <si>
    <t>Indoor Fiber Cable 50m</t>
  </si>
  <si>
    <t>904.43</t>
  </si>
  <si>
    <t>1154.06</t>
  </si>
  <si>
    <t>606.09</t>
  </si>
  <si>
    <t>817.48</t>
  </si>
  <si>
    <t>1085.23</t>
  </si>
  <si>
    <t>1666.82</t>
  </si>
  <si>
    <t>107.37</t>
  </si>
  <si>
    <t>130.41</t>
  </si>
  <si>
    <t>663.63</t>
  </si>
  <si>
    <t>1301.68</t>
  </si>
  <si>
    <t>1774.77</t>
  </si>
  <si>
    <t>2786.06</t>
  </si>
  <si>
    <t>1910.56</t>
  </si>
  <si>
    <t>3235.79</t>
  </si>
  <si>
    <t>1319.13</t>
  </si>
  <si>
    <t>1631.43</t>
  </si>
  <si>
    <t>66.27</t>
  </si>
  <si>
    <t>121.01</t>
  </si>
  <si>
    <t>1134.3</t>
  </si>
  <si>
    <t>1471.32</t>
  </si>
  <si>
    <t>1099.67</t>
  </si>
  <si>
    <t>1301.5</t>
  </si>
  <si>
    <t>142.8</t>
  </si>
  <si>
    <t>201.97</t>
  </si>
  <si>
    <t>404.75</t>
  </si>
  <si>
    <t>779.55</t>
  </si>
  <si>
    <t>1264.18</t>
  </si>
  <si>
    <t>2403.04</t>
  </si>
  <si>
    <t>813.45</t>
  </si>
  <si>
    <t>1493.22</t>
  </si>
  <si>
    <t>1010.03</t>
  </si>
  <si>
    <t>1675.98</t>
  </si>
  <si>
    <t>482.91</t>
  </si>
  <si>
    <t>882.61</t>
  </si>
  <si>
    <t>1328.8</t>
  </si>
  <si>
    <t>2042.76</t>
  </si>
  <si>
    <t>531.53</t>
  </si>
  <si>
    <t>679.71</t>
  </si>
  <si>
    <t>1926.21</t>
  </si>
  <si>
    <t>2537.0</t>
  </si>
  <si>
    <t>992.09</t>
  </si>
  <si>
    <t>1953.45</t>
  </si>
  <si>
    <t>1575.38</t>
  </si>
  <si>
    <t>2928.06</t>
  </si>
  <si>
    <t>504.35</t>
  </si>
  <si>
    <t>983.29</t>
  </si>
  <si>
    <t>158.41</t>
  </si>
  <si>
    <t>210.86</t>
  </si>
  <si>
    <t>1633.95</t>
  </si>
  <si>
    <t>2288.15</t>
  </si>
  <si>
    <t>1456.42</t>
  </si>
  <si>
    <t>2067.54</t>
  </si>
  <si>
    <t>1470.07</t>
  </si>
  <si>
    <t>1825.56</t>
  </si>
  <si>
    <t>141.25</t>
  </si>
  <si>
    <t>161.7</t>
  </si>
  <si>
    <t>1975.75</t>
  </si>
  <si>
    <t>3638.82</t>
  </si>
  <si>
    <t>787.56</t>
  </si>
  <si>
    <t>959.8</t>
  </si>
  <si>
    <t>1898.78</t>
  </si>
  <si>
    <t>2604.48</t>
  </si>
  <si>
    <t>1842.3</t>
  </si>
  <si>
    <t>3266.81</t>
  </si>
  <si>
    <t>1782.14</t>
  </si>
  <si>
    <t>3059.39</t>
  </si>
  <si>
    <t>750.1</t>
  </si>
  <si>
    <t>1398.04</t>
  </si>
  <si>
    <t>503.27</t>
  </si>
  <si>
    <t>873.7</t>
  </si>
  <si>
    <t>435.76</t>
  </si>
  <si>
    <t>574.94</t>
  </si>
  <si>
    <t>1145.14</t>
  </si>
  <si>
    <t>2203.12</t>
  </si>
  <si>
    <t>745.81</t>
  </si>
  <si>
    <t>1422.42</t>
  </si>
  <si>
    <t>1406.2</t>
  </si>
  <si>
    <t>2147.38</t>
  </si>
  <si>
    <t>499.76</t>
  </si>
  <si>
    <t>624.95</t>
  </si>
  <si>
    <t>196.26</t>
  </si>
  <si>
    <t>387.92</t>
  </si>
  <si>
    <t>234.34</t>
  </si>
  <si>
    <t>454.76</t>
  </si>
  <si>
    <t>359.03</t>
  </si>
  <si>
    <t>442.73</t>
  </si>
  <si>
    <t>490.85</t>
  </si>
  <si>
    <t>660.58</t>
  </si>
  <si>
    <t>16.54</t>
  </si>
  <si>
    <t>29.84</t>
  </si>
  <si>
    <t>472.41</t>
  </si>
  <si>
    <t>877.58</t>
  </si>
  <si>
    <t>709.88</t>
  </si>
  <si>
    <t>1018.39</t>
  </si>
  <si>
    <t>933.66</t>
  </si>
  <si>
    <t>1245.6</t>
  </si>
  <si>
    <t>1190.62</t>
  </si>
  <si>
    <t>1416.78</t>
  </si>
  <si>
    <t>1845.48</t>
  </si>
  <si>
    <t>2314.67</t>
  </si>
  <si>
    <t>397.39</t>
  </si>
  <si>
    <t>761.49</t>
  </si>
  <si>
    <t>1685.79</t>
  </si>
  <si>
    <t>2492.34</t>
  </si>
  <si>
    <t>1855.05</t>
  </si>
  <si>
    <t>3590.05</t>
  </si>
  <si>
    <t>1797.64</t>
  </si>
  <si>
    <t>3445.78</t>
  </si>
  <si>
    <t>953.81</t>
  </si>
  <si>
    <t>1555.8</t>
  </si>
  <si>
    <t>653.88</t>
  </si>
  <si>
    <t>1186.68</t>
  </si>
  <si>
    <t>1367.55</t>
  </si>
  <si>
    <t>1760.28</t>
  </si>
  <si>
    <t>698.18</t>
  </si>
  <si>
    <t>1141.16</t>
  </si>
  <si>
    <t>1939.48</t>
  </si>
  <si>
    <t>2980.1</t>
  </si>
  <si>
    <t>1739.15</t>
  </si>
  <si>
    <t>2802.56</t>
  </si>
  <si>
    <t>695.01</t>
  </si>
  <si>
    <t>1343.15</t>
  </si>
  <si>
    <t>402.13</t>
  </si>
  <si>
    <t>362.38</t>
  </si>
  <si>
    <t>423.61</t>
  </si>
  <si>
    <t>1978.9</t>
  </si>
  <si>
    <t>2284.0</t>
  </si>
  <si>
    <t>941.59</t>
  </si>
  <si>
    <t>1691.22</t>
  </si>
  <si>
    <t>1202.61</t>
  </si>
  <si>
    <t>2386.6</t>
  </si>
  <si>
    <t>672.61</t>
  </si>
  <si>
    <t>975.21</t>
  </si>
  <si>
    <t>93.98</t>
  </si>
  <si>
    <t>152.32</t>
  </si>
  <si>
    <t>658.49</t>
  </si>
  <si>
    <t>862.33</t>
  </si>
  <si>
    <t>1493.78</t>
  </si>
  <si>
    <t>1703.88</t>
  </si>
  <si>
    <t>1786.2</t>
  </si>
  <si>
    <t>3317.57</t>
  </si>
  <si>
    <t>754.71</t>
  </si>
  <si>
    <t>1392.84</t>
  </si>
  <si>
    <t>1050.14</t>
  </si>
  <si>
    <t>1714.51</t>
  </si>
  <si>
    <t>1219.17</t>
  </si>
  <si>
    <t>1812.01</t>
  </si>
  <si>
    <t>1537.24</t>
  </si>
  <si>
    <t>1895.28</t>
  </si>
  <si>
    <t>923.14</t>
  </si>
  <si>
    <t>1814.89</t>
  </si>
  <si>
    <t>379.99</t>
  </si>
  <si>
    <t>729.75</t>
  </si>
  <si>
    <t>720.33</t>
  </si>
  <si>
    <t>905.76</t>
  </si>
  <si>
    <t>Multi-Mode Fiber Cable 50m</t>
  </si>
  <si>
    <t>1312.99</t>
  </si>
  <si>
    <t>1451.33</t>
  </si>
  <si>
    <t>581.54</t>
  </si>
  <si>
    <t>878.52</t>
  </si>
  <si>
    <t>363.35</t>
  </si>
  <si>
    <t>703.74</t>
  </si>
  <si>
    <t>542.86</t>
  </si>
  <si>
    <t>1018.45</t>
  </si>
  <si>
    <t>1640.74</t>
  </si>
  <si>
    <t>2140.1</t>
  </si>
  <si>
    <t>1524.06</t>
  </si>
  <si>
    <t>2042.84</t>
  </si>
  <si>
    <t>1229.0</t>
  </si>
  <si>
    <t>2344.92</t>
  </si>
  <si>
    <t>876.83</t>
  </si>
  <si>
    <t>1105.21</t>
  </si>
  <si>
    <t>1698.99</t>
  </si>
  <si>
    <t>3023.1</t>
  </si>
  <si>
    <t>1910.38</t>
  </si>
  <si>
    <t>3350.42</t>
  </si>
  <si>
    <t>1420.61</t>
  </si>
  <si>
    <t>1626.44</t>
  </si>
  <si>
    <t>1983.66</t>
  </si>
  <si>
    <t>2582.74</t>
  </si>
  <si>
    <t>911.28</t>
  </si>
  <si>
    <t>1486.67</t>
  </si>
  <si>
    <t>Multi-Mode Fiber Cable 500m</t>
  </si>
  <si>
    <t>493.63</t>
  </si>
  <si>
    <t>777.06</t>
  </si>
  <si>
    <t>82.84</t>
  </si>
  <si>
    <t>125.43</t>
  </si>
  <si>
    <t>1356.4</t>
  </si>
  <si>
    <t>2565.86</t>
  </si>
  <si>
    <t>Single-Mode Fiber Cable 500m</t>
  </si>
  <si>
    <t>1137.15</t>
  </si>
  <si>
    <t>1285.15</t>
  </si>
  <si>
    <t>784.98</t>
  </si>
  <si>
    <t>1205.31</t>
  </si>
  <si>
    <t>1230.7</t>
  </si>
  <si>
    <t>1818.68</t>
  </si>
  <si>
    <t>466.18</t>
  </si>
  <si>
    <t>554.17</t>
  </si>
  <si>
    <t>1551.49</t>
  </si>
  <si>
    <t>2791.95</t>
  </si>
  <si>
    <t>972.21</t>
  </si>
  <si>
    <t>1269.68</t>
  </si>
  <si>
    <t>1565.54</t>
  </si>
  <si>
    <t>2584.21</t>
  </si>
  <si>
    <t>1256.42</t>
  </si>
  <si>
    <t>2154.37</t>
  </si>
  <si>
    <t>1688.23</t>
  </si>
  <si>
    <t>1989.19</t>
  </si>
  <si>
    <t>1697.74</t>
  </si>
  <si>
    <t>2726.71</t>
  </si>
  <si>
    <t>566.55</t>
  </si>
  <si>
    <t>1070.0</t>
  </si>
  <si>
    <t>11.87</t>
  </si>
  <si>
    <t>15.03</t>
  </si>
  <si>
    <t>365.96</t>
  </si>
  <si>
    <t>691.39</t>
  </si>
  <si>
    <t>1347.7</t>
  </si>
  <si>
    <t>2417.15</t>
  </si>
  <si>
    <t>1252.68</t>
  </si>
  <si>
    <t>1809.11</t>
  </si>
  <si>
    <t>1575.83</t>
  </si>
  <si>
    <t>3050.51</t>
  </si>
  <si>
    <t>1706.24</t>
  </si>
  <si>
    <t>2020.34</t>
  </si>
  <si>
    <t>474.18</t>
  </si>
  <si>
    <t>728.35</t>
  </si>
  <si>
    <t>1709.71</t>
  </si>
  <si>
    <t>3230.05</t>
  </si>
  <si>
    <t>558.47</t>
  </si>
  <si>
    <t>684.6</t>
  </si>
  <si>
    <t>343.56</t>
  </si>
  <si>
    <t>442.43</t>
  </si>
  <si>
    <t>635.83</t>
  </si>
  <si>
    <t>882.62</t>
  </si>
  <si>
    <t>1011.53</t>
  </si>
  <si>
    <t>1523.11</t>
  </si>
  <si>
    <t>1985.99</t>
  </si>
  <si>
    <t>3578.83</t>
  </si>
  <si>
    <t>246.65</t>
  </si>
  <si>
    <t>444.69</t>
  </si>
  <si>
    <t>1679.31</t>
  </si>
  <si>
    <t>2729.35</t>
  </si>
  <si>
    <t>546.43</t>
  </si>
  <si>
    <t>1075.88</t>
  </si>
  <si>
    <t>793.09</t>
  </si>
  <si>
    <t>1098.73</t>
  </si>
  <si>
    <t>1767.68</t>
  </si>
  <si>
    <t>2131.8</t>
  </si>
  <si>
    <t>1417.4</t>
  </si>
  <si>
    <t>1724.81</t>
  </si>
  <si>
    <t>377.94</t>
  </si>
  <si>
    <t>609.26</t>
  </si>
  <si>
    <t>964.12</t>
  </si>
  <si>
    <t>1471.46</t>
  </si>
  <si>
    <t>459.34</t>
  </si>
  <si>
    <t>585.78</t>
  </si>
  <si>
    <t>210.65</t>
  </si>
  <si>
    <t>365.13</t>
  </si>
  <si>
    <t>1837.58</t>
  </si>
  <si>
    <t>2955.53</t>
  </si>
  <si>
    <t>385.64</t>
  </si>
  <si>
    <t>700.07</t>
  </si>
  <si>
    <t>467.78</t>
  </si>
  <si>
    <t>568.47</t>
  </si>
  <si>
    <t>1325.96</t>
  </si>
  <si>
    <t>2485.23</t>
  </si>
  <si>
    <t>1227.31</t>
  </si>
  <si>
    <t>1815.33</t>
  </si>
  <si>
    <t>1952.87</t>
  </si>
  <si>
    <t>2290.97</t>
  </si>
  <si>
    <t>1582.72</t>
  </si>
  <si>
    <t>2484.51</t>
  </si>
  <si>
    <t>522.75</t>
  </si>
  <si>
    <t>855.27</t>
  </si>
  <si>
    <t>439.74</t>
  </si>
  <si>
    <t>733.5</t>
  </si>
  <si>
    <t>1695.7</t>
  </si>
  <si>
    <t>2309.07</t>
  </si>
  <si>
    <t>1884.06</t>
  </si>
  <si>
    <t>2202.75</t>
  </si>
  <si>
    <t>862.38</t>
  </si>
  <si>
    <t>1668.23</t>
  </si>
  <si>
    <t>959.68</t>
  </si>
  <si>
    <t>1905.47</t>
  </si>
  <si>
    <t>Indoor Fiber Cable 200m</t>
  </si>
  <si>
    <t>531.09</t>
  </si>
  <si>
    <t>762.36</t>
  </si>
  <si>
    <t>767.37</t>
  </si>
  <si>
    <t>1409.31</t>
  </si>
  <si>
    <t>450.61</t>
  </si>
  <si>
    <t>846.37</t>
  </si>
  <si>
    <t>1635.25</t>
  </si>
  <si>
    <t>2582.81</t>
  </si>
  <si>
    <t>1975.88</t>
  </si>
  <si>
    <t>3244.56</t>
  </si>
  <si>
    <t>1196.76</t>
  </si>
  <si>
    <t>1357.08</t>
  </si>
  <si>
    <t>1718.53</t>
  </si>
  <si>
    <t>3436.96</t>
  </si>
  <si>
    <t>424.97</t>
  </si>
  <si>
    <t>628.26</t>
  </si>
  <si>
    <t>1666.26</t>
  </si>
  <si>
    <t>2102.5</t>
  </si>
  <si>
    <t>1698.15</t>
  </si>
  <si>
    <t>2721.11</t>
  </si>
  <si>
    <t>1692.59</t>
  </si>
  <si>
    <t>3278.94</t>
  </si>
  <si>
    <t>501.55</t>
  </si>
  <si>
    <t>847.52</t>
  </si>
  <si>
    <t>1066.95</t>
  </si>
  <si>
    <t>1968.14</t>
  </si>
  <si>
    <t>Armored Fiber Cable 100m</t>
  </si>
  <si>
    <t>1557.7</t>
  </si>
  <si>
    <t>2621.2</t>
  </si>
  <si>
    <t>1293.76</t>
  </si>
  <si>
    <t>1972.61</t>
  </si>
  <si>
    <t>557.82</t>
  </si>
  <si>
    <t>106.38</t>
  </si>
  <si>
    <t>150.4</t>
  </si>
  <si>
    <t>1932.79</t>
  </si>
  <si>
    <t>3118.28</t>
  </si>
  <si>
    <t>399.42</t>
  </si>
  <si>
    <t>1873.61</t>
  </si>
  <si>
    <t>2882.84</t>
  </si>
  <si>
    <t>1178.0</t>
  </si>
  <si>
    <t>1595.78</t>
  </si>
  <si>
    <t>326.19</t>
  </si>
  <si>
    <t>482.71</t>
  </si>
  <si>
    <t>861.83</t>
  </si>
  <si>
    <t>1269.93</t>
  </si>
  <si>
    <t>950.65</t>
  </si>
  <si>
    <t>1439.51</t>
  </si>
  <si>
    <t>1665.41</t>
  </si>
  <si>
    <t>3051.83</t>
  </si>
  <si>
    <t>1993.04</t>
  </si>
  <si>
    <t>2666.31</t>
  </si>
  <si>
    <t>317.11</t>
  </si>
  <si>
    <t>569.51</t>
  </si>
  <si>
    <t>51.04</t>
  </si>
  <si>
    <t>70.69</t>
  </si>
  <si>
    <t>74.9</t>
  </si>
  <si>
    <t>133.59</t>
  </si>
  <si>
    <t>487.05</t>
  </si>
  <si>
    <t>665.1</t>
  </si>
  <si>
    <t>1544.88</t>
  </si>
  <si>
    <t>2094.2</t>
  </si>
  <si>
    <t>1512.79</t>
  </si>
  <si>
    <t>2231.6</t>
  </si>
  <si>
    <t>1460.72</t>
  </si>
  <si>
    <t>2356.74</t>
  </si>
  <si>
    <t>1404.29</t>
  </si>
  <si>
    <t>2318.16</t>
  </si>
  <si>
    <t>446.62</t>
  </si>
  <si>
    <t>653.67</t>
  </si>
  <si>
    <t>376.77</t>
  </si>
  <si>
    <t>466.67</t>
  </si>
  <si>
    <t>Multi-Mode Fiber Cable 300m</t>
  </si>
  <si>
    <t>12.93</t>
  </si>
  <si>
    <t>25.39</t>
  </si>
  <si>
    <t>734.87</t>
  </si>
  <si>
    <t>950.98</t>
  </si>
  <si>
    <t>51.07</t>
  </si>
  <si>
    <t>60.9</t>
  </si>
  <si>
    <t>901.17</t>
  </si>
  <si>
    <t>1220.59</t>
  </si>
  <si>
    <t>403.85</t>
  </si>
  <si>
    <t>506.72</t>
  </si>
  <si>
    <t>462.12</t>
  </si>
  <si>
    <t>559.71</t>
  </si>
  <si>
    <t>115.01</t>
  </si>
  <si>
    <t>151.05</t>
  </si>
  <si>
    <t>1628.24</t>
  </si>
  <si>
    <t>2937.17</t>
  </si>
  <si>
    <t>1933.01</t>
  </si>
  <si>
    <t>2137.52</t>
  </si>
  <si>
    <t>695.37</t>
  </si>
  <si>
    <t>1088.58</t>
  </si>
  <si>
    <t>715.44</t>
  </si>
  <si>
    <t>898.58</t>
  </si>
  <si>
    <t>8.04</t>
  </si>
  <si>
    <t>11.29</t>
  </si>
  <si>
    <t>265.15</t>
  </si>
  <si>
    <t>305.0</t>
  </si>
  <si>
    <t>416.18</t>
  </si>
  <si>
    <t>656.9</t>
  </si>
  <si>
    <t>1338.6</t>
  </si>
  <si>
    <t>2015.33</t>
  </si>
  <si>
    <t>600.96</t>
  </si>
  <si>
    <t>1197.11</t>
  </si>
  <si>
    <t>1052.16</t>
  </si>
  <si>
    <t>1496.43</t>
  </si>
  <si>
    <t>1324.5</t>
  </si>
  <si>
    <t>2585.67</t>
  </si>
  <si>
    <t>1632.78</t>
  </si>
  <si>
    <t>2746.94</t>
  </si>
  <si>
    <t>1757.5</t>
  </si>
  <si>
    <t>1933.63</t>
  </si>
  <si>
    <t>1484.89</t>
  </si>
  <si>
    <t>1912.19</t>
  </si>
  <si>
    <t>144.41</t>
  </si>
  <si>
    <t>202.39</t>
  </si>
  <si>
    <t>26.29</t>
  </si>
  <si>
    <t>31.85</t>
  </si>
  <si>
    <t>1778.52</t>
  </si>
  <si>
    <t>3301.01</t>
  </si>
  <si>
    <t>21.41</t>
  </si>
  <si>
    <t>33.4</t>
  </si>
  <si>
    <t>288.29</t>
  </si>
  <si>
    <t>401.23</t>
  </si>
  <si>
    <t>226.68</t>
  </si>
  <si>
    <t>346.1</t>
  </si>
  <si>
    <t>904.62</t>
  </si>
  <si>
    <t>1766.02</t>
  </si>
  <si>
    <t>219.91</t>
  </si>
  <si>
    <t>246.31</t>
  </si>
  <si>
    <t>79.48</t>
  </si>
  <si>
    <t>134.28</t>
  </si>
  <si>
    <t>1749.72</t>
  </si>
  <si>
    <t>2284.26</t>
  </si>
  <si>
    <t>87.18</t>
  </si>
  <si>
    <t>156.9</t>
  </si>
  <si>
    <t>1233.08</t>
  </si>
  <si>
    <t>1468.93</t>
  </si>
  <si>
    <t>1295.62</t>
  </si>
  <si>
    <t>2162.91</t>
  </si>
  <si>
    <t>1579.3</t>
  </si>
  <si>
    <t>2151.54</t>
  </si>
  <si>
    <t>512.2</t>
  </si>
  <si>
    <t>840.62</t>
  </si>
  <si>
    <t>1089.27</t>
  </si>
  <si>
    <t>2052.75</t>
  </si>
  <si>
    <t>1588.85</t>
  </si>
  <si>
    <t>3015.94</t>
  </si>
  <si>
    <t>1541.86</t>
  </si>
  <si>
    <t>1845.94</t>
  </si>
  <si>
    <t>1271.0</t>
  </si>
  <si>
    <t>1719.72</t>
  </si>
  <si>
    <t>387.06</t>
  </si>
  <si>
    <t>427.31</t>
  </si>
  <si>
    <t>1545.77</t>
  </si>
  <si>
    <t>1779.05</t>
  </si>
  <si>
    <t>1856.93</t>
  </si>
  <si>
    <t>2364.61</t>
  </si>
  <si>
    <t>394.32</t>
  </si>
  <si>
    <t>732.85</t>
  </si>
  <si>
    <t>2262.65</t>
  </si>
  <si>
    <t>1659.57</t>
  </si>
  <si>
    <t>1470.76</t>
  </si>
  <si>
    <t>297.2</t>
  </si>
  <si>
    <t>560.56</t>
  </si>
  <si>
    <t>1836.64</t>
  </si>
  <si>
    <t>2418.8</t>
  </si>
  <si>
    <t>58.81</t>
  </si>
  <si>
    <t>1222.36</t>
  </si>
  <si>
    <t>3035.66</t>
  </si>
  <si>
    <t>1355.51</t>
  </si>
  <si>
    <t>157.76</t>
  </si>
  <si>
    <t>2339.59</t>
  </si>
  <si>
    <t>1936.37</t>
  </si>
  <si>
    <t>290.14</t>
  </si>
  <si>
    <t>489.98</t>
  </si>
  <si>
    <t>2886.0</t>
  </si>
  <si>
    <t>165.91</t>
  </si>
  <si>
    <t>2397.23</t>
  </si>
  <si>
    <t>1316.08</t>
  </si>
  <si>
    <t>1940.77</t>
  </si>
  <si>
    <t>1814.09</t>
  </si>
  <si>
    <t>1639.28</t>
  </si>
  <si>
    <t>2126.26</t>
  </si>
  <si>
    <t>ITEM001-A</t>
  </si>
  <si>
    <t>ITEM002-A</t>
  </si>
  <si>
    <t>ITEM003-A</t>
  </si>
  <si>
    <t>ITEM004-A</t>
  </si>
  <si>
    <t>ITEM005-A</t>
  </si>
  <si>
    <t>ITEM006-A</t>
  </si>
  <si>
    <t>ITEM007-A</t>
  </si>
  <si>
    <t>ITEM008-A</t>
  </si>
  <si>
    <t>ITEM009-A</t>
  </si>
  <si>
    <t>ITEM010-A</t>
  </si>
  <si>
    <t>ITEM011-A</t>
  </si>
  <si>
    <t>ITEM012-A</t>
  </si>
  <si>
    <t>ITEM013-A</t>
  </si>
  <si>
    <t>ITEM014-A</t>
  </si>
  <si>
    <t>ITEM015-A</t>
  </si>
  <si>
    <t>ITEM016-A</t>
  </si>
  <si>
    <t>ITEM017-A</t>
  </si>
  <si>
    <t>ITEM018-A</t>
  </si>
  <si>
    <t>ITEM019-A</t>
  </si>
  <si>
    <t>ITEM020-A</t>
  </si>
  <si>
    <t>ITEM021-A</t>
  </si>
  <si>
    <t>ITEM022-A</t>
  </si>
  <si>
    <t>ITEM023-A</t>
  </si>
  <si>
    <t>ITEM024-A</t>
  </si>
  <si>
    <t>ITEM025-A</t>
  </si>
  <si>
    <t>ITEM026-A</t>
  </si>
  <si>
    <t>ITEM027-A</t>
  </si>
  <si>
    <t>ITEM028-A</t>
  </si>
  <si>
    <t>ITEM029-A</t>
  </si>
  <si>
    <t>ITEM030-A</t>
  </si>
  <si>
    <t>ITEM031-A</t>
  </si>
  <si>
    <t>ITEM032-A</t>
  </si>
  <si>
    <t>ITEM033-A</t>
  </si>
  <si>
    <t>ITEM034-A</t>
  </si>
  <si>
    <t>ITEM035-A</t>
  </si>
  <si>
    <t>ITEM036-A</t>
  </si>
  <si>
    <t>ITEM037-A</t>
  </si>
  <si>
    <t>ITEM038-A</t>
  </si>
  <si>
    <t>ITEM039-A</t>
  </si>
  <si>
    <t>ITEM040-A</t>
  </si>
  <si>
    <t>ITEM041-A</t>
  </si>
  <si>
    <t>ITEM042-A</t>
  </si>
  <si>
    <t>ITEM043-A</t>
  </si>
  <si>
    <t>ITEM044-A</t>
  </si>
  <si>
    <t>ITEM045-A</t>
  </si>
  <si>
    <t>ITEM046-A</t>
  </si>
  <si>
    <t>ITEM047-A</t>
  </si>
  <si>
    <t>ITEM048-A</t>
  </si>
  <si>
    <t>ITEM049-A</t>
  </si>
  <si>
    <t>ITEM050-A</t>
  </si>
  <si>
    <t>ITEM051-A</t>
  </si>
  <si>
    <t>ITEM052-A</t>
  </si>
  <si>
    <t>ITEM053-A</t>
  </si>
  <si>
    <t>ITEM054-A</t>
  </si>
  <si>
    <t>ITEM055-A</t>
  </si>
  <si>
    <t>ITEM056-A</t>
  </si>
  <si>
    <t>ITEM057-A</t>
  </si>
  <si>
    <t>ITEM058-A</t>
  </si>
  <si>
    <t>ITEM059-A</t>
  </si>
  <si>
    <t>ITEM060-A</t>
  </si>
  <si>
    <t>ITEM061-A</t>
  </si>
  <si>
    <t>ITEM062-A</t>
  </si>
  <si>
    <t>ITEM063-A</t>
  </si>
  <si>
    <t>ITEM064-A</t>
  </si>
  <si>
    <t>ITEM065-A</t>
  </si>
  <si>
    <t>ITEM066-A</t>
  </si>
  <si>
    <t>ITEM067-A</t>
  </si>
  <si>
    <t>ITEM068-A</t>
  </si>
  <si>
    <t>ITEM069-A</t>
  </si>
  <si>
    <t>ITEM070-A</t>
  </si>
  <si>
    <t>ITEM071-A</t>
  </si>
  <si>
    <t>ITEM072-A</t>
  </si>
  <si>
    <t>ITEM073-A</t>
  </si>
  <si>
    <t>ITEM074-A</t>
  </si>
  <si>
    <t>ITEM075-A</t>
  </si>
  <si>
    <t>ITEM076-A</t>
  </si>
  <si>
    <t>ITEM077-A</t>
  </si>
  <si>
    <t>ITEM078-A</t>
  </si>
  <si>
    <t>ITEM079-A</t>
  </si>
  <si>
    <t>ITEM080-A</t>
  </si>
  <si>
    <t>ITEM081-A</t>
  </si>
  <si>
    <t>ITEM082-A</t>
  </si>
  <si>
    <t>ITEM083-A</t>
  </si>
  <si>
    <t>ITEM084-A</t>
  </si>
  <si>
    <t>ITEM085-A</t>
  </si>
  <si>
    <t>ITEM086-A</t>
  </si>
  <si>
    <t>ITEM087-A</t>
  </si>
  <si>
    <t>ITEM088-A</t>
  </si>
  <si>
    <t>ITEM089-A</t>
  </si>
  <si>
    <t>ITEM090-A</t>
  </si>
  <si>
    <t>ITEM091-A</t>
  </si>
  <si>
    <t>ITEM092-A</t>
  </si>
  <si>
    <t>ITEM093-A</t>
  </si>
  <si>
    <t>ITEM094-A</t>
  </si>
  <si>
    <t>ITEM095-A</t>
  </si>
  <si>
    <t>ITEM096-A</t>
  </si>
  <si>
    <t>ITEM097-A</t>
  </si>
  <si>
    <t>ITEM098-A</t>
  </si>
  <si>
    <t>ITEM099-A</t>
  </si>
  <si>
    <t>ITEM100-A</t>
  </si>
  <si>
    <t>ITEM101-A</t>
  </si>
  <si>
    <t>ITEM102-A</t>
  </si>
  <si>
    <t>ITEM103-A</t>
  </si>
  <si>
    <t>ITEM104-A</t>
  </si>
  <si>
    <t>ITEM105-A</t>
  </si>
  <si>
    <t>ITEM106-A</t>
  </si>
  <si>
    <t>ITEM107-A</t>
  </si>
  <si>
    <t>ITEM108-A</t>
  </si>
  <si>
    <t>ITEM109-A</t>
  </si>
  <si>
    <t>ITEM110-A</t>
  </si>
  <si>
    <t>ITEM111-A</t>
  </si>
  <si>
    <t>ITEM112-A</t>
  </si>
  <si>
    <t>ITEM113-A</t>
  </si>
  <si>
    <t>ITEM114-A</t>
  </si>
  <si>
    <t>ITEM115-A</t>
  </si>
  <si>
    <t>ITEM116-A</t>
  </si>
  <si>
    <t>ITEM117-A</t>
  </si>
  <si>
    <t>ITEM118-A</t>
  </si>
  <si>
    <t>ITEM119-A</t>
  </si>
  <si>
    <t>ITEM120-A</t>
  </si>
  <si>
    <t>ITEM121-A</t>
  </si>
  <si>
    <t>ITEM122-A</t>
  </si>
  <si>
    <t>ITEM123-A</t>
  </si>
  <si>
    <t>ITEM124-A</t>
  </si>
  <si>
    <t>ITEM125-A</t>
  </si>
  <si>
    <t>ITEM126-A</t>
  </si>
  <si>
    <t>ITEM127-A</t>
  </si>
  <si>
    <t>ITEM128-A</t>
  </si>
  <si>
    <t>ITEM129-A</t>
  </si>
  <si>
    <t>ITEM130-A</t>
  </si>
  <si>
    <t>ITEM131-A</t>
  </si>
  <si>
    <t>ITEM132-A</t>
  </si>
  <si>
    <t>ITEM133-A</t>
  </si>
  <si>
    <t>ITEM134-A</t>
  </si>
  <si>
    <t>ITEM135-A</t>
  </si>
  <si>
    <t>ITEM136-A</t>
  </si>
  <si>
    <t>ITEM137-A</t>
  </si>
  <si>
    <t>ITEM138-A</t>
  </si>
  <si>
    <t>ITEM139-A</t>
  </si>
  <si>
    <t>ITEM140-A</t>
  </si>
  <si>
    <t>ITEM141-A</t>
  </si>
  <si>
    <t>ITEM142-A</t>
  </si>
  <si>
    <t>ITEM143-A</t>
  </si>
  <si>
    <t>ITEM144-A</t>
  </si>
  <si>
    <t>ITEM145-A</t>
  </si>
  <si>
    <t>ITEM146-A</t>
  </si>
  <si>
    <t>ITEM147-A</t>
  </si>
  <si>
    <t>ITEM148-A</t>
  </si>
  <si>
    <t>ITEM149-A</t>
  </si>
  <si>
    <t>ITEM150-A</t>
  </si>
  <si>
    <t>ITEM151-A</t>
  </si>
  <si>
    <t>ITEM152-A</t>
  </si>
  <si>
    <t>ITEM153-A</t>
  </si>
  <si>
    <t>ITEM154-A</t>
  </si>
  <si>
    <t>ITEM155-A</t>
  </si>
  <si>
    <t>ITEM156-A</t>
  </si>
  <si>
    <t>ITEM157-A</t>
  </si>
  <si>
    <t>ITEM158-A</t>
  </si>
  <si>
    <t>ITEM159-A</t>
  </si>
  <si>
    <t>ITEM160-A</t>
  </si>
  <si>
    <t>ITEM161-A</t>
  </si>
  <si>
    <t>ITEM162-A</t>
  </si>
  <si>
    <t>ITEM163-A</t>
  </si>
  <si>
    <t>ITEM164-A</t>
  </si>
  <si>
    <t>ITEM165-A</t>
  </si>
  <si>
    <t>ITEM166-A</t>
  </si>
  <si>
    <t>ITEM167-A</t>
  </si>
  <si>
    <t>ITEM168-A</t>
  </si>
  <si>
    <t>ITEM169-A</t>
  </si>
  <si>
    <t>ITEM170-A</t>
  </si>
  <si>
    <t>ITEM171-A</t>
  </si>
  <si>
    <t>ITEM172-A</t>
  </si>
  <si>
    <t>ITEM173-A</t>
  </si>
  <si>
    <t>ITEM174-A</t>
  </si>
  <si>
    <t>ITEM175-A</t>
  </si>
  <si>
    <t>ITEM176-A</t>
  </si>
  <si>
    <t>ITEM177-A</t>
  </si>
  <si>
    <t>ITEM178-A</t>
  </si>
  <si>
    <t>ITEM179-A</t>
  </si>
  <si>
    <t>ITEM180-A</t>
  </si>
  <si>
    <t>ITEM181-A</t>
  </si>
  <si>
    <t>ITEM182-A</t>
  </si>
  <si>
    <t>ITEM183-A</t>
  </si>
  <si>
    <t>ITEM184-A</t>
  </si>
  <si>
    <t>ITEM185-A</t>
  </si>
  <si>
    <t>ITEM186-A</t>
  </si>
  <si>
    <t>ITEM187-A</t>
  </si>
  <si>
    <t>ITEM188-A</t>
  </si>
  <si>
    <t>ITEM189-A</t>
  </si>
  <si>
    <t>ITEM190-A</t>
  </si>
  <si>
    <t>ITEM191-A</t>
  </si>
  <si>
    <t>ITEM192-A</t>
  </si>
  <si>
    <t>ITEM193-A</t>
  </si>
  <si>
    <t>ITEM194-A</t>
  </si>
  <si>
    <t>ITEM195-A</t>
  </si>
  <si>
    <t>ITEM196-A</t>
  </si>
  <si>
    <t>ITEM197-A</t>
  </si>
  <si>
    <t>ITEM198-A</t>
  </si>
  <si>
    <t>ITEM199-A</t>
  </si>
  <si>
    <t>ITEM200-A</t>
  </si>
  <si>
    <t>ITEM201-A</t>
  </si>
  <si>
    <t>ITEM202-A</t>
  </si>
  <si>
    <t>ITEM203-A</t>
  </si>
  <si>
    <t>ITEM204-A</t>
  </si>
  <si>
    <t>ITEM205-A</t>
  </si>
  <si>
    <t>ITEM206-A</t>
  </si>
  <si>
    <t>ITEM207-A</t>
  </si>
  <si>
    <t>ITEM208-A</t>
  </si>
  <si>
    <t>ITEM209-A</t>
  </si>
  <si>
    <t>ITEM210-A</t>
  </si>
  <si>
    <t>ITEM211-A</t>
  </si>
  <si>
    <t>ITEM212-A</t>
  </si>
  <si>
    <t>ITEM213-A</t>
  </si>
  <si>
    <t>ITEM214-A</t>
  </si>
  <si>
    <t>ITEM215-A</t>
  </si>
  <si>
    <t>ITEM216-A</t>
  </si>
  <si>
    <t>ITEM217-A</t>
  </si>
  <si>
    <t>ITEM218-A</t>
  </si>
  <si>
    <t>ITEM219-A</t>
  </si>
  <si>
    <t>ITEM220-A</t>
  </si>
  <si>
    <t>ITEM221-A</t>
  </si>
  <si>
    <t>ITEM222-A</t>
  </si>
  <si>
    <t>ITEM223-A</t>
  </si>
  <si>
    <t>ITEM224-A</t>
  </si>
  <si>
    <t>ITEM225-A</t>
  </si>
  <si>
    <t>ITEM226-A</t>
  </si>
  <si>
    <t>ITEM227-A</t>
  </si>
  <si>
    <t>ITEM228-A</t>
  </si>
  <si>
    <t>ITEM229-A</t>
  </si>
  <si>
    <t>ITEM230-A</t>
  </si>
  <si>
    <t>ITEM231-A</t>
  </si>
  <si>
    <t>ITEM232-A</t>
  </si>
  <si>
    <t>ITEM233-A</t>
  </si>
  <si>
    <t>ITEM234-A</t>
  </si>
  <si>
    <t>ITEM235-A</t>
  </si>
  <si>
    <t>ITEM236-A</t>
  </si>
  <si>
    <t>ITEM237-A</t>
  </si>
  <si>
    <t>ITEM238-A</t>
  </si>
  <si>
    <t>ITEM239-A</t>
  </si>
  <si>
    <t>ITEM240-A</t>
  </si>
  <si>
    <t>ITEM241-A</t>
  </si>
  <si>
    <t>ITEM242-A</t>
  </si>
  <si>
    <t>ITEM243-A</t>
  </si>
  <si>
    <t>ITEM244-A</t>
  </si>
  <si>
    <t>ITEM245-A</t>
  </si>
  <si>
    <t>ITEM246-A</t>
  </si>
  <si>
    <t>ITEM247-A</t>
  </si>
  <si>
    <t>ITEM248-A</t>
  </si>
  <si>
    <t>ITEM249-A</t>
  </si>
  <si>
    <t>ITEM250-A</t>
  </si>
  <si>
    <t>ITEM251-A</t>
  </si>
  <si>
    <t>ITEM252-A</t>
  </si>
  <si>
    <t>ITEM253-A</t>
  </si>
  <si>
    <t>ITEM254-A</t>
  </si>
  <si>
    <t>ITEM255-A</t>
  </si>
  <si>
    <t>ITEM256-A</t>
  </si>
  <si>
    <t>ITEM257-A</t>
  </si>
  <si>
    <t>ITEM258-A</t>
  </si>
  <si>
    <t>ITEM259-A</t>
  </si>
  <si>
    <t>ITEM260-A</t>
  </si>
  <si>
    <t>ITEM261-A</t>
  </si>
  <si>
    <t>ITEM262-A</t>
  </si>
  <si>
    <t>ITEM263-A</t>
  </si>
  <si>
    <t>ITEM264-A</t>
  </si>
  <si>
    <t>ITEM265-A</t>
  </si>
  <si>
    <t>ITEM266-A</t>
  </si>
  <si>
    <t>ITEM267-A</t>
  </si>
  <si>
    <t>ITEM268-A</t>
  </si>
  <si>
    <t>ITEM269-A</t>
  </si>
  <si>
    <t>ITEM270-A</t>
  </si>
  <si>
    <t>ITEM271-A</t>
  </si>
  <si>
    <t>ITEM272-A</t>
  </si>
  <si>
    <t>ITEM273-A</t>
  </si>
  <si>
    <t>ITEM274-A</t>
  </si>
  <si>
    <t>ITEM275-A</t>
  </si>
  <si>
    <t>ITEM276-A</t>
  </si>
  <si>
    <t>ITEM277-A</t>
  </si>
  <si>
    <t>ITEM278-A</t>
  </si>
  <si>
    <t>ITEM279-A</t>
  </si>
  <si>
    <t>ITEM280-A</t>
  </si>
  <si>
    <t>ITEM281-A</t>
  </si>
  <si>
    <t>ITEM282-A</t>
  </si>
  <si>
    <t>ITEM283-A</t>
  </si>
  <si>
    <t>ITEM284-A</t>
  </si>
  <si>
    <t>ITEM285-A</t>
  </si>
  <si>
    <t>ITEM286-A</t>
  </si>
  <si>
    <t>ITEM287-A</t>
  </si>
  <si>
    <t>ITEM288-A</t>
  </si>
  <si>
    <t>ITEM289-A</t>
  </si>
  <si>
    <t>ITEM290-A</t>
  </si>
  <si>
    <t>ITEM291-A</t>
  </si>
  <si>
    <t>ITEM292-A</t>
  </si>
  <si>
    <t>ITEM293-A</t>
  </si>
  <si>
    <t>ITEM294-A</t>
  </si>
  <si>
    <t>ITEM295-A</t>
  </si>
  <si>
    <t>ITEM296-A</t>
  </si>
  <si>
    <t>ITEM297-A</t>
  </si>
  <si>
    <t>ITEM298-A</t>
  </si>
  <si>
    <t>ITEM299-A</t>
  </si>
  <si>
    <t>ITEM300-A</t>
  </si>
  <si>
    <t>ITEM301-A</t>
  </si>
  <si>
    <t>ITEM302-A</t>
  </si>
  <si>
    <t>ITEM303-A</t>
  </si>
  <si>
    <t>ITEM304-A</t>
  </si>
  <si>
    <t>ITEM305-A</t>
  </si>
  <si>
    <t>ITEM306-A</t>
  </si>
  <si>
    <t>ITEM307-A</t>
  </si>
  <si>
    <t>ITEM308-A</t>
  </si>
  <si>
    <t>ITEM309-A</t>
  </si>
  <si>
    <t>ITEM310-A</t>
  </si>
  <si>
    <t>ITEM311-A</t>
  </si>
  <si>
    <t>ITEM312-A</t>
  </si>
  <si>
    <t>ITEM313-A</t>
  </si>
  <si>
    <t>ITEM314-A</t>
  </si>
  <si>
    <t>ITEM315-A</t>
  </si>
  <si>
    <t>ITEM316-A</t>
  </si>
  <si>
    <t>ITEM317-A</t>
  </si>
  <si>
    <t>ITEM318-A</t>
  </si>
  <si>
    <t>ITEM319-A</t>
  </si>
  <si>
    <t>ITEM320-A</t>
  </si>
  <si>
    <t>ITEM321-A</t>
  </si>
  <si>
    <t>ITEM322-A</t>
  </si>
  <si>
    <t>ITEM323-A</t>
  </si>
  <si>
    <t>ITEM324-A</t>
  </si>
  <si>
    <t>ITEM325-A</t>
  </si>
  <si>
    <t>ITEM326-A</t>
  </si>
  <si>
    <t>ITEM327-A</t>
  </si>
  <si>
    <t>ITEM328-A</t>
  </si>
  <si>
    <t>ITEM329-A</t>
  </si>
  <si>
    <t>ITEM330-A</t>
  </si>
  <si>
    <t>ITEM331-A</t>
  </si>
  <si>
    <t>ITEM332-A</t>
  </si>
  <si>
    <t>ITEM333-A</t>
  </si>
  <si>
    <t>ITEM334-A</t>
  </si>
  <si>
    <t>ITEM335-A</t>
  </si>
  <si>
    <t>ITEM336-A</t>
  </si>
  <si>
    <t>ITEM337-A</t>
  </si>
  <si>
    <t>ITEM338-A</t>
  </si>
  <si>
    <t>ITEM339-A</t>
  </si>
  <si>
    <t>ITEM340-A</t>
  </si>
  <si>
    <t>ITEM341-A</t>
  </si>
  <si>
    <t>ITEM342-A</t>
  </si>
  <si>
    <t>ITEM343-A</t>
  </si>
  <si>
    <t>ITEM344-A</t>
  </si>
  <si>
    <t>ITEM345-A</t>
  </si>
  <si>
    <t>ITEM346-A</t>
  </si>
  <si>
    <t>ITEM347-A</t>
  </si>
  <si>
    <t>ITEM348-A</t>
  </si>
  <si>
    <t>ITEM349-A</t>
  </si>
  <si>
    <t>ITEM350-A</t>
  </si>
  <si>
    <t>ITEM351-A</t>
  </si>
  <si>
    <t>ITEM352-A</t>
  </si>
  <si>
    <t>ITEM353-A</t>
  </si>
  <si>
    <t>ITEM354-A</t>
  </si>
  <si>
    <t>ITEM355-A</t>
  </si>
  <si>
    <t>ITEM356-A</t>
  </si>
  <si>
    <t>ITEM357-A</t>
  </si>
  <si>
    <t>ITEM358-A</t>
  </si>
  <si>
    <t>ITEM359-A</t>
  </si>
  <si>
    <t>ITEM360-A</t>
  </si>
  <si>
    <t>ITEM361-A</t>
  </si>
  <si>
    <t>ITEM362-A</t>
  </si>
  <si>
    <t>ITEM363-A</t>
  </si>
  <si>
    <t>ITEM364-A</t>
  </si>
  <si>
    <t>ITEM365-A</t>
  </si>
  <si>
    <t>ITEM366-A</t>
  </si>
  <si>
    <t>ITEM367-A</t>
  </si>
  <si>
    <t>ITEM368-A</t>
  </si>
  <si>
    <t>ITEM369-A</t>
  </si>
  <si>
    <t>ITEM370-A</t>
  </si>
  <si>
    <t>ITEM371-A</t>
  </si>
  <si>
    <t>ITEM372-A</t>
  </si>
  <si>
    <t>ITEM373-A</t>
  </si>
  <si>
    <t>ITEM374-A</t>
  </si>
  <si>
    <t>ITEM375-A</t>
  </si>
  <si>
    <t>ITEM376-A</t>
  </si>
  <si>
    <t>ITEM377-A</t>
  </si>
  <si>
    <t>ITEM378-A</t>
  </si>
  <si>
    <t>ITEM379-A</t>
  </si>
  <si>
    <t>ITEM380-A</t>
  </si>
  <si>
    <t>ITEM381-A</t>
  </si>
  <si>
    <t>ITEM382-A</t>
  </si>
  <si>
    <t>ITEM383-A</t>
  </si>
  <si>
    <t>ITEM384-A</t>
  </si>
  <si>
    <t>ITEM385-A</t>
  </si>
  <si>
    <t>ITEM386-A</t>
  </si>
  <si>
    <t>ITEM387-A</t>
  </si>
  <si>
    <t>ITEM388-A</t>
  </si>
  <si>
    <t>ITEM389-A</t>
  </si>
  <si>
    <t>ITEM390-A</t>
  </si>
  <si>
    <t>ITEM391-A</t>
  </si>
  <si>
    <t>ITEM392-A</t>
  </si>
  <si>
    <t>ITEM393-A</t>
  </si>
  <si>
    <t>ITEM394-A</t>
  </si>
  <si>
    <t>ITEM395-A</t>
  </si>
  <si>
    <t>ITEM396-A</t>
  </si>
  <si>
    <t>ITEM397-A</t>
  </si>
  <si>
    <t>ITEM398-A</t>
  </si>
  <si>
    <t>ITEM399-A</t>
  </si>
  <si>
    <t>ITEM400-A</t>
  </si>
  <si>
    <t>ITEM401-A</t>
  </si>
  <si>
    <t>ITEM402-A</t>
  </si>
  <si>
    <t>ITEM403-A</t>
  </si>
  <si>
    <t>ITEM404-A</t>
  </si>
  <si>
    <t>ITEM405-A</t>
  </si>
  <si>
    <t>ITEM406-A</t>
  </si>
  <si>
    <t>ITEM407-A</t>
  </si>
  <si>
    <t>ITEM408-A</t>
  </si>
  <si>
    <t>ITEM409-A</t>
  </si>
  <si>
    <t>ITEM410-A</t>
  </si>
  <si>
    <t>ITEM411-A</t>
  </si>
  <si>
    <t>ITEM412-A</t>
  </si>
  <si>
    <t>ITEM413-A</t>
  </si>
  <si>
    <t>ITEM414-A</t>
  </si>
  <si>
    <t>ITEM415-A</t>
  </si>
  <si>
    <t>ITEM416-A</t>
  </si>
  <si>
    <t>ITEM417-A</t>
  </si>
  <si>
    <t>ITEM418-A</t>
  </si>
  <si>
    <t>ITEM419-A</t>
  </si>
  <si>
    <t>ITEM420-A</t>
  </si>
  <si>
    <t>ITEM421-A</t>
  </si>
  <si>
    <t>ITEM422-A</t>
  </si>
  <si>
    <t>ITEM423-A</t>
  </si>
  <si>
    <t>ITEM424-A</t>
  </si>
  <si>
    <t>ITEM425-A</t>
  </si>
  <si>
    <t>ITEM426-A</t>
  </si>
  <si>
    <t>ITEM427-A</t>
  </si>
  <si>
    <t>ITEM428-A</t>
  </si>
  <si>
    <t>ITEM429-A</t>
  </si>
  <si>
    <t>ITEM430-A</t>
  </si>
  <si>
    <t>ITEM431-A</t>
  </si>
  <si>
    <t>ITEM432-A</t>
  </si>
  <si>
    <t>ITEM433-A</t>
  </si>
  <si>
    <t>ITEM434-A</t>
  </si>
  <si>
    <t>ITEM435-A</t>
  </si>
  <si>
    <t>ITEM436-A</t>
  </si>
  <si>
    <t>ITEM437-A</t>
  </si>
  <si>
    <t>ITEM438-A</t>
  </si>
  <si>
    <t>ITEM439-A</t>
  </si>
  <si>
    <t>ITEM440-A</t>
  </si>
  <si>
    <t>ITEM441-A</t>
  </si>
  <si>
    <t>ITEM442-A</t>
  </si>
  <si>
    <t>ITEM443-A</t>
  </si>
  <si>
    <t>ITEM444-A</t>
  </si>
  <si>
    <t>ITEM445-A</t>
  </si>
  <si>
    <t>ITEM446-A</t>
  </si>
  <si>
    <t>ITEM447-A</t>
  </si>
  <si>
    <t>ITEM448-A</t>
  </si>
  <si>
    <t>ITEM449-A</t>
  </si>
  <si>
    <t>ITEM450-A</t>
  </si>
  <si>
    <t>ITEM451-A</t>
  </si>
  <si>
    <t>ITEM452-A</t>
  </si>
  <si>
    <t>ITEM453-A</t>
  </si>
  <si>
    <t>ITEM454-A</t>
  </si>
  <si>
    <t>ITEM455-A</t>
  </si>
  <si>
    <t>ITEM456-A</t>
  </si>
  <si>
    <t>ITEM457-A</t>
  </si>
  <si>
    <t>ITEM458-A</t>
  </si>
  <si>
    <t>ITEM459-A</t>
  </si>
  <si>
    <t>ITEM460-A</t>
  </si>
  <si>
    <t>ITEM461-A</t>
  </si>
  <si>
    <t>ITEM462-A</t>
  </si>
  <si>
    <t>ITEM463-A</t>
  </si>
  <si>
    <t>ITEM464-A</t>
  </si>
  <si>
    <t>ITEM465-A</t>
  </si>
  <si>
    <t>ITEM466-A</t>
  </si>
  <si>
    <t>ITEM467-A</t>
  </si>
  <si>
    <t>ITEM468-A</t>
  </si>
  <si>
    <t>ITEM469-A</t>
  </si>
  <si>
    <t>ITEM470-A</t>
  </si>
  <si>
    <t>ITEM471-A</t>
  </si>
  <si>
    <t>ITEM472-A</t>
  </si>
  <si>
    <t>ITEM473-A</t>
  </si>
  <si>
    <t>ITEM474-A</t>
  </si>
  <si>
    <t>ITEM475-A</t>
  </si>
  <si>
    <t>ITEM476-A</t>
  </si>
  <si>
    <t>ITEM477-A</t>
  </si>
  <si>
    <t>ITEM478-A</t>
  </si>
  <si>
    <t>ITEM479-A</t>
  </si>
  <si>
    <t>ITEM480-A</t>
  </si>
  <si>
    <t>ITEM481-A</t>
  </si>
  <si>
    <t>ITEM482-A</t>
  </si>
  <si>
    <t>ITEM483-A</t>
  </si>
  <si>
    <t>ITEM484-A</t>
  </si>
  <si>
    <t>ITEM485-A</t>
  </si>
  <si>
    <t>ITEM486-A</t>
  </si>
  <si>
    <t>ITEM487-A</t>
  </si>
  <si>
    <t>ITEM488-A</t>
  </si>
  <si>
    <t>ITEM489-A</t>
  </si>
  <si>
    <t>ITEM490-A</t>
  </si>
  <si>
    <t>ITEM491-A</t>
  </si>
  <si>
    <t>ITEM492-A</t>
  </si>
  <si>
    <t>ITEM493-A</t>
  </si>
  <si>
    <t>ITEM494-A</t>
  </si>
  <si>
    <t>ITEM495-A</t>
  </si>
  <si>
    <t>ITEM496-A</t>
  </si>
  <si>
    <t>ITEM497-A</t>
  </si>
  <si>
    <t>ITEM498-A</t>
  </si>
  <si>
    <t>ITEM499-A</t>
  </si>
  <si>
    <t>ITEM500-A</t>
  </si>
  <si>
    <t>ITEM501-A</t>
  </si>
  <si>
    <t>ITEM502-A</t>
  </si>
  <si>
    <t>ITEM503-A</t>
  </si>
  <si>
    <t>ITEM504-A</t>
  </si>
  <si>
    <t>ITEM505-A</t>
  </si>
  <si>
    <t>ITEM506-A</t>
  </si>
  <si>
    <t>ITEM507-A</t>
  </si>
  <si>
    <t>ITEM508-A</t>
  </si>
  <si>
    <t>ITEM509-A</t>
  </si>
  <si>
    <t>ITEM510-A</t>
  </si>
  <si>
    <t>ITEM511-A</t>
  </si>
  <si>
    <t>ITEM512-A</t>
  </si>
  <si>
    <t>ITEM513-A</t>
  </si>
  <si>
    <t>ITEM514-A</t>
  </si>
  <si>
    <t>ITEM515-A</t>
  </si>
  <si>
    <t>ITEM516-A</t>
  </si>
  <si>
    <t>ITEM517-A</t>
  </si>
  <si>
    <t>ITEM518-A</t>
  </si>
  <si>
    <t>ITEM519-A</t>
  </si>
  <si>
    <t>ITEM520-A</t>
  </si>
  <si>
    <t>ITEM521-A</t>
  </si>
  <si>
    <t>ITEM522-A</t>
  </si>
  <si>
    <t>ITEM523-A</t>
  </si>
  <si>
    <t>ITEM524-A</t>
  </si>
  <si>
    <t>ITEM525-A</t>
  </si>
  <si>
    <t>ITEM526-A</t>
  </si>
  <si>
    <t>ITEM527-A</t>
  </si>
  <si>
    <t>ITEM528-A</t>
  </si>
  <si>
    <t>ITEM529-A</t>
  </si>
  <si>
    <t>ITEM530-A</t>
  </si>
  <si>
    <t>ITEM531-A</t>
  </si>
  <si>
    <t>ITEM532-A</t>
  </si>
  <si>
    <t>ITEM533-A</t>
  </si>
  <si>
    <t>ITEM534-A</t>
  </si>
  <si>
    <t>ITEM535-A</t>
  </si>
  <si>
    <t>ITEM536-A</t>
  </si>
  <si>
    <t>ITEM537-A</t>
  </si>
  <si>
    <t>ITEM538-A</t>
  </si>
  <si>
    <t>ITEM539-A</t>
  </si>
  <si>
    <t>ITEM540-A</t>
  </si>
  <si>
    <t>ITEM541-A</t>
  </si>
  <si>
    <t>ITEM542-A</t>
  </si>
  <si>
    <t>ITEM543-A</t>
  </si>
  <si>
    <t>ITEM544-A</t>
  </si>
  <si>
    <t>ITEM545-A</t>
  </si>
  <si>
    <t>ITEM546-A</t>
  </si>
  <si>
    <t>ITEM547-A</t>
  </si>
  <si>
    <t>ITEM548-A</t>
  </si>
  <si>
    <t>ITEM549-A</t>
  </si>
  <si>
    <t>ITEM550-A</t>
  </si>
  <si>
    <t>ITEM551-A</t>
  </si>
  <si>
    <t>ITEM552-A</t>
  </si>
  <si>
    <t>ITEM553-A</t>
  </si>
  <si>
    <t>ITEM554-A</t>
  </si>
  <si>
    <t>ITEM555-A</t>
  </si>
  <si>
    <t>ITEM556-A</t>
  </si>
  <si>
    <t>ITEM557-A</t>
  </si>
  <si>
    <t>ITEM558-A</t>
  </si>
  <si>
    <t>ITEM559-A</t>
  </si>
  <si>
    <t>ITEM560-A</t>
  </si>
  <si>
    <t>ITEM561-A</t>
  </si>
  <si>
    <t>ITEM562-A</t>
  </si>
  <si>
    <t>ITEM563-A</t>
  </si>
  <si>
    <t>ITEM564-A</t>
  </si>
  <si>
    <t>ITEM565-A</t>
  </si>
  <si>
    <t>ITEM566-A</t>
  </si>
  <si>
    <t>ITEM567-A</t>
  </si>
  <si>
    <t>ITEM568-A</t>
  </si>
  <si>
    <t>ITEM569-A</t>
  </si>
  <si>
    <t>ITEM570-A</t>
  </si>
  <si>
    <t>ITEM571-A</t>
  </si>
  <si>
    <t>ITEM572-A</t>
  </si>
  <si>
    <t>ITEM573-A</t>
  </si>
  <si>
    <t>ITEM574-A</t>
  </si>
  <si>
    <t>ITEM575-A</t>
  </si>
  <si>
    <t>ITEM576-A</t>
  </si>
  <si>
    <t>ITEM577-A</t>
  </si>
  <si>
    <t>ITEM578-A</t>
  </si>
  <si>
    <t>ITEM579-A</t>
  </si>
  <si>
    <t>ITEM580-A</t>
  </si>
  <si>
    <t>ITEM581-A</t>
  </si>
  <si>
    <t>ITEM582-A</t>
  </si>
  <si>
    <t>ITEM583-A</t>
  </si>
  <si>
    <t>ITEM584-A</t>
  </si>
  <si>
    <t>ITEM585-A</t>
  </si>
  <si>
    <t>ITEM586-A</t>
  </si>
  <si>
    <t>ITEM587-A</t>
  </si>
  <si>
    <t>ITEM588-A</t>
  </si>
  <si>
    <t>ITEM589-A</t>
  </si>
  <si>
    <t>ITEM590-A</t>
  </si>
  <si>
    <t>ITEM591-A</t>
  </si>
  <si>
    <t>ITEM592-A</t>
  </si>
  <si>
    <t>ITEM593-A</t>
  </si>
  <si>
    <t>ITEM594-A</t>
  </si>
  <si>
    <t>ITEM595-A</t>
  </si>
  <si>
    <t>ITEM596-A</t>
  </si>
  <si>
    <t>ITEM597-A</t>
  </si>
  <si>
    <t>ITEM598-A</t>
  </si>
  <si>
    <t>ITEM599-A</t>
  </si>
  <si>
    <t>ITEM600-A</t>
  </si>
  <si>
    <t>Sales ID</t>
  </si>
  <si>
    <t>Date</t>
  </si>
  <si>
    <t>SALE001</t>
  </si>
  <si>
    <t>SALE002</t>
  </si>
  <si>
    <t>SALE003</t>
  </si>
  <si>
    <t>SALE004</t>
  </si>
  <si>
    <t>SALE005</t>
  </si>
  <si>
    <t>SALE006</t>
  </si>
  <si>
    <t>SALE007</t>
  </si>
  <si>
    <t>SALE008</t>
  </si>
  <si>
    <t>SALE009</t>
  </si>
  <si>
    <t>SALE010</t>
  </si>
  <si>
    <t>SALE011</t>
  </si>
  <si>
    <t>SALE012</t>
  </si>
  <si>
    <t>SALE013</t>
  </si>
  <si>
    <t>SALE014</t>
  </si>
  <si>
    <t>SALE015</t>
  </si>
  <si>
    <t>SALE016</t>
  </si>
  <si>
    <t>SALE017</t>
  </si>
  <si>
    <t>SALE018</t>
  </si>
  <si>
    <t>SALE019</t>
  </si>
  <si>
    <t>SALE020</t>
  </si>
  <si>
    <t>SALE021</t>
  </si>
  <si>
    <t>SALE022</t>
  </si>
  <si>
    <t>SALE023</t>
  </si>
  <si>
    <t>SALE024</t>
  </si>
  <si>
    <t>SALE025</t>
  </si>
  <si>
    <t>SALE026</t>
  </si>
  <si>
    <t>SALE027</t>
  </si>
  <si>
    <t>SALE028</t>
  </si>
  <si>
    <t>SALE029</t>
  </si>
  <si>
    <t>SALE030</t>
  </si>
  <si>
    <t>SALE031</t>
  </si>
  <si>
    <t>SALE032</t>
  </si>
  <si>
    <t>SALE033</t>
  </si>
  <si>
    <t>SALE034</t>
  </si>
  <si>
    <t>SALE035</t>
  </si>
  <si>
    <t>SALE036</t>
  </si>
  <si>
    <t>SALE037</t>
  </si>
  <si>
    <t>SALE038</t>
  </si>
  <si>
    <t>SALE039</t>
  </si>
  <si>
    <t>SALE040</t>
  </si>
  <si>
    <t>SALE041</t>
  </si>
  <si>
    <t>SALE042</t>
  </si>
  <si>
    <t>SALE043</t>
  </si>
  <si>
    <t>SALE044</t>
  </si>
  <si>
    <t>SALE045</t>
  </si>
  <si>
    <t>SALE046</t>
  </si>
  <si>
    <t>SALE047</t>
  </si>
  <si>
    <t>SALE048</t>
  </si>
  <si>
    <t>SALE049</t>
  </si>
  <si>
    <t>SALE050</t>
  </si>
  <si>
    <t>SALE051</t>
  </si>
  <si>
    <t>SALE052</t>
  </si>
  <si>
    <t>SALE053</t>
  </si>
  <si>
    <t>SALE054</t>
  </si>
  <si>
    <t>SALE055</t>
  </si>
  <si>
    <t>SALE056</t>
  </si>
  <si>
    <t>SALE057</t>
  </si>
  <si>
    <t>SALE058</t>
  </si>
  <si>
    <t>ITEM623-A</t>
  </si>
  <si>
    <t>SALE059</t>
  </si>
  <si>
    <t>SALE060</t>
  </si>
  <si>
    <t>SALE061</t>
  </si>
  <si>
    <t>SALE062</t>
  </si>
  <si>
    <t>SALE063</t>
  </si>
  <si>
    <t>SALE064</t>
  </si>
  <si>
    <t>SALE065</t>
  </si>
  <si>
    <t>SALE066</t>
  </si>
  <si>
    <t>SALE067</t>
  </si>
  <si>
    <t>SALE068</t>
  </si>
  <si>
    <t>SALE069</t>
  </si>
  <si>
    <t>SALE070</t>
  </si>
  <si>
    <t>SALE071</t>
  </si>
  <si>
    <t>SALE072</t>
  </si>
  <si>
    <t>ITEM601-A</t>
  </si>
  <si>
    <t>SALE073</t>
  </si>
  <si>
    <t>SALE074</t>
  </si>
  <si>
    <t>SALE075</t>
  </si>
  <si>
    <t>SALE076</t>
  </si>
  <si>
    <t>SALE077</t>
  </si>
  <si>
    <t>SALE078</t>
  </si>
  <si>
    <t>SALE079</t>
  </si>
  <si>
    <t>SALE080</t>
  </si>
  <si>
    <t>SALE081</t>
  </si>
  <si>
    <t>SALE082</t>
  </si>
  <si>
    <t>SALE083</t>
  </si>
  <si>
    <t>SALE084</t>
  </si>
  <si>
    <t>SALE085</t>
  </si>
  <si>
    <t>SALE086</t>
  </si>
  <si>
    <t>SALE087</t>
  </si>
  <si>
    <t>SALE088</t>
  </si>
  <si>
    <t>SALE089</t>
  </si>
  <si>
    <t>SALE090</t>
  </si>
  <si>
    <t>SALE091</t>
  </si>
  <si>
    <t>SALE092</t>
  </si>
  <si>
    <t>SALE093</t>
  </si>
  <si>
    <t>SALE094</t>
  </si>
  <si>
    <t>ITEM620-A</t>
  </si>
  <si>
    <t>SALE095</t>
  </si>
  <si>
    <t>SALE096</t>
  </si>
  <si>
    <t>SALE097</t>
  </si>
  <si>
    <t>SALE098</t>
  </si>
  <si>
    <t>SALE099</t>
  </si>
  <si>
    <t>SALE100</t>
  </si>
  <si>
    <t>SALE101</t>
  </si>
  <si>
    <t>SALE102</t>
  </si>
  <si>
    <t>SALE103</t>
  </si>
  <si>
    <t>SALE104</t>
  </si>
  <si>
    <t>SALE105</t>
  </si>
  <si>
    <t>SALE106</t>
  </si>
  <si>
    <t>ITEM607-A</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</si>
  <si>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</si>
  <si>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</si>
  <si>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</si>
  <si>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</si>
  <si>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</si>
  <si>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</si>
  <si>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</si>
  <si>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</si>
  <si>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</si>
  <si>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</si>
  <si>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</si>
  <si>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</si>
  <si>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</si>
  <si>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</si>
  <si>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</si>
  <si>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</si>
  <si>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</si>
  <si>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</si>
  <si>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</si>
  <si>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</si>
  <si>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</si>
  <si>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</si>
  <si>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</si>
  <si>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</si>
  <si>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</si>
  <si>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</si>
  <si>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</si>
  <si>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</si>
  <si>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</si>
  <si>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</si>
  <si>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</si>
  <si>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</si>
  <si>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</si>
  <si>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</si>
  <si>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</si>
  <si>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</si>
  <si>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</si>
  <si>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</si>
  <si>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</si>
  <si>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</si>
  <si>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</si>
  <si>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</si>
  <si>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</si>
  <si>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</si>
  <si>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</si>
  <si>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</si>
  <si>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</si>
  <si>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</si>
  <si>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</si>
  <si>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</si>
  <si>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</si>
  <si>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</si>
  <si>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</si>
  <si>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</si>
  <si>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</si>
  <si>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</si>
  <si>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</si>
  <si>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</si>
  <si>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</si>
  <si>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</si>
  <si>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</si>
  <si>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</si>
  <si>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</si>
  <si>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</si>
  <si>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</si>
  <si>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</si>
  <si>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</si>
  <si>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</si>
  <si>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</si>
  <si>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</si>
  <si>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</si>
  <si>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</si>
  <si>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</si>
  <si>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</si>
  <si>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</si>
  <si>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</si>
  <si>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</si>
  <si>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</si>
  <si>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</si>
  <si>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</si>
  <si>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</si>
  <si>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</si>
  <si>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</si>
  <si>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</si>
  <si>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</si>
  <si>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</si>
  <si>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</si>
  <si>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</si>
  <si>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</si>
  <si>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</si>
  <si>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</si>
  <si>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</si>
  <si>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</si>
  <si>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</si>
  <si>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</si>
  <si>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</si>
  <si>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</si>
  <si>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</si>
  <si>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</si>
  <si>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</si>
  <si>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</si>
  <si>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</si>
  <si>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</si>
  <si>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</si>
  <si>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</si>
  <si>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</si>
  <si>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</si>
  <si>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</si>
  <si>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</si>
  <si>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</si>
  <si>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</si>
  <si>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</si>
  <si>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</si>
  <si>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</si>
  <si>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</si>
  <si>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</si>
  <si>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</si>
  <si>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</si>
  <si>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</si>
  <si>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</si>
  <si>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</si>
  <si>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</si>
  <si>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</si>
  <si>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</si>
  <si>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</si>
  <si>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</si>
  <si>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</si>
  <si>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</si>
  <si>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</si>
  <si>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</si>
  <si>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</si>
  <si>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</si>
  <si>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</si>
  <si>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</si>
  <si>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</si>
  <si>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</si>
  <si>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</si>
  <si>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</si>
  <si>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</si>
  <si>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</si>
  <si>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</si>
  <si>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</si>
  <si>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</si>
  <si>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</si>
  <si>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</si>
  <si>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</si>
  <si>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</si>
  <si>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</si>
  <si>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</si>
  <si>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</si>
  <si>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</si>
  <si>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</si>
  <si>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</si>
  <si>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</si>
  <si>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</si>
  <si>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</si>
  <si>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</si>
  <si>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</si>
  <si>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</si>
  <si>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</si>
  <si>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</si>
  <si>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</si>
  <si>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</si>
  <si>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</si>
  <si>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</si>
  <si>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</si>
  <si>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</si>
  <si>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</si>
  <si>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</si>
  <si>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</si>
  <si>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</si>
  <si>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</si>
  <si>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</si>
  <si>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</si>
  <si>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</si>
  <si>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</si>
  <si>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</si>
  <si>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</si>
  <si>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</si>
  <si>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</si>
  <si>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</si>
  <si>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</si>
  <si>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</si>
  <si>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</si>
  <si>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</si>
  <si>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</si>
  <si>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</si>
  <si>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</si>
  <si>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</si>
  <si>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</si>
  <si>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</si>
  <si>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</si>
  <si>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</si>
  <si>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</si>
  <si>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</si>
  <si>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</si>
  <si>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</si>
  <si>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</si>
  <si>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</si>
  <si>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</si>
  <si>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</si>
  <si>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</si>
  <si>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</si>
  <si>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</si>
  <si>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</si>
  <si>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</si>
  <si>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</si>
  <si>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</si>
  <si>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</si>
  <si>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</si>
  <si>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</si>
  <si>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</si>
  <si>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</si>
  <si>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</si>
  <si>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</si>
  <si>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</si>
  <si>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</si>
  <si>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</si>
  <si>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</si>
  <si>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</si>
  <si>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</si>
  <si>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</si>
  <si>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</si>
  <si>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</si>
  <si>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</si>
  <si>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</si>
  <si>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</si>
  <si>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</si>
  <si>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</si>
  <si>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</si>
  <si>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</si>
  <si>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</si>
  <si>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</si>
  <si>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</si>
  <si>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</si>
  <si>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</si>
  <si>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</si>
  <si>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</si>
  <si>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</si>
  <si>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</si>
  <si>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</si>
  <si>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</si>
  <si>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</si>
  <si>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</si>
  <si>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</si>
  <si>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</si>
  <si>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</si>
  <si>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</si>
  <si>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</si>
  <si>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</si>
  <si>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</si>
  <si>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</si>
  <si>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</si>
  <si>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</si>
  <si>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</si>
  <si>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</si>
  <si>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</si>
  <si>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</si>
  <si>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</si>
  <si>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</si>
  <si>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</si>
  <si>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</si>
  <si>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</si>
  <si>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</si>
  <si>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</si>
  <si>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</si>
  <si>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</si>
  <si>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</si>
  <si>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</si>
  <si>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</si>
  <si>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</si>
  <si>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</si>
  <si>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</si>
  <si>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</si>
  <si>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</si>
  <si>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</si>
  <si>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</si>
  <si>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</si>
  <si>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</si>
  <si>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</si>
  <si>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</si>
  <si>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</si>
  <si>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</si>
  <si>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</si>
  <si>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</si>
  <si>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</si>
  <si>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</si>
  <si>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</si>
  <si>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</si>
  <si>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</si>
  <si>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</si>
  <si>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</si>
  <si>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</si>
  <si>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</si>
  <si>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</si>
  <si>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</si>
  <si>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</si>
  <si>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</si>
  <si>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</si>
  <si>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</si>
  <si>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</si>
  <si>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</si>
  <si>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</si>
  <si>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</si>
  <si>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</si>
  <si>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</si>
  <si>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</si>
  <si>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</si>
  <si>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</si>
  <si>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</si>
  <si>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</si>
  <si>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</si>
  <si>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</si>
  <si>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</si>
  <si>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</si>
  <si>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</si>
  <si>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</si>
  <si>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</si>
  <si>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</si>
  <si>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</si>
  <si>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</si>
  <si>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</si>
  <si>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</si>
  <si>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</si>
  <si>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</si>
  <si>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</si>
  <si>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</si>
  <si>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</si>
  <si>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</si>
  <si>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</si>
  <si>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</si>
  <si>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</si>
  <si>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</si>
  <si>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</si>
  <si>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</si>
  <si>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</si>
  <si>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</si>
  <si>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</si>
  <si>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</si>
  <si>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</si>
  <si>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</si>
  <si>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</si>
  <si>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</si>
  <si>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</si>
  <si>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</si>
  <si>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</si>
  <si>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</si>
  <si>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</si>
  <si>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</si>
  <si>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</si>
  <si>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</si>
  <si>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</si>
  <si>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</si>
  <si>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</si>
  <si>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</si>
  <si>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</si>
  <si>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</si>
  <si>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</si>
  <si>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</si>
  <si>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</si>
  <si>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</si>
  <si>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</si>
  <si>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</si>
  <si>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</si>
  <si>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</si>
  <si>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</si>
  <si>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</si>
  <si>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</si>
  <si>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</si>
  <si>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</si>
  <si>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</si>
  <si>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</si>
  <si>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</si>
  <si>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</si>
  <si>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</si>
  <si>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</si>
  <si>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</si>
  <si>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</si>
  <si>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</si>
  <si>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</si>
  <si>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</si>
  <si>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</si>
  <si>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</si>
  <si>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</si>
  <si>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</si>
  <si>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</si>
  <si>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</si>
  <si>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</si>
  <si>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</si>
  <si>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</si>
  <si>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</si>
  <si>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</si>
  <si>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</si>
  <si>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</si>
  <si>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</si>
  <si>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</si>
  <si>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</si>
  <si>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</si>
  <si>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</si>
  <si>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</si>
  <si>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</si>
  <si>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</si>
  <si>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</si>
  <si>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</si>
  <si>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</si>
  <si>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</si>
  <si>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</si>
  <si>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</si>
  <si>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</si>
  <si>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</si>
  <si>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</si>
  <si>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</si>
  <si>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</si>
  <si>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</si>
  <si>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</si>
  <si>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</si>
  <si>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</si>
  <si>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</si>
  <si>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</si>
  <si>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</si>
  <si>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</si>
  <si>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</si>
  <si>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</si>
  <si>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</si>
  <si>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</si>
  <si>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</si>
  <si>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</si>
  <si>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</si>
  <si>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</si>
  <si>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</si>
  <si>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</si>
  <si>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</si>
  <si>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</si>
  <si>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</si>
  <si>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</si>
  <si>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</si>
  <si>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</si>
  <si>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</si>
  <si>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</si>
  <si>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</si>
  <si>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</si>
  <si>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</si>
  <si>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</si>
  <si>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</si>
  <si>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</si>
  <si>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</si>
  <si>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</si>
  <si>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</si>
  <si>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</si>
  <si>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</si>
  <si>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</si>
  <si>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</si>
  <si>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</si>
  <si>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</si>
  <si>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</si>
  <si>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</si>
  <si>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</si>
  <si>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</si>
  <si>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</si>
  <si>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</si>
  <si>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</si>
  <si>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</si>
  <si>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</si>
  <si>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</si>
  <si>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</si>
  <si>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</si>
  <si>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</si>
  <si>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</si>
  <si>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</si>
  <si>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</si>
  <si>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</si>
  <si>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</si>
  <si>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</si>
  <si>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</si>
  <si>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</si>
  <si>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</si>
  <si>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</si>
  <si>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</si>
  <si>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</si>
  <si>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</si>
  <si>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</si>
  <si>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</si>
  <si>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</si>
  <si>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</si>
  <si>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</si>
  <si>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</si>
  <si>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</si>
  <si>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</si>
  <si>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</si>
  <si>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</si>
  <si>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</si>
  <si>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</si>
  <si>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</si>
  <si>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</si>
  <si>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Purchase ID</t>
  </si>
  <si>
    <t>Quantity Purchased</t>
  </si>
  <si>
    <t>PUR001</t>
  </si>
  <si>
    <t>PUR002</t>
  </si>
  <si>
    <t>PUR003</t>
  </si>
  <si>
    <t>PUR004</t>
  </si>
  <si>
    <t>PUR005</t>
  </si>
  <si>
    <t>PUR006</t>
  </si>
  <si>
    <t>PUR007</t>
  </si>
  <si>
    <t>PUR008</t>
  </si>
  <si>
    <t>PUR009</t>
  </si>
  <si>
    <t>PUR010</t>
  </si>
  <si>
    <t>PUR011</t>
  </si>
  <si>
    <t>PUR012</t>
  </si>
  <si>
    <t>PUR013</t>
  </si>
  <si>
    <t>PUR014</t>
  </si>
  <si>
    <t>PUR015</t>
  </si>
  <si>
    <t>PUR016</t>
  </si>
  <si>
    <t>PUR017</t>
  </si>
  <si>
    <t>PUR018</t>
  </si>
  <si>
    <t>PUR019</t>
  </si>
  <si>
    <t>PUR020</t>
  </si>
  <si>
    <t>PUR021</t>
  </si>
  <si>
    <t>PUR022</t>
  </si>
  <si>
    <t>PUR023</t>
  </si>
  <si>
    <t>PUR024</t>
  </si>
  <si>
    <t>PUR025</t>
  </si>
  <si>
    <t>PUR026</t>
  </si>
  <si>
    <t>PUR027</t>
  </si>
  <si>
    <t>PUR028</t>
  </si>
  <si>
    <t>PUR029</t>
  </si>
  <si>
    <t>PUR030</t>
  </si>
  <si>
    <t>PUR031</t>
  </si>
  <si>
    <t>PUR032</t>
  </si>
  <si>
    <t>PUR033</t>
  </si>
  <si>
    <t>PUR034</t>
  </si>
  <si>
    <t>PUR035</t>
  </si>
  <si>
    <t>PUR036</t>
  </si>
  <si>
    <t>PUR037</t>
  </si>
  <si>
    <t>PUR038</t>
  </si>
  <si>
    <t>PUR039</t>
  </si>
  <si>
    <t>PUR040</t>
  </si>
  <si>
    <t>PUR041</t>
  </si>
  <si>
    <t>PUR042</t>
  </si>
  <si>
    <t>PUR043</t>
  </si>
  <si>
    <t>PUR044</t>
  </si>
  <si>
    <t>PUR045</t>
  </si>
  <si>
    <t>PUR046</t>
  </si>
  <si>
    <t>PUR047</t>
  </si>
  <si>
    <t>PUR048</t>
  </si>
  <si>
    <t>PUR049</t>
  </si>
  <si>
    <t>PUR050</t>
  </si>
  <si>
    <t>PUR051</t>
  </si>
  <si>
    <t>PUR052</t>
  </si>
  <si>
    <t>PUR053</t>
  </si>
  <si>
    <t>PUR054</t>
  </si>
  <si>
    <t>PUR055</t>
  </si>
  <si>
    <t>PUR056</t>
  </si>
  <si>
    <t>PUR057</t>
  </si>
  <si>
    <t>PUR058</t>
  </si>
  <si>
    <t>PUR059</t>
  </si>
  <si>
    <t>PUR060</t>
  </si>
  <si>
    <t>PUR061</t>
  </si>
  <si>
    <t>PUR062</t>
  </si>
  <si>
    <t>PUR063</t>
  </si>
  <si>
    <t>PUR064</t>
  </si>
  <si>
    <t>PUR065</t>
  </si>
  <si>
    <t>PUR066</t>
  </si>
  <si>
    <t>PUR067</t>
  </si>
  <si>
    <t>PUR068</t>
  </si>
  <si>
    <t>PUR069</t>
  </si>
  <si>
    <t>PUR070</t>
  </si>
  <si>
    <t>PUR071</t>
  </si>
  <si>
    <t>PUR072</t>
  </si>
  <si>
    <t>PUR073</t>
  </si>
  <si>
    <t>PUR074</t>
  </si>
  <si>
    <t>PUR075</t>
  </si>
  <si>
    <t>PUR076</t>
  </si>
  <si>
    <t>PUR077</t>
  </si>
  <si>
    <t>PUR078</t>
  </si>
  <si>
    <t>PUR079</t>
  </si>
  <si>
    <t>PUR080</t>
  </si>
  <si>
    <t>PUR081</t>
  </si>
  <si>
    <t>PUR082</t>
  </si>
  <si>
    <t>PUR083</t>
  </si>
  <si>
    <t>PUR084</t>
  </si>
  <si>
    <t>PUR085</t>
  </si>
  <si>
    <t>PUR086</t>
  </si>
  <si>
    <t>PUR087</t>
  </si>
  <si>
    <t>PUR088</t>
  </si>
  <si>
    <t>PUR089</t>
  </si>
  <si>
    <t>PUR090</t>
  </si>
  <si>
    <t>PUR091</t>
  </si>
  <si>
    <t>PUR092</t>
  </si>
  <si>
    <t>PUR093</t>
  </si>
  <si>
    <t>PUR094</t>
  </si>
  <si>
    <t>PUR095</t>
  </si>
  <si>
    <t>PUR096</t>
  </si>
  <si>
    <t>PUR097</t>
  </si>
  <si>
    <t>PUR098</t>
  </si>
  <si>
    <t>PUR099</t>
  </si>
  <si>
    <t>PUR100</t>
  </si>
  <si>
    <t>PUR101</t>
  </si>
  <si>
    <t>PUR102</t>
  </si>
  <si>
    <t>PUR103</t>
  </si>
  <si>
    <t>PUR104</t>
  </si>
  <si>
    <t>PUR105</t>
  </si>
  <si>
    <t>PUR106</t>
  </si>
  <si>
    <t>PUR107</t>
  </si>
  <si>
    <t>PUR108</t>
  </si>
  <si>
    <t>PUR109</t>
  </si>
  <si>
    <t>PUR110</t>
  </si>
  <si>
    <t>PUR111</t>
  </si>
  <si>
    <t>PUR112</t>
  </si>
  <si>
    <t>PUR113</t>
  </si>
  <si>
    <t>PUR114</t>
  </si>
  <si>
    <t>PUR115</t>
  </si>
  <si>
    <t>PUR116</t>
  </si>
  <si>
    <t>PUR117</t>
  </si>
  <si>
    <t>PUR118</t>
  </si>
  <si>
    <t>PUR119</t>
  </si>
  <si>
    <t>PUR120</t>
  </si>
  <si>
    <t>PUR121</t>
  </si>
  <si>
    <t>PUR122</t>
  </si>
  <si>
    <t>PUR123</t>
  </si>
  <si>
    <t>PUR124</t>
  </si>
  <si>
    <t>PUR125</t>
  </si>
  <si>
    <t>PUR126</t>
  </si>
  <si>
    <t>PUR127</t>
  </si>
  <si>
    <t>PUR128</t>
  </si>
  <si>
    <t>PUR129</t>
  </si>
  <si>
    <t>PUR130</t>
  </si>
  <si>
    <t>PUR131</t>
  </si>
  <si>
    <t>PUR132</t>
  </si>
  <si>
    <t>PUR133</t>
  </si>
  <si>
    <t>PUR134</t>
  </si>
  <si>
    <t>PUR135</t>
  </si>
  <si>
    <t>PUR136</t>
  </si>
  <si>
    <t>PUR137</t>
  </si>
  <si>
    <t>PUR138</t>
  </si>
  <si>
    <t>PUR139</t>
  </si>
  <si>
    <t>PUR140</t>
  </si>
  <si>
    <t>PUR141</t>
  </si>
  <si>
    <t>PUR142</t>
  </si>
  <si>
    <t>PUR143</t>
  </si>
  <si>
    <t>PUR144</t>
  </si>
  <si>
    <t>PUR145</t>
  </si>
  <si>
    <t>PUR146</t>
  </si>
  <si>
    <t>PUR147</t>
  </si>
  <si>
    <t>PUR148</t>
  </si>
  <si>
    <t>PUR149</t>
  </si>
  <si>
    <t>PUR150</t>
  </si>
  <si>
    <t>PUR151</t>
  </si>
  <si>
    <t>PUR152</t>
  </si>
  <si>
    <t>PUR153</t>
  </si>
  <si>
    <t>PUR154</t>
  </si>
  <si>
    <t>PUR155</t>
  </si>
  <si>
    <t>PUR156</t>
  </si>
  <si>
    <t>PUR157</t>
  </si>
  <si>
    <t>PUR158</t>
  </si>
  <si>
    <t>PUR159</t>
  </si>
  <si>
    <t>PUR160</t>
  </si>
  <si>
    <t>PUR161</t>
  </si>
  <si>
    <t>PUR162</t>
  </si>
  <si>
    <t>PUR163</t>
  </si>
  <si>
    <t>PUR164</t>
  </si>
  <si>
    <t>PUR165</t>
  </si>
  <si>
    <t>PUR166</t>
  </si>
  <si>
    <t>PUR167</t>
  </si>
  <si>
    <t>PUR168</t>
  </si>
  <si>
    <t>PUR169</t>
  </si>
  <si>
    <t>PUR170</t>
  </si>
  <si>
    <t>PUR171</t>
  </si>
  <si>
    <t>PUR172</t>
  </si>
  <si>
    <t>PUR173</t>
  </si>
  <si>
    <t>PUR174</t>
  </si>
  <si>
    <t>PUR175</t>
  </si>
  <si>
    <t>PUR176</t>
  </si>
  <si>
    <t>PUR177</t>
  </si>
  <si>
    <t>PUR178</t>
  </si>
  <si>
    <t>PUR179</t>
  </si>
  <si>
    <t>PUR180</t>
  </si>
  <si>
    <t>PUR181</t>
  </si>
  <si>
    <t>PUR182</t>
  </si>
  <si>
    <t>PUR183</t>
  </si>
  <si>
    <t>PUR184</t>
  </si>
  <si>
    <t>PUR185</t>
  </si>
  <si>
    <t>PUR186</t>
  </si>
  <si>
    <t>PUR187</t>
  </si>
  <si>
    <t>PUR188</t>
  </si>
  <si>
    <t>PUR189</t>
  </si>
  <si>
    <t>PUR190</t>
  </si>
  <si>
    <t>PUR191</t>
  </si>
  <si>
    <t>PUR192</t>
  </si>
  <si>
    <t>PUR193</t>
  </si>
  <si>
    <t>PUR194</t>
  </si>
  <si>
    <t>PUR195</t>
  </si>
  <si>
    <t>PUR196</t>
  </si>
  <si>
    <t>PUR197</t>
  </si>
  <si>
    <t>PUR198</t>
  </si>
  <si>
    <t>PUR199</t>
  </si>
  <si>
    <t>PUR200</t>
  </si>
  <si>
    <t>PUR201</t>
  </si>
  <si>
    <t>PUR202</t>
  </si>
  <si>
    <t>PUR203</t>
  </si>
  <si>
    <t>PUR204</t>
  </si>
  <si>
    <t>PUR205</t>
  </si>
  <si>
    <t>PUR206</t>
  </si>
  <si>
    <t>PUR207</t>
  </si>
  <si>
    <t>PUR208</t>
  </si>
  <si>
    <t>PUR209</t>
  </si>
  <si>
    <t>PUR210</t>
  </si>
  <si>
    <t>PUR211</t>
  </si>
  <si>
    <t>PUR212</t>
  </si>
  <si>
    <t>PUR213</t>
  </si>
  <si>
    <t>PUR214</t>
  </si>
  <si>
    <t>PUR215</t>
  </si>
  <si>
    <t>PUR216</t>
  </si>
  <si>
    <t>PUR217</t>
  </si>
  <si>
    <t>PUR218</t>
  </si>
  <si>
    <t>PUR219</t>
  </si>
  <si>
    <t>PUR220</t>
  </si>
  <si>
    <t>PUR221</t>
  </si>
  <si>
    <t>PUR222</t>
  </si>
  <si>
    <t>PUR223</t>
  </si>
  <si>
    <t>PUR224</t>
  </si>
  <si>
    <t>PUR225</t>
  </si>
  <si>
    <t>PUR226</t>
  </si>
  <si>
    <t>PUR227</t>
  </si>
  <si>
    <t>PUR228</t>
  </si>
  <si>
    <t>PUR229</t>
  </si>
  <si>
    <t>PUR230</t>
  </si>
  <si>
    <t>PUR231</t>
  </si>
  <si>
    <t>PUR232</t>
  </si>
  <si>
    <t>PUR233</t>
  </si>
  <si>
    <t>PUR234</t>
  </si>
  <si>
    <t>PUR235</t>
  </si>
  <si>
    <t>PUR236</t>
  </si>
  <si>
    <t>PUR237</t>
  </si>
  <si>
    <t>PUR238</t>
  </si>
  <si>
    <t>PUR239</t>
  </si>
  <si>
    <t>PUR240</t>
  </si>
  <si>
    <t>PUR241</t>
  </si>
  <si>
    <t>PUR242</t>
  </si>
  <si>
    <t>PUR243</t>
  </si>
  <si>
    <t>PUR244</t>
  </si>
  <si>
    <t>PUR245</t>
  </si>
  <si>
    <t>PUR246</t>
  </si>
  <si>
    <t>PUR247</t>
  </si>
  <si>
    <t>PUR248</t>
  </si>
  <si>
    <t>PUR249</t>
  </si>
  <si>
    <t>PUR250</t>
  </si>
  <si>
    <t>PUR251</t>
  </si>
  <si>
    <t>PUR252</t>
  </si>
  <si>
    <t>PUR253</t>
  </si>
  <si>
    <t>PUR254</t>
  </si>
  <si>
    <t>PUR255</t>
  </si>
  <si>
    <t>PUR256</t>
  </si>
  <si>
    <t>PUR257</t>
  </si>
  <si>
    <t>PUR258</t>
  </si>
  <si>
    <t>PUR259</t>
  </si>
  <si>
    <t>PUR260</t>
  </si>
  <si>
    <t>PUR261</t>
  </si>
  <si>
    <t>PUR262</t>
  </si>
  <si>
    <t>PUR263</t>
  </si>
  <si>
    <t>PUR264</t>
  </si>
  <si>
    <t>PUR265</t>
  </si>
  <si>
    <t>PUR266</t>
  </si>
  <si>
    <t>PUR267</t>
  </si>
  <si>
    <t>PUR268</t>
  </si>
  <si>
    <t>PUR269</t>
  </si>
  <si>
    <t>PUR270</t>
  </si>
  <si>
    <t>PUR271</t>
  </si>
  <si>
    <t>PUR272</t>
  </si>
  <si>
    <t>PUR273</t>
  </si>
  <si>
    <t>PUR274</t>
  </si>
  <si>
    <t>PUR275</t>
  </si>
  <si>
    <t>PUR276</t>
  </si>
  <si>
    <t>PUR277</t>
  </si>
  <si>
    <t>PUR278</t>
  </si>
  <si>
    <t>PUR279</t>
  </si>
  <si>
    <t>PUR280</t>
  </si>
  <si>
    <t>PUR281</t>
  </si>
  <si>
    <t>PUR282</t>
  </si>
  <si>
    <t>PUR283</t>
  </si>
  <si>
    <t>PUR284</t>
  </si>
  <si>
    <t>PUR285</t>
  </si>
  <si>
    <t>PUR286</t>
  </si>
  <si>
    <t>PUR287</t>
  </si>
  <si>
    <t>PUR288</t>
  </si>
  <si>
    <t>PUR289</t>
  </si>
  <si>
    <t>PUR290</t>
  </si>
  <si>
    <t>PUR291</t>
  </si>
  <si>
    <t>PUR292</t>
  </si>
  <si>
    <t>PUR293</t>
  </si>
  <si>
    <t>PUR294</t>
  </si>
  <si>
    <t>PUR295</t>
  </si>
  <si>
    <t>PUR296</t>
  </si>
  <si>
    <t>PUR297</t>
  </si>
  <si>
    <t>PUR298</t>
  </si>
  <si>
    <t>PUR299</t>
  </si>
  <si>
    <t>PUR300</t>
  </si>
  <si>
    <t>PUR301</t>
  </si>
  <si>
    <t>PUR302</t>
  </si>
  <si>
    <t>PUR303</t>
  </si>
  <si>
    <t>PUR304</t>
  </si>
  <si>
    <t>PUR305</t>
  </si>
  <si>
    <t>PUR306</t>
  </si>
  <si>
    <t>PUR307</t>
  </si>
  <si>
    <t>PUR308</t>
  </si>
  <si>
    <t>PUR309</t>
  </si>
  <si>
    <t>PUR310</t>
  </si>
  <si>
    <t>PUR311</t>
  </si>
  <si>
    <t>PUR312</t>
  </si>
  <si>
    <t>PUR313</t>
  </si>
  <si>
    <t>PUR314</t>
  </si>
  <si>
    <t>PUR315</t>
  </si>
  <si>
    <t>PUR316</t>
  </si>
  <si>
    <t>PUR317</t>
  </si>
  <si>
    <t>PUR318</t>
  </si>
  <si>
    <t>PUR319</t>
  </si>
  <si>
    <t>PUR320</t>
  </si>
  <si>
    <t>PUR321</t>
  </si>
  <si>
    <t>PUR322</t>
  </si>
  <si>
    <t>PUR323</t>
  </si>
  <si>
    <t>PUR324</t>
  </si>
  <si>
    <t>PUR325</t>
  </si>
  <si>
    <t>PUR326</t>
  </si>
  <si>
    <t>PUR327</t>
  </si>
  <si>
    <t>PUR328</t>
  </si>
  <si>
    <t>PUR329</t>
  </si>
  <si>
    <t>PUR330</t>
  </si>
  <si>
    <t>PUR331</t>
  </si>
  <si>
    <t>PUR332</t>
  </si>
  <si>
    <t>PUR333</t>
  </si>
  <si>
    <t>PUR334</t>
  </si>
  <si>
    <t>PUR335</t>
  </si>
  <si>
    <t>PUR336</t>
  </si>
  <si>
    <t>PUR337</t>
  </si>
  <si>
    <t>PUR338</t>
  </si>
  <si>
    <t>PUR339</t>
  </si>
  <si>
    <t>PUR340</t>
  </si>
  <si>
    <t>PUR341</t>
  </si>
  <si>
    <t>PUR342</t>
  </si>
  <si>
    <t>PUR343</t>
  </si>
  <si>
    <t>PUR344</t>
  </si>
  <si>
    <t>PUR345</t>
  </si>
  <si>
    <t>PUR346</t>
  </si>
  <si>
    <t>PUR347</t>
  </si>
  <si>
    <t>PUR348</t>
  </si>
  <si>
    <t>PUR349</t>
  </si>
  <si>
    <t>PUR350</t>
  </si>
  <si>
    <t>PUR351</t>
  </si>
  <si>
    <t>PUR352</t>
  </si>
  <si>
    <t>PUR353</t>
  </si>
  <si>
    <t>PUR354</t>
  </si>
  <si>
    <t>PUR355</t>
  </si>
  <si>
    <t>PUR356</t>
  </si>
  <si>
    <t>PUR357</t>
  </si>
  <si>
    <t>PUR358</t>
  </si>
  <si>
    <t>PUR359</t>
  </si>
  <si>
    <t>PUR360</t>
  </si>
  <si>
    <t>PUR361</t>
  </si>
  <si>
    <t>PUR362</t>
  </si>
  <si>
    <t>PUR363</t>
  </si>
  <si>
    <t>PUR364</t>
  </si>
  <si>
    <t>PUR365</t>
  </si>
  <si>
    <t>PUR366</t>
  </si>
  <si>
    <t>PUR367</t>
  </si>
  <si>
    <t>PUR368</t>
  </si>
  <si>
    <t>PUR369</t>
  </si>
  <si>
    <t>PUR370</t>
  </si>
  <si>
    <t>PUR371</t>
  </si>
  <si>
    <t>PUR372</t>
  </si>
  <si>
    <t>PUR373</t>
  </si>
  <si>
    <t>PUR374</t>
  </si>
  <si>
    <t>PUR375</t>
  </si>
  <si>
    <t>PUR376</t>
  </si>
  <si>
    <t>PUR377</t>
  </si>
  <si>
    <t>PUR378</t>
  </si>
  <si>
    <t>PUR379</t>
  </si>
  <si>
    <t>PUR380</t>
  </si>
  <si>
    <t>PUR381</t>
  </si>
  <si>
    <t>PUR382</t>
  </si>
  <si>
    <t>PUR383</t>
  </si>
  <si>
    <t>PUR384</t>
  </si>
  <si>
    <t>PUR385</t>
  </si>
  <si>
    <t>PUR386</t>
  </si>
  <si>
    <t>PUR387</t>
  </si>
  <si>
    <t>PUR388</t>
  </si>
  <si>
    <t>PUR389</t>
  </si>
  <si>
    <t>PUR390</t>
  </si>
  <si>
    <t>PUR391</t>
  </si>
  <si>
    <t>PUR392</t>
  </si>
  <si>
    <t>PUR393</t>
  </si>
  <si>
    <t>PUR394</t>
  </si>
  <si>
    <t>PUR395</t>
  </si>
  <si>
    <t>PUR396</t>
  </si>
  <si>
    <t>PUR397</t>
  </si>
  <si>
    <t>PUR398</t>
  </si>
  <si>
    <t>PUR399</t>
  </si>
  <si>
    <t>PUR400</t>
  </si>
  <si>
    <t>PUR401</t>
  </si>
  <si>
    <t>PUR402</t>
  </si>
  <si>
    <t>PUR403</t>
  </si>
  <si>
    <t>PUR404</t>
  </si>
  <si>
    <t>PUR405</t>
  </si>
  <si>
    <t>PUR406</t>
  </si>
  <si>
    <t>PUR407</t>
  </si>
  <si>
    <t>PUR408</t>
  </si>
  <si>
    <t>PUR409</t>
  </si>
  <si>
    <t>PUR410</t>
  </si>
  <si>
    <t>PUR411</t>
  </si>
  <si>
    <t>PUR412</t>
  </si>
  <si>
    <t>PUR413</t>
  </si>
  <si>
    <t>PUR414</t>
  </si>
  <si>
    <t>PUR415</t>
  </si>
  <si>
    <t>PUR416</t>
  </si>
  <si>
    <t>PUR417</t>
  </si>
  <si>
    <t>PUR418</t>
  </si>
  <si>
    <t>PUR419</t>
  </si>
  <si>
    <t>PUR420</t>
  </si>
  <si>
    <t>PUR421</t>
  </si>
  <si>
    <t>PUR422</t>
  </si>
  <si>
    <t>PUR423</t>
  </si>
  <si>
    <t>PUR424</t>
  </si>
  <si>
    <t>PUR425</t>
  </si>
  <si>
    <t>PUR426</t>
  </si>
  <si>
    <t>PUR427</t>
  </si>
  <si>
    <t>PUR428</t>
  </si>
  <si>
    <t>PUR429</t>
  </si>
  <si>
    <t>PUR430</t>
  </si>
  <si>
    <t>PUR431</t>
  </si>
  <si>
    <t>PUR432</t>
  </si>
  <si>
    <t>PUR433</t>
  </si>
  <si>
    <t>PUR434</t>
  </si>
  <si>
    <t>PUR435</t>
  </si>
  <si>
    <t>PUR436</t>
  </si>
  <si>
    <t>PUR437</t>
  </si>
  <si>
    <t>PUR438</t>
  </si>
  <si>
    <t>PUR439</t>
  </si>
  <si>
    <t>PUR440</t>
  </si>
  <si>
    <t>PUR441</t>
  </si>
  <si>
    <t>PUR442</t>
  </si>
  <si>
    <t>PUR443</t>
  </si>
  <si>
    <t>PUR444</t>
  </si>
  <si>
    <t>PUR445</t>
  </si>
  <si>
    <t>PUR446</t>
  </si>
  <si>
    <t>PUR447</t>
  </si>
  <si>
    <t>PUR448</t>
  </si>
  <si>
    <t>PUR449</t>
  </si>
  <si>
    <t>PUR450</t>
  </si>
  <si>
    <t>PUR451</t>
  </si>
  <si>
    <t>PUR452</t>
  </si>
  <si>
    <t>PUR453</t>
  </si>
  <si>
    <t>PUR454</t>
  </si>
  <si>
    <t>PUR455</t>
  </si>
  <si>
    <t>PUR456</t>
  </si>
  <si>
    <t>PUR457</t>
  </si>
  <si>
    <t>PUR458</t>
  </si>
  <si>
    <t>PUR459</t>
  </si>
  <si>
    <t>PUR460</t>
  </si>
  <si>
    <t>PUR461</t>
  </si>
  <si>
    <t>PUR462</t>
  </si>
  <si>
    <t>PUR463</t>
  </si>
  <si>
    <t>PUR464</t>
  </si>
  <si>
    <t>PUR465</t>
  </si>
  <si>
    <t>PUR466</t>
  </si>
  <si>
    <t>PUR467</t>
  </si>
  <si>
    <t>PUR468</t>
  </si>
  <si>
    <t>PUR469</t>
  </si>
  <si>
    <t>PUR470</t>
  </si>
  <si>
    <t>PUR471</t>
  </si>
  <si>
    <t>PUR472</t>
  </si>
  <si>
    <t>PUR473</t>
  </si>
  <si>
    <t>PUR474</t>
  </si>
  <si>
    <t>PUR475</t>
  </si>
  <si>
    <t>PUR476</t>
  </si>
  <si>
    <t>PUR477</t>
  </si>
  <si>
    <t>PUR478</t>
  </si>
  <si>
    <t>PUR479</t>
  </si>
  <si>
    <t>PUR480</t>
  </si>
  <si>
    <t>PUR481</t>
  </si>
  <si>
    <t>PUR482</t>
  </si>
  <si>
    <t>PUR483</t>
  </si>
  <si>
    <t>PUR484</t>
  </si>
  <si>
    <t>PUR485</t>
  </si>
  <si>
    <t>PUR486</t>
  </si>
  <si>
    <t>PUR487</t>
  </si>
  <si>
    <t>PUR488</t>
  </si>
  <si>
    <t>PUR489</t>
  </si>
  <si>
    <t>PUR490</t>
  </si>
  <si>
    <t>PUR491</t>
  </si>
  <si>
    <t>PUR492</t>
  </si>
  <si>
    <t>PUR493</t>
  </si>
  <si>
    <t>PUR494</t>
  </si>
  <si>
    <t>PUR495</t>
  </si>
  <si>
    <t>PUR496</t>
  </si>
  <si>
    <t>PUR497</t>
  </si>
  <si>
    <t>PUR498</t>
  </si>
  <si>
    <t>PUR499</t>
  </si>
  <si>
    <t>PUR500</t>
  </si>
  <si>
    <t>PUR501</t>
  </si>
  <si>
    <t>PUR502</t>
  </si>
  <si>
    <t>PUR503</t>
  </si>
  <si>
    <t>PUR504</t>
  </si>
  <si>
    <t>PUR505</t>
  </si>
  <si>
    <t>PUR506</t>
  </si>
  <si>
    <t>PUR507</t>
  </si>
  <si>
    <t>PUR508</t>
  </si>
  <si>
    <t>PUR509</t>
  </si>
  <si>
    <t>PUR510</t>
  </si>
  <si>
    <t>PUR511</t>
  </si>
  <si>
    <t>PUR512</t>
  </si>
  <si>
    <t>PUR513</t>
  </si>
  <si>
    <t>PUR514</t>
  </si>
  <si>
    <t>PUR515</t>
  </si>
  <si>
    <t>PUR516</t>
  </si>
  <si>
    <t>PUR517</t>
  </si>
  <si>
    <t>PUR518</t>
  </si>
  <si>
    <t>PUR519</t>
  </si>
  <si>
    <t>PUR520</t>
  </si>
  <si>
    <t>PUR521</t>
  </si>
  <si>
    <t>PUR522</t>
  </si>
  <si>
    <t>PUR523</t>
  </si>
  <si>
    <t>PUR524</t>
  </si>
  <si>
    <t>PUR525</t>
  </si>
  <si>
    <t>PUR526</t>
  </si>
  <si>
    <t>PUR527</t>
  </si>
  <si>
    <t>PUR528</t>
  </si>
  <si>
    <t>PUR529</t>
  </si>
  <si>
    <t>PUR530</t>
  </si>
  <si>
    <t>PUR531</t>
  </si>
  <si>
    <t>PUR532</t>
  </si>
  <si>
    <t>PUR533</t>
  </si>
  <si>
    <t>PUR534</t>
  </si>
  <si>
    <t>PUR535</t>
  </si>
  <si>
    <t>PUR536</t>
  </si>
  <si>
    <t>PUR537</t>
  </si>
  <si>
    <t>PUR538</t>
  </si>
  <si>
    <t>PUR539</t>
  </si>
  <si>
    <t>PUR540</t>
  </si>
  <si>
    <t>PUR541</t>
  </si>
  <si>
    <t>PUR542</t>
  </si>
  <si>
    <t>PUR543</t>
  </si>
  <si>
    <t>PUR544</t>
  </si>
  <si>
    <t>PUR545</t>
  </si>
  <si>
    <t>PUR546</t>
  </si>
  <si>
    <t>PUR547</t>
  </si>
  <si>
    <t>PUR548</t>
  </si>
  <si>
    <t>PUR549</t>
  </si>
  <si>
    <t>PUR550</t>
  </si>
  <si>
    <t>PUR551</t>
  </si>
  <si>
    <t>PUR552</t>
  </si>
  <si>
    <t>PUR553</t>
  </si>
  <si>
    <t>PUR554</t>
  </si>
  <si>
    <t>PUR555</t>
  </si>
  <si>
    <t>PUR556</t>
  </si>
  <si>
    <t>PUR557</t>
  </si>
  <si>
    <t>PUR558</t>
  </si>
  <si>
    <t>PUR559</t>
  </si>
  <si>
    <t>PUR560</t>
  </si>
  <si>
    <t>PUR561</t>
  </si>
  <si>
    <t>PUR562</t>
  </si>
  <si>
    <t>PUR563</t>
  </si>
  <si>
    <t>PUR564</t>
  </si>
  <si>
    <t>PUR565</t>
  </si>
  <si>
    <t>PUR566</t>
  </si>
  <si>
    <t>PUR567</t>
  </si>
  <si>
    <t>PUR568</t>
  </si>
  <si>
    <t>PUR569</t>
  </si>
  <si>
    <t>PUR570</t>
  </si>
  <si>
    <t>PUR571</t>
  </si>
  <si>
    <t>PUR572</t>
  </si>
  <si>
    <t>PUR573</t>
  </si>
  <si>
    <t>PUR574</t>
  </si>
  <si>
    <t>PUR575</t>
  </si>
  <si>
    <t>PUR576</t>
  </si>
  <si>
    <t>PUR577</t>
  </si>
  <si>
    <t>PUR578</t>
  </si>
  <si>
    <t>PUR579</t>
  </si>
  <si>
    <t>PUR580</t>
  </si>
  <si>
    <t>PUR581</t>
  </si>
  <si>
    <t>PUR582</t>
  </si>
  <si>
    <t>PUR583</t>
  </si>
  <si>
    <t>PUR584</t>
  </si>
  <si>
    <t>PUR585</t>
  </si>
  <si>
    <t>PUR586</t>
  </si>
  <si>
    <t>PUR587</t>
  </si>
  <si>
    <t>PUR588</t>
  </si>
  <si>
    <t>PUR589</t>
  </si>
  <si>
    <t>PUR590</t>
  </si>
  <si>
    <t>PUR591</t>
  </si>
  <si>
    <t>PUR592</t>
  </si>
  <si>
    <t>PUR593</t>
  </si>
  <si>
    <t>PUR594</t>
  </si>
  <si>
    <t>PUR595</t>
  </si>
  <si>
    <t>PUR596</t>
  </si>
  <si>
    <t>PUR597</t>
  </si>
  <si>
    <t>PUR598</t>
  </si>
  <si>
    <t>PUR599</t>
  </si>
  <si>
    <t>PUR600</t>
  </si>
  <si>
    <t>Unit Cost</t>
  </si>
  <si>
    <t>Total Qty Sold</t>
  </si>
  <si>
    <t>Total qty Purchased</t>
  </si>
  <si>
    <t>Current stock</t>
  </si>
  <si>
    <t>Opening Qty</t>
  </si>
  <si>
    <t>ItemName</t>
  </si>
  <si>
    <t>Opening Stock</t>
  </si>
  <si>
    <t>Stock Validation</t>
  </si>
  <si>
    <t>Inventory Value</t>
  </si>
  <si>
    <t>SALE601</t>
  </si>
  <si>
    <t>SALE602</t>
  </si>
  <si>
    <t>SALE603</t>
  </si>
  <si>
    <t>Quantity</t>
  </si>
  <si>
    <t>Total Revenue</t>
  </si>
  <si>
    <t>SALE604</t>
  </si>
  <si>
    <t>Last sale Date</t>
  </si>
  <si>
    <t>Days Since Last Sale</t>
  </si>
  <si>
    <t>Reorder Flag</t>
  </si>
  <si>
    <t>DEADSTOCK FLAG</t>
  </si>
  <si>
    <t>DEADSTOCK VALUE</t>
  </si>
  <si>
    <t>Current Stock (Units)</t>
  </si>
  <si>
    <t>Total Quantity Sold</t>
  </si>
  <si>
    <t>Stock Turnover</t>
  </si>
  <si>
    <t>Chart 1: Sales Trend Over Time</t>
  </si>
  <si>
    <t>Row Labels</t>
  </si>
  <si>
    <t>Grand Total</t>
  </si>
  <si>
    <t>Jan</t>
  </si>
  <si>
    <t>Feb</t>
  </si>
  <si>
    <t>Mar</t>
  </si>
  <si>
    <t>Apr</t>
  </si>
  <si>
    <t>May</t>
  </si>
  <si>
    <t>Jun</t>
  </si>
  <si>
    <t>Jul</t>
  </si>
  <si>
    <t>Aug</t>
  </si>
  <si>
    <t>Sep</t>
  </si>
  <si>
    <t>Oct</t>
  </si>
  <si>
    <t>Nov</t>
  </si>
  <si>
    <t>Dec</t>
  </si>
  <si>
    <t>Sum of Quantity</t>
  </si>
  <si>
    <t>Top-Selling Products</t>
  </si>
  <si>
    <t>Sum of Total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</si>
</sst>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sz val="8"/>
      <name val="Calibri"/>
      <family val="2"/>
      <scheme val="minor"/>
    </font>
    <font>
      <b/>
      <sz val="8"/>
      <name val="Calibri"/>
      <family val="2"/>
      <scheme val="minor"/>
    </font>
    <font>
      <b/>
      <sz val="1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0" fontId="3" fillId="2" borderId="0" xfId="0" applyFont="1" applyFill="1" applyAlignment="1">
      <alignment horizontal="center"/>
    </xf>
    <xf numFmtId="0" fontId="3" fillId="2" borderId="0" xfId="0" applyFont="1" applyFill="1"/>
    <xf numFmtId="43" fontId="2" fillId="2" borderId="0" xfId="1" applyFont="1" applyFill="1" applyAlignment="1">
      <alignment horizontal="right"/>
    </xf>
    <xf numFmtId="43" fontId="2" fillId="2" borderId="0" xfId="1" applyFont="1" applyFill="1"/>
    <xf numFmtId="0" fontId="2" fillId="2" borderId="0" xfId="0" applyFont="1" applyFill="1"/>
    <xf numFmtId="0" fontId="2" fillId="2" borderId="1" xfId="0" applyFont="1" applyFill="1" applyBorder="1"/>
    <xf numFmtId="43" fontId="2" fillId="2" borderId="1" xfId="1" applyFont="1" applyFill="1" applyBorder="1" applyAlignment="1">
      <alignment horizontal="right"/>
    </xf>
    <xf numFmtId="43" fontId="2" fillId="2" borderId="1" xfId="1" applyFont="1" applyFill="1" applyBorder="1"/>
    <xf numFmtId="14" fontId="2" fillId="2" borderId="1" xfId="0" applyNumberFormat="1" applyFont="1" applyFill="1" applyBorder="1"/>
    <xf numFmtId="43" fontId="2" fillId="2" borderId="1" xfId="0" applyNumberFormat="1" applyFont="1" applyFill="1" applyBorder="1"/>
    <xf numFmtId="0" fontId="3" fillId="2" borderId="0" xfId="0" applyFont="1" applyFill="1" applyAlignment="1">
      <alignment wrapText="1"/>
    </xf>
    <xf numFmtId="0" fontId="3" fillId="2" borderId="2" xfId="0" applyFont="1" applyFill="1" applyBorder="1"/>
    <xf numFmtId="43" fontId="2" fillId="2" borderId="3" xfId="1" applyFont="1" applyFill="1" applyBorder="1"/>
    <xf numFmtId="0" fontId="3" fillId="2" borderId="7" xfId="0" applyFont="1" applyFill="1" applyBorder="1"/>
    <xf numFmtId="0" fontId="2" fillId="2" borderId="8" xfId="0" applyFont="1" applyFill="1" applyBorder="1"/>
    <xf numFmtId="43" fontId="2" fillId="2" borderId="8" xfId="1" applyFont="1" applyFill="1" applyBorder="1" applyAlignment="1">
      <alignment horizontal="right"/>
    </xf>
    <xf numFmtId="43" fontId="2" fillId="2" borderId="8" xfId="1" applyFont="1" applyFill="1" applyBorder="1"/>
    <xf numFmtId="43" fontId="2" fillId="2" borderId="9" xfId="1" applyFont="1" applyFill="1" applyBorder="1"/>
    <xf numFmtId="0" fontId="5" fillId="3" borderId="4" xfId="0" applyFont="1" applyFill="1" applyBorder="1" applyAlignment="1">
      <alignment horizontal="center"/>
    </xf>
    <xf numFmtId="0" fontId="5" fillId="3" borderId="5" xfId="0" applyFont="1" applyFill="1" applyBorder="1" applyAlignment="1">
      <alignment horizontal="center"/>
    </xf>
    <xf numFmtId="43" fontId="5" fillId="3" borderId="5" xfId="1" applyFont="1" applyFill="1" applyBorder="1" applyAlignment="1">
      <alignment horizontal="right"/>
    </xf>
    <xf numFmtId="43" fontId="5" fillId="3" borderId="5" xfId="1" applyFont="1" applyFill="1" applyBorder="1" applyAlignment="1">
      <alignment horizontal="center"/>
    </xf>
    <xf numFmtId="43" fontId="5" fillId="3" borderId="6" xfId="1" applyFont="1" applyFill="1" applyBorder="1" applyAlignment="1">
      <alignment horizontal="center"/>
    </xf>
    <xf numFmtId="0" fontId="2" fillId="2" borderId="2" xfId="0" applyFont="1" applyFill="1" applyBorder="1"/>
    <xf numFmtId="43" fontId="2" fillId="2" borderId="3" xfId="0" applyNumberFormat="1" applyFont="1" applyFill="1" applyBorder="1"/>
    <xf numFmtId="0" fontId="2" fillId="2" borderId="7" xfId="0" applyFont="1" applyFill="1" applyBorder="1"/>
    <xf numFmtId="43" fontId="2" fillId="2" borderId="9" xfId="0" applyNumberFormat="1" applyFont="1" applyFill="1" applyBorder="1"/>
    <xf numFmtId="0" fontId="5" fillId="4" borderId="4" xfId="0" applyFont="1" applyFill="1" applyBorder="1"/>
    <xf numFmtId="0" fontId="5" fillId="4" borderId="5" xfId="0" applyFont="1" applyFill="1" applyBorder="1"/>
    <xf numFmtId="0" fontId="5" fillId="4" borderId="6" xfId="0" applyFont="1" applyFill="1" applyBorder="1"/>
    <xf numFmtId="14" fontId="2" fillId="2" borderId="8" xfId="0" applyNumberFormat="1" applyFont="1" applyFill="1" applyBorder="1"/>
    <xf numFmtId="0" fontId="5" fillId="3" borderId="4" xfId="0" applyFont="1" applyFill="1" applyBorder="1"/>
    <xf numFmtId="0" fontId="5" fillId="3" borderId="5" xfId="0" applyFont="1" applyFill="1" applyBorder="1"/>
    <xf numFmtId="43" fontId="5" fillId="3" borderId="6" xfId="1" applyFont="1" applyFill="1" applyBorder="1"/>
    <xf numFmtId="43" fontId="5" fillId="3" borderId="6" xfId="1" applyFont="1" applyFill="1" applyBorder="1" applyAlignment="1">
      <alignment wrapText="1"/>
    </xf>
    <xf numFmtId="43" fontId="2" fillId="2" borderId="8" xfId="0" applyNumberFormat="1" applyFont="1" applyFill="1" applyBorder="1"/>
    <xf numFmtId="43" fontId="5" fillId="4" borderId="5" xfId="1" applyFont="1" applyFill="1" applyBorder="1" applyAlignment="1">
      <alignment wrapText="1"/>
    </xf>
    <xf numFmtId="0" fontId="5" fillId="4" borderId="5" xfId="0" applyFont="1" applyFill="1" applyBorder="1" applyAlignment="1">
      <alignment wrapText="1"/>
    </xf>
    <xf numFmtId="43" fontId="5" fillId="4" borderId="5" xfId="1" applyFont="1" applyFill="1" applyBorder="1" applyAlignment="1">
      <alignment horizontal="center" wrapText="1"/>
    </xf>
    <xf numFmtId="43" fontId="2" fillId="2" borderId="1" xfId="1" applyFont="1" applyFill="1" applyBorder="1" applyAlignment="1">
      <alignment horizontal="center"/>
    </xf>
    <xf numFmtId="43" fontId="2" fillId="2" borderId="0" xfId="1" applyFont="1" applyFill="1" applyAlignment="1">
      <alignment horizontal="center"/>
    </xf>
    <xf numFmtId="0" fontId="5" fillId="4" borderId="1" xfId="0" applyFont="1" applyFill="1" applyBorder="1" applyAlignment="1">
      <alignment wrapText="1"/>
    </xf>
    <xf numFmtId="43" fontId="5" fillId="4" borderId="1" xfId="1" applyFont="1" applyFill="1" applyBorder="1" applyAlignment="1">
      <alignment wrapText="1"/>
    </xf>
    <xf numFmtId="0" fontId="5" fillId="4" borderId="4" xfId="0" applyFont="1" applyFill="1" applyBorder="1" applyAlignment="1">
      <alignment wrapText="1"/>
    </xf>
    <xf numFmtId="0" fontId="5" fillId="4" borderId="6" xfId="0" applyFont="1" applyFill="1" applyBorder="1" applyAlignment="1">
      <alignment wrapText="1"/>
    </xf>
    <xf numFmtId="0" fontId="6" fillId="2" borderId="0" xfId="0" applyFont="1" applyFill="1"/>
    <xf numFmtId="43" fontId="6" fillId="2" borderId="0" xfId="0" applyNumberFormat="1" applyFont="1" applyFill="1"/>
    <xf numFmtId="0" fontId="0" fillId="2" borderId="0" xfId="0" applyFill="1"/>
    <xf numFmtId="0" fontId="0" fillId="2" borderId="0" xfId="0" applyFill="1" applyAlignment="1">
      <alignment horizontal="left"/>
    </xf>
    <xf numFmtId="43" fontId="0" fillId="2" borderId="0" xfId="0" applyNumberFormat="1" applyFill="1"/>
    <xf numFmtId="0" fontId="0" fillId="2" borderId="1" xfId="0" applyFill="1" applyBorder="1"/>
    <xf numFmtId="0" fontId="0" fillId="2" borderId="1" xfId="0" applyFill="1" applyBorder="1" applyAlignment="1">
      <alignment horizontal="left"/>
    </xf>
    <xf numFmtId="43" fontId="0" fillId="2" borderId="1" xfId="0" applyNumberFormat="1" applyFill="1" applyBorder="1"/>
  </cellXfs>
  <cellStyles count="2">
    <cellStyle name="Comma" xfId="1" builtinId="3"/>
    <cellStyle name="Normal" xfId="0" builtinId="0"/>
  </cellStyles>
  <dxfs count="78">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9" formatCode="m/d/yyyy"/>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34998626667073579"/>
        </patternFill>
      </fill>
      <alignmen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numFmt numFmtId="35" formatCode="_(* #,##0.00_);_(* \(#,##0.00\);_(* &quot;-&quot;??_);_(@_)"/>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3499862666707357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auto="1"/>
        <name val="Calibri"/>
        <family val="2"/>
        <scheme val="minor"/>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dashboard.xlsx]Dashboard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tables'!$B$2</c:f>
              <c:strCache>
                <c:ptCount val="1"/>
                <c:pt idx="0">
                  <c:v>Total</c:v>
                </c:pt>
              </c:strCache>
            </c:strRef>
          </c:tx>
          <c:spPr>
            <a:ln w="28575" cap="rnd">
              <a:solidFill>
                <a:schemeClr val="accent1"/>
              </a:solidFill>
              <a:round/>
            </a:ln>
            <a:effectLst/>
          </c:spPr>
          <c:marker>
            <c:symbol val="none"/>
          </c:marker>
          <c:cat>
            <c:strRef>
              <c:f>'Dashboard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tables'!$B$3:$B$15</c:f>
              <c:numCache>
                <c:formatCode>_(* #,##0.00_);_(* \(#,##0.00\);_(* "-"??_);_(@_)</c:formatCode>
                <c:ptCount val="12"/>
                <c:pt idx="0">
                  <c:v>373</c:v>
                </c:pt>
                <c:pt idx="1">
                  <c:v>389</c:v>
                </c:pt>
                <c:pt idx="2">
                  <c:v>463</c:v>
                </c:pt>
                <c:pt idx="3">
                  <c:v>389</c:v>
                </c:pt>
                <c:pt idx="4">
                  <c:v>363</c:v>
                </c:pt>
                <c:pt idx="5">
                  <c:v>849</c:v>
                </c:pt>
                <c:pt idx="6">
                  <c:v>366</c:v>
                </c:pt>
                <c:pt idx="7">
                  <c:v>499</c:v>
                </c:pt>
                <c:pt idx="8">
                  <c:v>429</c:v>
                </c:pt>
                <c:pt idx="9">
                  <c:v>498</c:v>
                </c:pt>
                <c:pt idx="10">
                  <c:v>369</c:v>
                </c:pt>
                <c:pt idx="11">
                  <c:v>362</c:v>
                </c:pt>
              </c:numCache>
            </c:numRef>
          </c:val>
          <c:smooth val="0"/>
          <c:extLst>
            <c:ext xmlns:c16="http://schemas.microsoft.com/office/drawing/2014/chart" uri="{C3380CC4-5D6E-409C-BE32-E72D297353CC}">
              <c16:uniqueId val="{00000000-8214-41CD-8E5E-316E27A233A2}"/>
            </c:ext>
          </c:extLst>
        </c:ser>
        <c:dLbls>
          <c:showLegendKey val="0"/>
          <c:showVal val="0"/>
          <c:showCatName val="0"/>
          <c:showSerName val="0"/>
          <c:showPercent val="0"/>
          <c:showBubbleSize val="0"/>
        </c:dLbls>
        <c:smooth val="0"/>
        <c:axId val="1698898943"/>
        <c:axId val="1698899903"/>
      </c:lineChart>
      <c:catAx>
        <c:axId val="16988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9903"/>
        <c:crosses val="autoZero"/>
        <c:auto val="1"/>
        <c:lblAlgn val="ctr"/>
        <c:lblOffset val="100"/>
        <c:noMultiLvlLbl val="0"/>
      </c:catAx>
      <c:valAx>
        <c:axId val="169889990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dashboard.xlsx]Dashboard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tables'!$B$18</c:f>
              <c:strCache>
                <c:ptCount val="1"/>
                <c:pt idx="0">
                  <c:v>Total</c:v>
                </c:pt>
              </c:strCache>
            </c:strRef>
          </c:tx>
          <c:spPr>
            <a:solidFill>
              <a:schemeClr val="accent1"/>
            </a:solidFill>
            <a:ln>
              <a:noFill/>
            </a:ln>
            <a:effectLst/>
          </c:spPr>
          <c:invertIfNegative val="0"/>
          <c:cat>
            <c:strRef>
              <c:f>'Dashboard tables'!$A$19:$A$91</c:f>
              <c:strCache>
                <c:ptCount val="72"/>
                <c:pt idx="0">
                  <c:v>12-Port Fiber Patch Panel</c:v>
                </c:pt>
                <c:pt idx="1">
                  <c:v>1x16 PLC Splitter</c:v>
                </c:pt>
                <c:pt idx="2">
                  <c:v>1x2 PLC Splitter</c:v>
                </c:pt>
                <c:pt idx="3">
                  <c:v>1x32 PLC Splitter</c:v>
                </c:pt>
                <c:pt idx="4">
                  <c:v>1x4 PLC Splitter</c:v>
                </c:pt>
                <c:pt idx="5">
                  <c:v>1x8 PLC Splitter</c:v>
                </c:pt>
                <c:pt idx="6">
                  <c:v>24-Port Fiber Patch Panel</c:v>
                </c:pt>
                <c:pt idx="7">
                  <c:v>48-Port Fiber Patch Panel</c:v>
                </c:pt>
                <c:pt idx="8">
                  <c:v>72-Port Fiber Patch Panel</c:v>
                </c:pt>
                <c:pt idx="9">
                  <c:v>96-Port Fiber Patch Panel</c:v>
                </c:pt>
                <c:pt idx="10">
                  <c:v>Armored Fiber Cable 100m</c:v>
                </c:pt>
                <c:pt idx="11">
                  <c:v>Armored Fiber Cable 200m</c:v>
                </c:pt>
                <c:pt idx="12">
                  <c:v>Armored Fiber Cable 300m</c:v>
                </c:pt>
                <c:pt idx="13">
                  <c:v>Armored Fiber Cable 500m</c:v>
                </c:pt>
                <c:pt idx="14">
                  <c:v>Armored Fiber Cable 50m</c:v>
                </c:pt>
                <c:pt idx="15">
                  <c:v>CFP Transceiver</c:v>
                </c:pt>
                <c:pt idx="16">
                  <c:v>Dome Enclosure</c:v>
                </c:pt>
                <c:pt idx="17">
                  <c:v>FC APC Connector</c:v>
                </c:pt>
                <c:pt idx="18">
                  <c:v>FC UPC Connector</c:v>
                </c:pt>
                <c:pt idx="19">
                  <c:v>Fiber Adapter</c:v>
                </c:pt>
                <c:pt idx="20">
                  <c:v>Fiber Cleaner</c:v>
                </c:pt>
                <c:pt idx="21">
                  <c:v>Fiber Jumper</c:v>
                </c:pt>
                <c:pt idx="22">
                  <c:v>Fiber Optic Crimper</c:v>
                </c:pt>
                <c:pt idx="23">
                  <c:v>Fiber Optic Cutter</c:v>
                </c:pt>
                <c:pt idx="24">
                  <c:v>Fiber Optic Polisher</c:v>
                </c:pt>
                <c:pt idx="25">
                  <c:v>Fiber Optic Stripper</c:v>
                </c:pt>
                <c:pt idx="26">
                  <c:v>Fiber Optic Tester</c:v>
                </c:pt>
                <c:pt idx="27">
                  <c:v>Fiber Pigtail</c:v>
                </c:pt>
                <c:pt idx="28">
                  <c:v>Fixed Attenuator 10dB</c:v>
                </c:pt>
                <c:pt idx="29">
                  <c:v>Fixed Attenuator 15dB</c:v>
                </c:pt>
                <c:pt idx="30">
                  <c:v>Fixed Attenuator 1dB</c:v>
                </c:pt>
                <c:pt idx="31">
                  <c:v>Fixed Attenuator 20dB</c:v>
                </c:pt>
                <c:pt idx="32">
                  <c:v>Fixed Attenuator 2dB</c:v>
                </c:pt>
                <c:pt idx="33">
                  <c:v>Fixed Attenuator 3dB</c:v>
                </c:pt>
                <c:pt idx="34">
                  <c:v>Fixed Attenuator 5dB</c:v>
                </c:pt>
                <c:pt idx="35">
                  <c:v>Fusion Splicer</c:v>
                </c:pt>
                <c:pt idx="36">
                  <c:v>Indoor Fiber Cable 100m</c:v>
                </c:pt>
                <c:pt idx="37">
                  <c:v>Indoor Fiber Cable 200m</c:v>
                </c:pt>
                <c:pt idx="38">
                  <c:v>Indoor Fiber Cable 500m</c:v>
                </c:pt>
                <c:pt idx="39">
                  <c:v>Indoor Fiber Cable 50m</c:v>
                </c:pt>
                <c:pt idx="40">
                  <c:v>LC APC Connector</c:v>
                </c:pt>
                <c:pt idx="41">
                  <c:v>LC UPC Connector</c:v>
                </c:pt>
                <c:pt idx="42">
                  <c:v>Mechanical Splicer</c:v>
                </c:pt>
                <c:pt idx="43">
                  <c:v>MPO APC Connector</c:v>
                </c:pt>
                <c:pt idx="44">
                  <c:v>MPO UPC Connector</c:v>
                </c:pt>
                <c:pt idx="45">
                  <c:v>MTP APC Connector</c:v>
                </c:pt>
                <c:pt idx="46">
                  <c:v>MTP UPC Connector</c:v>
                </c:pt>
                <c:pt idx="47">
                  <c:v>Multi-Mode Fiber Cable 100m</c:v>
                </c:pt>
                <c:pt idx="48">
                  <c:v>Multi-Mode Fiber Cable 200m</c:v>
                </c:pt>
                <c:pt idx="49">
                  <c:v>Multi-Mode Fiber Cable 300m</c:v>
                </c:pt>
                <c:pt idx="50">
                  <c:v>Multi-Mode Fiber Cable 500m</c:v>
                </c:pt>
                <c:pt idx="51">
                  <c:v>Multi-Mode Fiber Cable 50m</c:v>
                </c:pt>
                <c:pt idx="52">
                  <c:v>Outdoor Fiber Cable 100m</c:v>
                </c:pt>
                <c:pt idx="53">
                  <c:v>Outdoor Fiber Cable 200m</c:v>
                </c:pt>
                <c:pt idx="54">
                  <c:v>Outdoor Fiber Cable 300m</c:v>
                </c:pt>
                <c:pt idx="55">
                  <c:v>Outdoor Fiber Cable 500m</c:v>
                </c:pt>
                <c:pt idx="56">
                  <c:v>Outdoor Fiber Cable 50m</c:v>
                </c:pt>
                <c:pt idx="57">
                  <c:v>Pedestal Enclosure</c:v>
                </c:pt>
                <c:pt idx="58">
                  <c:v>QSFP Transceiver</c:v>
                </c:pt>
                <c:pt idx="59">
                  <c:v>QSFP28 Transceiver</c:v>
                </c:pt>
                <c:pt idx="60">
                  <c:v>Rack-Mount Enclosure</c:v>
                </c:pt>
                <c:pt idx="61">
                  <c:v>SC APC Connector</c:v>
                </c:pt>
                <c:pt idx="62">
                  <c:v>SC UPC Connector</c:v>
                </c:pt>
                <c:pt idx="63">
                  <c:v>SFP Transceiver</c:v>
                </c:pt>
                <c:pt idx="64">
                  <c:v>SFP+ Transceiver</c:v>
                </c:pt>
                <c:pt idx="65">
                  <c:v>Single-Mode Fiber Cable 100m</c:v>
                </c:pt>
                <c:pt idx="66">
                  <c:v>Single-Mode Fiber Cable 200m</c:v>
                </c:pt>
                <c:pt idx="67">
                  <c:v>Single-Mode Fiber Cable 500m</c:v>
                </c:pt>
                <c:pt idx="68">
                  <c:v>Single-Mode Fiber Cable 50m</c:v>
                </c:pt>
                <c:pt idx="69">
                  <c:v>ST APC Connector</c:v>
                </c:pt>
                <c:pt idx="70">
                  <c:v>ST UPC Connector</c:v>
                </c:pt>
                <c:pt idx="71">
                  <c:v>Wall-Mount Enclosure</c:v>
                </c:pt>
              </c:strCache>
            </c:strRef>
          </c:cat>
          <c:val>
            <c:numRef>
              <c:f>'Dashboard tables'!$B$19:$B$91</c:f>
              <c:numCache>
                <c:formatCode>_(* #,##0.00_);_(* \(#,##0.00\);_(* "-"??_);_(@_)</c:formatCode>
                <c:ptCount val="72"/>
                <c:pt idx="0">
                  <c:v>261</c:v>
                </c:pt>
                <c:pt idx="1">
                  <c:v>443</c:v>
                </c:pt>
                <c:pt idx="2">
                  <c:v>0</c:v>
                </c:pt>
                <c:pt idx="3">
                  <c:v>55</c:v>
                </c:pt>
                <c:pt idx="4">
                  <c:v>12</c:v>
                </c:pt>
                <c:pt idx="5">
                  <c:v>132</c:v>
                </c:pt>
                <c:pt idx="6">
                  <c:v>0</c:v>
                </c:pt>
                <c:pt idx="7">
                  <c:v>144</c:v>
                </c:pt>
                <c:pt idx="8">
                  <c:v>163</c:v>
                </c:pt>
                <c:pt idx="9">
                  <c:v>25</c:v>
                </c:pt>
                <c:pt idx="10">
                  <c:v>0</c:v>
                </c:pt>
                <c:pt idx="11">
                  <c:v>0</c:v>
                </c:pt>
                <c:pt idx="12">
                  <c:v>8</c:v>
                </c:pt>
                <c:pt idx="13">
                  <c:v>18</c:v>
                </c:pt>
                <c:pt idx="14">
                  <c:v>0</c:v>
                </c:pt>
                <c:pt idx="15">
                  <c:v>0</c:v>
                </c:pt>
                <c:pt idx="16">
                  <c:v>150</c:v>
                </c:pt>
                <c:pt idx="17">
                  <c:v>16</c:v>
                </c:pt>
                <c:pt idx="18">
                  <c:v>6</c:v>
                </c:pt>
                <c:pt idx="19">
                  <c:v>178</c:v>
                </c:pt>
                <c:pt idx="20">
                  <c:v>192</c:v>
                </c:pt>
                <c:pt idx="21">
                  <c:v>208</c:v>
                </c:pt>
                <c:pt idx="22">
                  <c:v>0</c:v>
                </c:pt>
                <c:pt idx="23">
                  <c:v>338</c:v>
                </c:pt>
                <c:pt idx="24">
                  <c:v>169</c:v>
                </c:pt>
                <c:pt idx="25">
                  <c:v>0</c:v>
                </c:pt>
                <c:pt idx="26">
                  <c:v>36</c:v>
                </c:pt>
                <c:pt idx="27">
                  <c:v>37</c:v>
                </c:pt>
                <c:pt idx="28">
                  <c:v>0</c:v>
                </c:pt>
                <c:pt idx="29">
                  <c:v>0</c:v>
                </c:pt>
                <c:pt idx="30">
                  <c:v>30</c:v>
                </c:pt>
                <c:pt idx="31">
                  <c:v>403</c:v>
                </c:pt>
                <c:pt idx="32">
                  <c:v>29</c:v>
                </c:pt>
                <c:pt idx="33">
                  <c:v>427</c:v>
                </c:pt>
                <c:pt idx="34">
                  <c:v>0</c:v>
                </c:pt>
                <c:pt idx="35">
                  <c:v>416</c:v>
                </c:pt>
                <c:pt idx="36">
                  <c:v>15</c:v>
                </c:pt>
                <c:pt idx="37">
                  <c:v>0</c:v>
                </c:pt>
                <c:pt idx="38">
                  <c:v>0</c:v>
                </c:pt>
                <c:pt idx="39">
                  <c:v>0</c:v>
                </c:pt>
                <c:pt idx="40">
                  <c:v>4</c:v>
                </c:pt>
                <c:pt idx="41">
                  <c:v>0</c:v>
                </c:pt>
                <c:pt idx="42">
                  <c:v>118</c:v>
                </c:pt>
                <c:pt idx="43">
                  <c:v>0</c:v>
                </c:pt>
                <c:pt idx="44">
                  <c:v>15</c:v>
                </c:pt>
                <c:pt idx="45">
                  <c:v>0</c:v>
                </c:pt>
                <c:pt idx="46">
                  <c:v>12</c:v>
                </c:pt>
                <c:pt idx="47">
                  <c:v>211</c:v>
                </c:pt>
                <c:pt idx="48">
                  <c:v>16</c:v>
                </c:pt>
                <c:pt idx="49">
                  <c:v>0</c:v>
                </c:pt>
                <c:pt idx="50">
                  <c:v>0</c:v>
                </c:pt>
                <c:pt idx="51">
                  <c:v>11</c:v>
                </c:pt>
                <c:pt idx="52">
                  <c:v>0</c:v>
                </c:pt>
                <c:pt idx="53">
                  <c:v>9</c:v>
                </c:pt>
                <c:pt idx="54">
                  <c:v>10</c:v>
                </c:pt>
                <c:pt idx="55">
                  <c:v>0</c:v>
                </c:pt>
                <c:pt idx="56">
                  <c:v>0</c:v>
                </c:pt>
                <c:pt idx="57">
                  <c:v>246</c:v>
                </c:pt>
                <c:pt idx="58">
                  <c:v>3</c:v>
                </c:pt>
                <c:pt idx="59">
                  <c:v>22</c:v>
                </c:pt>
                <c:pt idx="60">
                  <c:v>169</c:v>
                </c:pt>
                <c:pt idx="61">
                  <c:v>233</c:v>
                </c:pt>
                <c:pt idx="62">
                  <c:v>13</c:v>
                </c:pt>
                <c:pt idx="63">
                  <c:v>51</c:v>
                </c:pt>
                <c:pt idx="64">
                  <c:v>0</c:v>
                </c:pt>
                <c:pt idx="65">
                  <c:v>0</c:v>
                </c:pt>
                <c:pt idx="66">
                  <c:v>113</c:v>
                </c:pt>
                <c:pt idx="67">
                  <c:v>0</c:v>
                </c:pt>
                <c:pt idx="68">
                  <c:v>17</c:v>
                </c:pt>
                <c:pt idx="69">
                  <c:v>31</c:v>
                </c:pt>
                <c:pt idx="70">
                  <c:v>46</c:v>
                </c:pt>
                <c:pt idx="71">
                  <c:v>63</c:v>
                </c:pt>
              </c:numCache>
            </c:numRef>
          </c:val>
          <c:extLst>
            <c:ext xmlns:c16="http://schemas.microsoft.com/office/drawing/2014/chart" uri="{C3380CC4-5D6E-409C-BE32-E72D297353CC}">
              <c16:uniqueId val="{00000000-9009-46C1-98E1-DEBAE5D6FA3D}"/>
            </c:ext>
          </c:extLst>
        </c:ser>
        <c:dLbls>
          <c:showLegendKey val="0"/>
          <c:showVal val="0"/>
          <c:showCatName val="0"/>
          <c:showSerName val="0"/>
          <c:showPercent val="0"/>
          <c:showBubbleSize val="0"/>
        </c:dLbls>
        <c:gapWidth val="182"/>
        <c:axId val="1698904703"/>
        <c:axId val="1698913823"/>
      </c:barChart>
      <c:catAx>
        <c:axId val="169890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13823"/>
        <c:crosses val="autoZero"/>
        <c:auto val="1"/>
        <c:lblAlgn val="ctr"/>
        <c:lblOffset val="100"/>
        <c:noMultiLvlLbl val="0"/>
      </c:catAx>
      <c:valAx>
        <c:axId val="1698913823"/>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dashboard.xlsx]Dashboard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tables'!$B$2</c:f>
              <c:strCache>
                <c:ptCount val="1"/>
                <c:pt idx="0">
                  <c:v>Total</c:v>
                </c:pt>
              </c:strCache>
            </c:strRef>
          </c:tx>
          <c:spPr>
            <a:ln w="28575" cap="rnd">
              <a:solidFill>
                <a:schemeClr val="accent1"/>
              </a:solidFill>
              <a:round/>
            </a:ln>
            <a:effectLst/>
          </c:spPr>
          <c:marker>
            <c:symbol val="none"/>
          </c:marker>
          <c:cat>
            <c:strRef>
              <c:f>'Dashboard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tables'!$B$3:$B$15</c:f>
              <c:numCache>
                <c:formatCode>_(* #,##0.00_);_(* \(#,##0.00\);_(* "-"??_);_(@_)</c:formatCode>
                <c:ptCount val="12"/>
                <c:pt idx="0">
                  <c:v>373</c:v>
                </c:pt>
                <c:pt idx="1">
                  <c:v>389</c:v>
                </c:pt>
                <c:pt idx="2">
                  <c:v>463</c:v>
                </c:pt>
                <c:pt idx="3">
                  <c:v>389</c:v>
                </c:pt>
                <c:pt idx="4">
                  <c:v>363</c:v>
                </c:pt>
                <c:pt idx="5">
                  <c:v>849</c:v>
                </c:pt>
                <c:pt idx="6">
                  <c:v>366</c:v>
                </c:pt>
                <c:pt idx="7">
                  <c:v>499</c:v>
                </c:pt>
                <c:pt idx="8">
                  <c:v>429</c:v>
                </c:pt>
                <c:pt idx="9">
                  <c:v>498</c:v>
                </c:pt>
                <c:pt idx="10">
                  <c:v>369</c:v>
                </c:pt>
                <c:pt idx="11">
                  <c:v>362</c:v>
                </c:pt>
              </c:numCache>
            </c:numRef>
          </c:val>
          <c:smooth val="0"/>
          <c:extLst>
            <c:ext xmlns:c16="http://schemas.microsoft.com/office/drawing/2014/chart" uri="{C3380CC4-5D6E-409C-BE32-E72D297353CC}">
              <c16:uniqueId val="{00000000-F317-4603-B9A5-8B95D89A6861}"/>
            </c:ext>
          </c:extLst>
        </c:ser>
        <c:dLbls>
          <c:showLegendKey val="0"/>
          <c:showVal val="0"/>
          <c:showCatName val="0"/>
          <c:showSerName val="0"/>
          <c:showPercent val="0"/>
          <c:showBubbleSize val="0"/>
        </c:dLbls>
        <c:smooth val="0"/>
        <c:axId val="1698898943"/>
        <c:axId val="1698899903"/>
      </c:lineChart>
      <c:catAx>
        <c:axId val="16988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9903"/>
        <c:crosses val="autoZero"/>
        <c:auto val="1"/>
        <c:lblAlgn val="ctr"/>
        <c:lblOffset val="100"/>
        <c:noMultiLvlLbl val="0"/>
      </c:catAx>
      <c:valAx>
        <c:axId val="16988999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8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dashboard.xlsx]Dashboard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tables'!$B$18</c:f>
              <c:strCache>
                <c:ptCount val="1"/>
                <c:pt idx="0">
                  <c:v>Total</c:v>
                </c:pt>
              </c:strCache>
            </c:strRef>
          </c:tx>
          <c:spPr>
            <a:solidFill>
              <a:schemeClr val="accent1"/>
            </a:solidFill>
            <a:ln>
              <a:noFill/>
            </a:ln>
            <a:effectLst/>
          </c:spPr>
          <c:invertIfNegative val="0"/>
          <c:cat>
            <c:strRef>
              <c:f>'Dashboard tables'!$A$19:$A$91</c:f>
              <c:strCache>
                <c:ptCount val="72"/>
                <c:pt idx="0">
                  <c:v>12-Port Fiber Patch Panel</c:v>
                </c:pt>
                <c:pt idx="1">
                  <c:v>1x16 PLC Splitter</c:v>
                </c:pt>
                <c:pt idx="2">
                  <c:v>1x2 PLC Splitter</c:v>
                </c:pt>
                <c:pt idx="3">
                  <c:v>1x32 PLC Splitter</c:v>
                </c:pt>
                <c:pt idx="4">
                  <c:v>1x4 PLC Splitter</c:v>
                </c:pt>
                <c:pt idx="5">
                  <c:v>1x8 PLC Splitter</c:v>
                </c:pt>
                <c:pt idx="6">
                  <c:v>24-Port Fiber Patch Panel</c:v>
                </c:pt>
                <c:pt idx="7">
                  <c:v>48-Port Fiber Patch Panel</c:v>
                </c:pt>
                <c:pt idx="8">
                  <c:v>72-Port Fiber Patch Panel</c:v>
                </c:pt>
                <c:pt idx="9">
                  <c:v>96-Port Fiber Patch Panel</c:v>
                </c:pt>
                <c:pt idx="10">
                  <c:v>Armored Fiber Cable 100m</c:v>
                </c:pt>
                <c:pt idx="11">
                  <c:v>Armored Fiber Cable 200m</c:v>
                </c:pt>
                <c:pt idx="12">
                  <c:v>Armored Fiber Cable 300m</c:v>
                </c:pt>
                <c:pt idx="13">
                  <c:v>Armored Fiber Cable 500m</c:v>
                </c:pt>
                <c:pt idx="14">
                  <c:v>Armored Fiber Cable 50m</c:v>
                </c:pt>
                <c:pt idx="15">
                  <c:v>CFP Transceiver</c:v>
                </c:pt>
                <c:pt idx="16">
                  <c:v>Dome Enclosure</c:v>
                </c:pt>
                <c:pt idx="17">
                  <c:v>FC APC Connector</c:v>
                </c:pt>
                <c:pt idx="18">
                  <c:v>FC UPC Connector</c:v>
                </c:pt>
                <c:pt idx="19">
                  <c:v>Fiber Adapter</c:v>
                </c:pt>
                <c:pt idx="20">
                  <c:v>Fiber Cleaner</c:v>
                </c:pt>
                <c:pt idx="21">
                  <c:v>Fiber Jumper</c:v>
                </c:pt>
                <c:pt idx="22">
                  <c:v>Fiber Optic Crimper</c:v>
                </c:pt>
                <c:pt idx="23">
                  <c:v>Fiber Optic Cutter</c:v>
                </c:pt>
                <c:pt idx="24">
                  <c:v>Fiber Optic Polisher</c:v>
                </c:pt>
                <c:pt idx="25">
                  <c:v>Fiber Optic Stripper</c:v>
                </c:pt>
                <c:pt idx="26">
                  <c:v>Fiber Optic Tester</c:v>
                </c:pt>
                <c:pt idx="27">
                  <c:v>Fiber Pigtail</c:v>
                </c:pt>
                <c:pt idx="28">
                  <c:v>Fixed Attenuator 10dB</c:v>
                </c:pt>
                <c:pt idx="29">
                  <c:v>Fixed Attenuator 15dB</c:v>
                </c:pt>
                <c:pt idx="30">
                  <c:v>Fixed Attenuator 1dB</c:v>
                </c:pt>
                <c:pt idx="31">
                  <c:v>Fixed Attenuator 20dB</c:v>
                </c:pt>
                <c:pt idx="32">
                  <c:v>Fixed Attenuator 2dB</c:v>
                </c:pt>
                <c:pt idx="33">
                  <c:v>Fixed Attenuator 3dB</c:v>
                </c:pt>
                <c:pt idx="34">
                  <c:v>Fixed Attenuator 5dB</c:v>
                </c:pt>
                <c:pt idx="35">
                  <c:v>Fusion Splicer</c:v>
                </c:pt>
                <c:pt idx="36">
                  <c:v>Indoor Fiber Cable 100m</c:v>
                </c:pt>
                <c:pt idx="37">
                  <c:v>Indoor Fiber Cable 200m</c:v>
                </c:pt>
                <c:pt idx="38">
                  <c:v>Indoor Fiber Cable 500m</c:v>
                </c:pt>
                <c:pt idx="39">
                  <c:v>Indoor Fiber Cable 50m</c:v>
                </c:pt>
                <c:pt idx="40">
                  <c:v>LC APC Connector</c:v>
                </c:pt>
                <c:pt idx="41">
                  <c:v>LC UPC Connector</c:v>
                </c:pt>
                <c:pt idx="42">
                  <c:v>Mechanical Splicer</c:v>
                </c:pt>
                <c:pt idx="43">
                  <c:v>MPO APC Connector</c:v>
                </c:pt>
                <c:pt idx="44">
                  <c:v>MPO UPC Connector</c:v>
                </c:pt>
                <c:pt idx="45">
                  <c:v>MTP APC Connector</c:v>
                </c:pt>
                <c:pt idx="46">
                  <c:v>MTP UPC Connector</c:v>
                </c:pt>
                <c:pt idx="47">
                  <c:v>Multi-Mode Fiber Cable 100m</c:v>
                </c:pt>
                <c:pt idx="48">
                  <c:v>Multi-Mode Fiber Cable 200m</c:v>
                </c:pt>
                <c:pt idx="49">
                  <c:v>Multi-Mode Fiber Cable 300m</c:v>
                </c:pt>
                <c:pt idx="50">
                  <c:v>Multi-Mode Fiber Cable 500m</c:v>
                </c:pt>
                <c:pt idx="51">
                  <c:v>Multi-Mode Fiber Cable 50m</c:v>
                </c:pt>
                <c:pt idx="52">
                  <c:v>Outdoor Fiber Cable 100m</c:v>
                </c:pt>
                <c:pt idx="53">
                  <c:v>Outdoor Fiber Cable 200m</c:v>
                </c:pt>
                <c:pt idx="54">
                  <c:v>Outdoor Fiber Cable 300m</c:v>
                </c:pt>
                <c:pt idx="55">
                  <c:v>Outdoor Fiber Cable 500m</c:v>
                </c:pt>
                <c:pt idx="56">
                  <c:v>Outdoor Fiber Cable 50m</c:v>
                </c:pt>
                <c:pt idx="57">
                  <c:v>Pedestal Enclosure</c:v>
                </c:pt>
                <c:pt idx="58">
                  <c:v>QSFP Transceiver</c:v>
                </c:pt>
                <c:pt idx="59">
                  <c:v>QSFP28 Transceiver</c:v>
                </c:pt>
                <c:pt idx="60">
                  <c:v>Rack-Mount Enclosure</c:v>
                </c:pt>
                <c:pt idx="61">
                  <c:v>SC APC Connector</c:v>
                </c:pt>
                <c:pt idx="62">
                  <c:v>SC UPC Connector</c:v>
                </c:pt>
                <c:pt idx="63">
                  <c:v>SFP Transceiver</c:v>
                </c:pt>
                <c:pt idx="64">
                  <c:v>SFP+ Transceiver</c:v>
                </c:pt>
                <c:pt idx="65">
                  <c:v>Single-Mode Fiber Cable 100m</c:v>
                </c:pt>
                <c:pt idx="66">
                  <c:v>Single-Mode Fiber Cable 200m</c:v>
                </c:pt>
                <c:pt idx="67">
                  <c:v>Single-Mode Fiber Cable 500m</c:v>
                </c:pt>
                <c:pt idx="68">
                  <c:v>Single-Mode Fiber Cable 50m</c:v>
                </c:pt>
                <c:pt idx="69">
                  <c:v>ST APC Connector</c:v>
                </c:pt>
                <c:pt idx="70">
                  <c:v>ST UPC Connector</c:v>
                </c:pt>
                <c:pt idx="71">
                  <c:v>Wall-Mount Enclosure</c:v>
                </c:pt>
              </c:strCache>
            </c:strRef>
          </c:cat>
          <c:val>
            <c:numRef>
              <c:f>'Dashboard tables'!$B$19:$B$91</c:f>
              <c:numCache>
                <c:formatCode>_(* #,##0.00_);_(* \(#,##0.00\);_(* "-"??_);_(@_)</c:formatCode>
                <c:ptCount val="72"/>
                <c:pt idx="0">
                  <c:v>261</c:v>
                </c:pt>
                <c:pt idx="1">
                  <c:v>443</c:v>
                </c:pt>
                <c:pt idx="2">
                  <c:v>0</c:v>
                </c:pt>
                <c:pt idx="3">
                  <c:v>55</c:v>
                </c:pt>
                <c:pt idx="4">
                  <c:v>12</c:v>
                </c:pt>
                <c:pt idx="5">
                  <c:v>132</c:v>
                </c:pt>
                <c:pt idx="6">
                  <c:v>0</c:v>
                </c:pt>
                <c:pt idx="7">
                  <c:v>144</c:v>
                </c:pt>
                <c:pt idx="8">
                  <c:v>163</c:v>
                </c:pt>
                <c:pt idx="9">
                  <c:v>25</c:v>
                </c:pt>
                <c:pt idx="10">
                  <c:v>0</c:v>
                </c:pt>
                <c:pt idx="11">
                  <c:v>0</c:v>
                </c:pt>
                <c:pt idx="12">
                  <c:v>8</c:v>
                </c:pt>
                <c:pt idx="13">
                  <c:v>18</c:v>
                </c:pt>
                <c:pt idx="14">
                  <c:v>0</c:v>
                </c:pt>
                <c:pt idx="15">
                  <c:v>0</c:v>
                </c:pt>
                <c:pt idx="16">
                  <c:v>150</c:v>
                </c:pt>
                <c:pt idx="17">
                  <c:v>16</c:v>
                </c:pt>
                <c:pt idx="18">
                  <c:v>6</c:v>
                </c:pt>
                <c:pt idx="19">
                  <c:v>178</c:v>
                </c:pt>
                <c:pt idx="20">
                  <c:v>192</c:v>
                </c:pt>
                <c:pt idx="21">
                  <c:v>208</c:v>
                </c:pt>
                <c:pt idx="22">
                  <c:v>0</c:v>
                </c:pt>
                <c:pt idx="23">
                  <c:v>338</c:v>
                </c:pt>
                <c:pt idx="24">
                  <c:v>169</c:v>
                </c:pt>
                <c:pt idx="25">
                  <c:v>0</c:v>
                </c:pt>
                <c:pt idx="26">
                  <c:v>36</c:v>
                </c:pt>
                <c:pt idx="27">
                  <c:v>37</c:v>
                </c:pt>
                <c:pt idx="28">
                  <c:v>0</c:v>
                </c:pt>
                <c:pt idx="29">
                  <c:v>0</c:v>
                </c:pt>
                <c:pt idx="30">
                  <c:v>30</c:v>
                </c:pt>
                <c:pt idx="31">
                  <c:v>403</c:v>
                </c:pt>
                <c:pt idx="32">
                  <c:v>29</c:v>
                </c:pt>
                <c:pt idx="33">
                  <c:v>427</c:v>
                </c:pt>
                <c:pt idx="34">
                  <c:v>0</c:v>
                </c:pt>
                <c:pt idx="35">
                  <c:v>416</c:v>
                </c:pt>
                <c:pt idx="36">
                  <c:v>15</c:v>
                </c:pt>
                <c:pt idx="37">
                  <c:v>0</c:v>
                </c:pt>
                <c:pt idx="38">
                  <c:v>0</c:v>
                </c:pt>
                <c:pt idx="39">
                  <c:v>0</c:v>
                </c:pt>
                <c:pt idx="40">
                  <c:v>4</c:v>
                </c:pt>
                <c:pt idx="41">
                  <c:v>0</c:v>
                </c:pt>
                <c:pt idx="42">
                  <c:v>118</c:v>
                </c:pt>
                <c:pt idx="43">
                  <c:v>0</c:v>
                </c:pt>
                <c:pt idx="44">
                  <c:v>15</c:v>
                </c:pt>
                <c:pt idx="45">
                  <c:v>0</c:v>
                </c:pt>
                <c:pt idx="46">
                  <c:v>12</c:v>
                </c:pt>
                <c:pt idx="47">
                  <c:v>211</c:v>
                </c:pt>
                <c:pt idx="48">
                  <c:v>16</c:v>
                </c:pt>
                <c:pt idx="49">
                  <c:v>0</c:v>
                </c:pt>
                <c:pt idx="50">
                  <c:v>0</c:v>
                </c:pt>
                <c:pt idx="51">
                  <c:v>11</c:v>
                </c:pt>
                <c:pt idx="52">
                  <c:v>0</c:v>
                </c:pt>
                <c:pt idx="53">
                  <c:v>9</c:v>
                </c:pt>
                <c:pt idx="54">
                  <c:v>10</c:v>
                </c:pt>
                <c:pt idx="55">
                  <c:v>0</c:v>
                </c:pt>
                <c:pt idx="56">
                  <c:v>0</c:v>
                </c:pt>
                <c:pt idx="57">
                  <c:v>246</c:v>
                </c:pt>
                <c:pt idx="58">
                  <c:v>3</c:v>
                </c:pt>
                <c:pt idx="59">
                  <c:v>22</c:v>
                </c:pt>
                <c:pt idx="60">
                  <c:v>169</c:v>
                </c:pt>
                <c:pt idx="61">
                  <c:v>233</c:v>
                </c:pt>
                <c:pt idx="62">
                  <c:v>13</c:v>
                </c:pt>
                <c:pt idx="63">
                  <c:v>51</c:v>
                </c:pt>
                <c:pt idx="64">
                  <c:v>0</c:v>
                </c:pt>
                <c:pt idx="65">
                  <c:v>0</c:v>
                </c:pt>
                <c:pt idx="66">
                  <c:v>113</c:v>
                </c:pt>
                <c:pt idx="67">
                  <c:v>0</c:v>
                </c:pt>
                <c:pt idx="68">
                  <c:v>17</c:v>
                </c:pt>
                <c:pt idx="69">
                  <c:v>31</c:v>
                </c:pt>
                <c:pt idx="70">
                  <c:v>46</c:v>
                </c:pt>
                <c:pt idx="71">
                  <c:v>63</c:v>
                </c:pt>
              </c:numCache>
            </c:numRef>
          </c:val>
          <c:extLst>
            <c:ext xmlns:c16="http://schemas.microsoft.com/office/drawing/2014/chart" uri="{C3380CC4-5D6E-409C-BE32-E72D297353CC}">
              <c16:uniqueId val="{00000000-CB4F-4918-91C1-B003F6ED6769}"/>
            </c:ext>
          </c:extLst>
        </c:ser>
        <c:dLbls>
          <c:showLegendKey val="0"/>
          <c:showVal val="0"/>
          <c:showCatName val="0"/>
          <c:showSerName val="0"/>
          <c:showPercent val="0"/>
          <c:showBubbleSize val="0"/>
        </c:dLbls>
        <c:gapWidth val="182"/>
        <c:axId val="1698904703"/>
        <c:axId val="1698913823"/>
      </c:barChart>
      <c:catAx>
        <c:axId val="169890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13823"/>
        <c:crosses val="autoZero"/>
        <c:auto val="1"/>
        <c:lblAlgn val="ctr"/>
        <c:lblOffset val="100"/>
        <c:noMultiLvlLbl val="0"/>
      </c:catAx>
      <c:valAx>
        <c:axId val="169891382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12699</xdr:colOff>
      <xdr:row>0</xdr:row>
      <xdr:rowOff>6350</xdr:rowOff>
    </xdr:from>
    <xdr:to>
      <xdr:col>21</xdr:col>
      <xdr:colOff>381000</xdr:colOff>
      <xdr:row>5</xdr:row>
      <xdr:rowOff>0</xdr:rowOff>
    </xdr:to>
    <xdr:sp macro="" textlink="">
      <xdr:nvSpPr>
        <xdr:cNvPr id="2" name="TextBox 1">
          <a:extLst>
            <a:ext uri="{FF2B5EF4-FFF2-40B4-BE49-F238E27FC236}">
              <a16:creationId xmlns:a16="http://schemas.microsoft.com/office/drawing/2014/main" id="{E9FC3DC5-DF33-3E2A-216B-43D7627C882C}"/>
            </a:ext>
          </a:extLst>
        </xdr:cNvPr>
        <xdr:cNvSpPr txBox="1"/>
      </xdr:nvSpPr>
      <xdr:spPr>
        <a:xfrm>
          <a:off x="12699" y="6350"/>
          <a:ext cx="15946968" cy="68156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a:t>
          </a:r>
          <a:r>
            <a:rPr lang="en-US" sz="2000" b="1">
              <a:latin typeface="+mj-lt"/>
            </a:rPr>
            <a:t>Retail Inventory Management Dashboard</a:t>
          </a:r>
        </a:p>
        <a:p>
          <a:r>
            <a:rPr lang="en-US" sz="1000" b="1">
              <a:latin typeface="+mj-lt"/>
            </a:rPr>
            <a:t>                                                                                                                                                                                                       Real-time stock visibility and sales performance</a:t>
          </a:r>
        </a:p>
      </xdr:txBody>
    </xdr:sp>
    <xdr:clientData/>
  </xdr:twoCellAnchor>
  <xdr:twoCellAnchor>
    <xdr:from>
      <xdr:col>0</xdr:col>
      <xdr:colOff>0</xdr:colOff>
      <xdr:row>9</xdr:row>
      <xdr:rowOff>0</xdr:rowOff>
    </xdr:from>
    <xdr:to>
      <xdr:col>4</xdr:col>
      <xdr:colOff>338666</xdr:colOff>
      <xdr:row>9</xdr:row>
      <xdr:rowOff>3619500</xdr:rowOff>
    </xdr:to>
    <xdr:graphicFrame macro="">
      <xdr:nvGraphicFramePr>
        <xdr:cNvPr id="4" name="Chart 3">
          <a:extLst>
            <a:ext uri="{FF2B5EF4-FFF2-40B4-BE49-F238E27FC236}">
              <a16:creationId xmlns:a16="http://schemas.microsoft.com/office/drawing/2014/main" id="{BAC05B14-3E1C-4709-8B79-10522DA46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370416</xdr:colOff>
      <xdr:row>9</xdr:row>
      <xdr:rowOff>10584</xdr:rowOff>
    </xdr:from>
    <xdr:to>
      <xdr:col>15</xdr:col>
      <xdr:colOff>10583</xdr:colOff>
      <xdr:row>10</xdr:row>
      <xdr:rowOff>0</xdr:rowOff>
    </xdr:to>
    <xdr:graphicFrame macro="">
      <xdr:nvGraphicFramePr>
        <xdr:cNvPr id="5" name="Chart 4">
          <a:extLst>
            <a:ext uri="{FF2B5EF4-FFF2-40B4-BE49-F238E27FC236}">
              <a16:creationId xmlns:a16="http://schemas.microsoft.com/office/drawing/2014/main" id="{99CC714D-81BE-46CB-84BC-80DF3FDED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88899</xdr:colOff>
      <xdr:row>5</xdr:row>
      <xdr:rowOff>0</xdr:rowOff>
    </xdr:from>
    <xdr:to>
      <xdr:col>18</xdr:col>
      <xdr:colOff>76199</xdr:colOff>
      <xdr:row>9</xdr:row>
      <xdr:rowOff>1270001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374BA46-1964-7178-D582-8B5B94585D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84566" y="687917"/>
              <a:ext cx="1828800" cy="2455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120650</xdr:colOff>
      <xdr:row>5</xdr:row>
      <xdr:rowOff>0</xdr:rowOff>
    </xdr:from>
    <xdr:to>
      <xdr:col>21</xdr:col>
      <xdr:colOff>107950</xdr:colOff>
      <xdr:row>9</xdr:row>
      <xdr:rowOff>1338792</xdr:rowOff>
    </xdr:to>
    <mc:AlternateContent xmlns:mc="http://schemas.openxmlformats.org/markup-compatibility/2006" xmlns:a14="http://schemas.microsoft.com/office/drawing/2010/main">
      <mc:Choice Requires="a14">
        <xdr:graphicFrame macro="">
          <xdr:nvGraphicFramePr>
            <xdr:cNvPr id="7" name="Item Name">
              <a:extLst>
                <a:ext uri="{FF2B5EF4-FFF2-40B4-BE49-F238E27FC236}">
                  <a16:creationId xmlns:a16="http://schemas.microsoft.com/office/drawing/2014/main" id="{66EABB2A-BCBC-AA7C-3635-BBAC7BFB879D}"/>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13857817" y="6879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78316</xdr:colOff>
      <xdr:row>9</xdr:row>
      <xdr:rowOff>1206500</xdr:rowOff>
    </xdr:from>
    <xdr:to>
      <xdr:col>18</xdr:col>
      <xdr:colOff>65616</xdr:colOff>
      <xdr:row>10</xdr:row>
      <xdr:rowOff>100542</xdr:rowOff>
    </xdr:to>
    <mc:AlternateContent xmlns:mc="http://schemas.openxmlformats.org/markup-compatibility/2006" xmlns:a14="http://schemas.microsoft.com/office/drawing/2010/main">
      <mc:Choice Requires="a14">
        <xdr:graphicFrame macro="">
          <xdr:nvGraphicFramePr>
            <xdr:cNvPr id="8" name="Supplier">
              <a:extLst>
                <a:ext uri="{FF2B5EF4-FFF2-40B4-BE49-F238E27FC236}">
                  <a16:creationId xmlns:a16="http://schemas.microsoft.com/office/drawing/2014/main" id="{518FA300-F2F9-8D23-86DF-7E8F4545867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973983" y="307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131233</xdr:colOff>
      <xdr:row>9</xdr:row>
      <xdr:rowOff>1121833</xdr:rowOff>
    </xdr:from>
    <xdr:to>
      <xdr:col>21</xdr:col>
      <xdr:colOff>118533</xdr:colOff>
      <xdr:row>10</xdr:row>
      <xdr:rowOff>15875</xdr:rowOff>
    </xdr:to>
    <mc:AlternateContent xmlns:mc="http://schemas.openxmlformats.org/markup-compatibility/2006" xmlns:a14="http://schemas.microsoft.com/office/drawing/2010/main">
      <mc:Choice Requires="a14">
        <xdr:graphicFrame macro="">
          <xdr:nvGraphicFramePr>
            <xdr:cNvPr id="9" name="Re order Level">
              <a:extLst>
                <a:ext uri="{FF2B5EF4-FFF2-40B4-BE49-F238E27FC236}">
                  <a16:creationId xmlns:a16="http://schemas.microsoft.com/office/drawing/2014/main" id="{AD9CA6FF-0CF1-DCF9-484B-87D59AA213F0}"/>
                </a:ext>
              </a:extLst>
            </xdr:cNvPr>
            <xdr:cNvGraphicFramePr/>
          </xdr:nvGraphicFramePr>
          <xdr:xfrm>
            <a:off x="0" y="0"/>
            <a:ext cx="0" cy="0"/>
          </xdr:xfrm>
          <a:graphic>
            <a:graphicData uri="http://schemas.microsoft.com/office/drawing/2010/slicer">
              <sle:slicer xmlns:sle="http://schemas.microsoft.com/office/drawing/2010/slicer" name="Re order Level"/>
            </a:graphicData>
          </a:graphic>
        </xdr:graphicFrame>
      </mc:Choice>
      <mc:Fallback xmlns="">
        <xdr:sp macro="" textlink="">
          <xdr:nvSpPr>
            <xdr:cNvPr id="0" name=""/>
            <xdr:cNvSpPr>
              <a:spLocks noTextEdit="1"/>
            </xdr:cNvSpPr>
          </xdr:nvSpPr>
          <xdr:spPr>
            <a:xfrm>
              <a:off x="13868400" y="299508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984250</xdr:colOff>
      <xdr:row>0</xdr:row>
      <xdr:rowOff>66675</xdr:rowOff>
    </xdr:from>
    <xdr:to>
      <xdr:col>9</xdr:col>
      <xdr:colOff>273050</xdr:colOff>
      <xdr:row>15</xdr:row>
      <xdr:rowOff>98425</xdr:rowOff>
    </xdr:to>
    <xdr:graphicFrame macro="">
      <xdr:nvGraphicFramePr>
        <xdr:cNvPr id="2" name="Chart 1">
          <a:extLst>
            <a:ext uri="{FF2B5EF4-FFF2-40B4-BE49-F238E27FC236}">
              <a16:creationId xmlns:a16="http://schemas.microsoft.com/office/drawing/2014/main" id="{D7C715CB-8AC7-09F2-96AB-2EEA7F43B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10</xdr:row>
      <xdr:rowOff>66675</xdr:rowOff>
    </xdr:from>
    <xdr:to>
      <xdr:col>7</xdr:col>
      <xdr:colOff>203200</xdr:colOff>
      <xdr:row>25</xdr:row>
      <xdr:rowOff>47625</xdr:rowOff>
    </xdr:to>
    <xdr:graphicFrame macro="">
      <xdr:nvGraphicFramePr>
        <xdr:cNvPr id="3" name="Chart 2">
          <a:extLst>
            <a:ext uri="{FF2B5EF4-FFF2-40B4-BE49-F238E27FC236}">
              <a16:creationId xmlns:a16="http://schemas.microsoft.com/office/drawing/2014/main" id="{977FD421-5C18-6BE5-8946-DB0CD5D6F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188026157404" createdVersion="8" refreshedVersion="8" minRefreshableVersion="3" recordCount="604" xr:uid="{0CC685D0-5002-4A89-94BF-BDA1E4B8FFAF}">
  <cacheSource type="worksheet">
    <worksheetSource name="Table3"/>
  </cacheSource>
  <cacheFields count="7">
    <cacheField name="Sales ID" numFmtId="0">
      <sharedItems/>
    </cacheField>
    <cacheField name="Date" numFmtId="14">
      <sharedItems containsSemiMixedTypes="0" containsNonDate="0" containsDate="1" containsString="0" minDate="2024-01-02T00:00:00" maxDate="2025-12-25T00:00:00" count="550">
        <d v="2025-10-16T00:00:00"/>
        <d v="2024-09-07T00:00:00"/>
        <d v="2025-11-23T00:00:00"/>
        <d v="2024-02-02T00:00:00"/>
        <d v="2025-06-01T00:00:00"/>
        <d v="2025-03-05T00:00:00"/>
        <d v="2024-01-07T00:00:00"/>
        <d v="2024-10-11T00:00:00"/>
        <d v="2024-04-14T00:00:00"/>
        <d v="2024-12-18T00:00:00"/>
        <d v="2025-08-22T00:00:00"/>
        <d v="2025-02-19T00:00:00"/>
        <d v="2024-07-30T00:00:00"/>
        <d v="2025-04-12T00:00:00"/>
        <d v="2024-11-05T00:00:00"/>
        <d v="2025-01-28T00:00:00"/>
        <d v="2024-03-19T00:00:00"/>
        <d v="2025-09-14T00:00:00"/>
        <d v="2024-06-25T00:00:00"/>
        <d v="2025-07-08T00:00:00"/>
        <d v="2024-08-31T00:00:00"/>
        <d v="2025-12-03T00:00:00"/>
        <d v="2024-05-16T00:00:00"/>
        <d v="2025-03-27T00:00:00"/>
        <d v="2024-10-09T00:00:00"/>
        <d v="2025-05-20T00:00:00"/>
        <d v="2024-02-11T00:00:00"/>
        <d v="2025-11-01T00:00:00"/>
        <d v="2024-09-23T00:00:00"/>
        <d v="2025-06-17T00:00:00"/>
        <d v="2024-12-04T00:00:00"/>
        <d v="2025-02-14T00:00:00"/>
        <d v="2024-04-08T00:00:00"/>
        <d v="2025-08-05T00:00:00"/>
        <d v="2024-07-19T00:00:00"/>
        <d v="2025-10-30T00:00:00"/>
        <d v="2024-03-26T00:00:00"/>
        <d v="2025-01-15T00:00:00"/>
        <d v="2024-11-28T00:00:00"/>
        <d v="2025-04-03T00:00:00"/>
        <d v="2024-06-12T00:00:00"/>
        <d v="2025-09-09T00:00:00"/>
        <d v="2024-08-17T00:00:00"/>
        <d v="2025-07-24T00:00:00"/>
        <d v="2024-01-29T00:00:00"/>
        <d v="2025-03-18T00:00:00"/>
        <d v="2024-10-22T00:00:00"/>
        <d v="2025-12-11T00:00:00"/>
        <d v="2024-05-07T00:00:00"/>
        <d v="2025-02-05T00:00:00"/>
        <d v="2024-09-02T00:00:00"/>
        <d v="2025-06-29T00:00:00"/>
        <d v="2024-12-20T00:00:00"/>
        <d v="2025-04-21T00:00:00"/>
        <d v="2024-03-14T00:00:00"/>
        <d v="2025-11-16T00:00:00"/>
        <d v="2024-07-03T00:00:00"/>
        <d v="2025-08-28T00:00:00"/>
        <d v="2024-02-24T00:00:00"/>
        <d v="2025-01-09T00:00:00"/>
        <d v="2024-10-15T00:00:00"/>
        <d v="2025-05-04T00:00:00"/>
        <d v="2024-06-30T00:00:00"/>
        <d v="2025-09-19T00:00:00"/>
        <d v="2024-11-07T00:00:00"/>
        <d v="2025-03-02T00:00:00"/>
        <d v="2024-08-04T00:00:00"/>
        <d v="2025-07-11T00:00:00"/>
        <d v="2024-04-27T00:00:00"/>
        <d v="2025-10-24T00:00:00"/>
        <d v="2024-01-18T00:00:00"/>
        <d v="2025-02-20T00:00:00"/>
        <d v="2024-09-28T00:00:00"/>
        <d v="2025-06-13T00:00:00"/>
        <d v="2024-12-25T00:00:00"/>
        <d v="2025-04-16T00:00:00"/>
        <d v="2024-07-22T00:00:00"/>
        <d v="2025-11-29T00:00:00"/>
        <d v="2024-03-09T00:00:00"/>
        <d v="2025-08-16T00:00:00"/>
        <d v="2024-05-31T00:00:00"/>
        <d v="2025-01-04T00:00:00"/>
        <d v="2024-10-01T00:00:00"/>
        <d v="2025-03-23T00:00:00"/>
        <d v="2024-06-18T00:00:00"/>
        <d v="2025-09-06T00:00:00"/>
        <d v="2024-02-07T00:00:00"/>
        <d v="2025-07-30T00:00:00"/>
        <d v="2024-11-13T00:00:00"/>
        <d v="2025-05-25T00:00:00"/>
        <d v="2024-08-20T00:00:00"/>
        <d v="2025-12-08T00:00:00"/>
        <d v="2024-04-02T00:00:00"/>
        <d v="2025-02-28T00:00:00"/>
        <d v="2024-09-15T00:00:00"/>
        <d v="2025-06-07T00:00:00"/>
        <d v="2024-12-30T00:00:00"/>
        <d v="2025-03-30T00:00:00"/>
        <d v="2024-07-09T00:00:00"/>
        <d v="2025-10-18T00:00:00"/>
        <d v="2024-01-25T00:00:00"/>
        <d v="2025-04-09T00:00:00"/>
        <d v="2024-10-06T00:00:00"/>
        <d v="2025-08-01T00:00:00"/>
        <d v="2024-05-14T00:00:00"/>
        <d v="2025-11-20T00:00:00"/>
        <d v="2024-03-21T00:00:00"/>
        <d v="2025-01-17T00:00:00"/>
        <d v="2024-08-13T00:00:00"/>
        <d v="2025-07-05T00:00:00"/>
        <d v="2024-11-26T00:00:00"/>
        <d v="2025-02-11T00:00:00"/>
        <d v="2024-06-04T00:00:00"/>
        <d v="2025-09-27T00:00:00"/>
        <d v="2024-02-16T00:00:00"/>
        <d v="2025-05-12T00:00:00"/>
        <d v="2024-12-14T00:00:00"/>
        <d v="2024-09-19T00:00:00"/>
        <d v="2025-10-03T00:00:00"/>
        <d v="2024-04-30T00:00:00"/>
        <d v="2025-07-18T00:00:00"/>
        <d v="2024-01-11T00:00:00"/>
        <d v="2025-11-07T00:00:00"/>
        <d v="2024-08-08T00:00:00"/>
        <d v="2025-02-02T00:00:00"/>
        <d v="2024-05-28T00:00:00"/>
        <d v="2025-04-25T00:00:00"/>
        <d v="2024-10-20T00:00:00"/>
        <d v="2025-08-24T00:00:00"/>
        <d v="2024-03-03T00:00:00"/>
        <d v="2025-12-19T00:00:00"/>
        <d v="2024-07-14T00:00:00"/>
        <d v="2025-01-21T00:00:00"/>
        <d v="2024-11-10T00:00:00"/>
        <d v="2025-06-22T00:00:00"/>
        <d v="2024-09-12T00:00:00"/>
        <d v="2025-03-16T00:00:00"/>
        <d v="2024-02-28T00:00:00"/>
        <d v="2025-09-02T00:00:00"/>
        <d v="2024-12-07T00:00:00"/>
        <d v="2025-05-09T00:00:00"/>
        <d v="2024-06-21T00:00:00"/>
        <d v="2025-10-28T00:00:00"/>
        <d v="2024-04-17T00:00:00"/>
        <d v="2025-07-26T00:00:00"/>
        <d v="2024-08-29T00:00:00"/>
        <d v="2025-02-15T00:00:00"/>
        <d v="2024-01-03T00:00:00"/>
        <d v="2025-11-14T00:00:00"/>
        <d v="2024-10-02T00:00:00"/>
        <d v="2025-04-06T00:00:00"/>
        <d v="2024-05-19T00:00:00"/>
        <d v="2025-08-11T00:00:00"/>
        <d v="2024-03-07T00:00:00"/>
        <d v="2025-12-22T00:00:00"/>
        <d v="2024-09-25T00:00:00"/>
        <d v="2025-01-30T00:00:00"/>
        <d v="2024-07-01T00:00:00"/>
        <d v="2025-06-04T00:00:00"/>
        <d v="2024-11-18T00:00:00"/>
        <d v="2025-03-09T00:00:00"/>
        <d v="2024-02-20T00:00:00"/>
        <d v="2025-09-20T00:00:00"/>
        <d v="2024-12-16T00:00:00"/>
        <d v="2025-05-03T00:00:00"/>
        <d v="2024-08-06T00:00:00"/>
        <d v="2025-10-15T00:00:00"/>
        <d v="2024-04-11T00:00:00"/>
        <d v="2025-07-19T00:00:00"/>
        <d v="2024-06-26T00:00:00"/>
        <d v="2025-02-08T00:00:00"/>
        <d v="2024-01-14T00:00:00"/>
        <d v="2025-11-25T00:00:00"/>
        <d v="2024-10-27T00:00:00"/>
        <d v="2025-04-19T00:00:00"/>
        <d v="2024-03-24T00:00:00"/>
        <d v="2025-08-30T00:00:00"/>
        <d v="2024-09-04T00:00:00"/>
        <d v="2025-01-12T00:00:00"/>
        <d v="2024-05-22T00:00:00"/>
        <d v="2025-06-16T00:00:00"/>
        <d v="2024-12-02T00:00:00"/>
        <d v="2025-03-28T00:00:00"/>
        <d v="2024-07-11T00:00:00"/>
        <d v="2025-09-13T00:00:00"/>
        <d v="2024-02-03T00:00:00"/>
        <d v="2025-10-07T00:00:00"/>
        <d v="2024-11-21T00:00:00"/>
        <d v="2025-05-30T00:00:00"/>
        <d v="2024-08-15T00:00:00"/>
        <d v="2025-07-23T00:00:00"/>
        <d v="2024-04-05T00:00:00"/>
        <d v="2025-02-26T00:00:00"/>
        <d v="2024-01-20T00:00:00"/>
        <d v="2025-12-05T00:00:00"/>
        <d v="2024-06-09T00:00:00"/>
        <d v="2025-03-11T00:00:00"/>
        <d v="2024-09-30T00:00:00"/>
        <d v="2025-08-18T00:00:00"/>
        <d v="2024-10-24T00:00:00"/>
        <d v="2025-01-06T00:00:00"/>
        <d v="2024-03-15T00:00:00"/>
        <d v="2025-06-20T00:00:00"/>
        <d v="2024-07-27T00:00:00"/>
        <d v="2025-11-03T00:00:00"/>
        <d v="2024-05-10T00:00:00"/>
        <d v="2025-04-14T00:00:00"/>
        <d v="2024-12-19T00:00:00"/>
        <d v="2025-09-25T00:00:00"/>
        <d v="2024-02-12T00:00:00"/>
        <d v="2025-07-07T00:00:00"/>
        <d v="2024-08-23T00:00:00"/>
        <d v="2025-02-17T00:00:00"/>
        <d v="2024-11-08T00:00:00"/>
        <d v="2025-05-15T00:00:00"/>
        <d v="2024-04-22T00:00:00"/>
        <d v="2025-10-11T00:00:00"/>
        <d v="2024-01-05T00:00:00"/>
        <d v="2025-03-19T00:00:00"/>
        <d v="2024-06-02T00:00:00"/>
        <d v="2025-12-14T00:00:00"/>
        <d v="2024-09-16T00:00:00"/>
        <d v="2025-08-04T00:00:00"/>
        <d v="2024-07-05T00:00:00"/>
        <d v="2025-01-26T00:00:00"/>
        <d v="2024-10-30T00:00:00"/>
        <d v="2025-06-25T00:00:00"/>
        <d v="2024-03-28T00:00:00"/>
        <d v="2025-11-19T00:00:00"/>
        <d v="2024-05-05T00:00:00"/>
        <d v="2025-04-01T00:00:00"/>
        <d v="2024-12-23T00:00:00"/>
        <d v="2025-09-08T00:00:00"/>
        <d v="2024-02-09T00:00:00"/>
        <d v="2025-07-14T00:00:00"/>
        <d v="2024-08-11T00:00:00"/>
        <d v="2025-02-03T00:00:00"/>
        <d v="2024-11-04T00:00:00"/>
        <d v="2025-05-21T00:00:00"/>
        <d v="2024-06-16T00:00:00"/>
        <d v="2025-10-20T00:00:00"/>
        <d v="2024-04-18T00:00:00"/>
        <d v="2025-03-24T00:00:00"/>
        <d v="2024-01-16T00:00:00"/>
        <d v="2025-12-01T00:00:00"/>
        <d v="2024-09-21T00:00:00"/>
        <d v="2025-08-07T00:00:00"/>
        <d v="2024-07-20T00:00:00"/>
        <d v="2025-01-02T00:00:00"/>
        <d v="2024-10-13T00:00:00"/>
        <d v="2025-06-10T00:00:00"/>
        <d v="2024-03-11T00:00:00"/>
        <d v="2025-11-12T00:00:00"/>
        <d v="2024-05-25T00:00:00"/>
        <d v="2025-04-08T00:00:00"/>
        <d v="2024-12-09T00:00:00"/>
        <d v="2025-09-17T00:00:00"/>
        <d v="2024-02-14T00:00:00"/>
        <d v="2025-07-29T00:00:00"/>
        <d v="2024-08-26T00:00:00"/>
        <d v="2025-03-04T00:00:00"/>
        <d v="2024-11-15T00:00:00"/>
        <d v="2025-10-06T00:00:00"/>
        <d v="2024-06-27T00:00:00"/>
        <d v="2025-01-19T00:00:00"/>
        <d v="2024-04-25T00:00:00"/>
        <d v="2025-12-17T00:00:00"/>
        <d v="2024-09-09T00:00:00"/>
        <d v="2025-05-17T00:00:00"/>
        <d v="2024-07-12T00:00:00"/>
        <d v="2025-02-22T00:00:00"/>
        <d v="2024-01-08T00:00:00"/>
        <d v="2025-08-19T00:00:00"/>
        <d v="2024-10-16T00:00:00"/>
        <d v="2025-03-15T00:00:00"/>
        <d v="2024-05-02T00:00:00"/>
        <d v="2025-11-05T00:00:00"/>
        <d v="2024-12-11T00:00:00"/>
        <d v="2025-06-30T00:00:00"/>
        <d v="2024-03-17T00:00:00"/>
        <d v="2025-09-22T00:00:00"/>
        <d v="2024-08-01T00:00:00"/>
        <d v="2025-04-28T00:00:00"/>
        <d v="2024-11-22T00:00:00"/>
        <d v="2025-07-02T00:00:00"/>
        <d v="2024-02-19T00:00:00"/>
        <d v="2025-10-09T00:00:00"/>
        <d v="2024-06-05T00:00:00"/>
        <d v="2025-01-25T00:00:00"/>
        <d v="2024-09-26T00:00:00"/>
        <d v="2025-05-08T00:00:00"/>
        <d v="2024-04-03T00:00:00"/>
        <d v="2025-12-24T00:00:00"/>
        <d v="2024-07-16T00:00:00"/>
        <d v="2025-03-20T00:00:00"/>
        <d v="2024-10-04T00:00:00"/>
        <d v="2025-08-13T00:00:00"/>
        <d v="2024-01-30T00:00:00"/>
        <d v="2025-11-27T00:00:00"/>
        <d v="2025-02-06T00:00:00"/>
        <d v="2024-12-26T00:00:00"/>
        <d v="2025-07-21T00:00:00"/>
        <d v="2024-09-03T00:00:00"/>
        <d v="2025-04-11T00:00:00"/>
        <d v="2024-03-30T00:00:00"/>
        <d v="2025-10-01T00:00:00"/>
        <d v="2024-08-18T00:00:00"/>
        <d v="2025-06-03T00:00:00"/>
        <d v="2024-11-09T00:00:00"/>
        <d v="2025-01-14T00:00:00"/>
        <d v="2024-07-04T00:00:00"/>
        <d v="2025-09-05T00:00:00"/>
        <d v="2024-02-25T00:00:00"/>
        <d v="2025-05-26T00:00:00"/>
        <d v="2024-10-19T00:00:00"/>
        <d v="2025-12-10T00:00:00"/>
        <d v="2024-04-20T00:00:00"/>
        <d v="2025-03-07T00:00:00"/>
        <d v="2024-06-14T00:00:00"/>
        <d v="2025-08-25T00:00:00"/>
        <d v="2024-01-22T00:00:00"/>
        <d v="2024-09-14T00:00:00"/>
        <d v="2025-07-09T00:00:00"/>
        <d v="2024-05-11T00:00:00"/>
        <d v="2025-02-18T00:00:00"/>
        <d v="2024-12-05T00:00:00"/>
        <d v="2025-10-22T00:00:00"/>
        <d v="2024-03-04T00:00:00"/>
        <d v="2025-06-19T00:00:00"/>
        <d v="2024-08-12T00:00:00"/>
        <d v="2025-04-02T00:00:00"/>
        <d v="2024-11-01T00:00:00"/>
        <d v="2025-09-28T00:00:00"/>
        <d v="2024-07-25T00:00:00"/>
        <d v="2025-01-08T00:00:00"/>
        <d v="2024-02-01T00:00:00"/>
        <d v="2024-10-08T00:00:00"/>
        <d v="2025-03-13T00:00:00"/>
        <d v="2024-06-22T00:00:00"/>
        <d v="2024-09-17T00:00:00"/>
        <d v="2025-08-20T00:00:00"/>
        <d v="2024-04-09T00:00:00"/>
        <d v="2025-02-09T00:00:00"/>
        <d v="2024-01-27T00:00:00"/>
        <d v="2025-11-04T00:00:00"/>
        <d v="2024-08-05T00:00:00"/>
        <d v="2025-07-13T00:00:00"/>
        <d v="2024-05-06T00:00:00"/>
        <d v="2025-04-23T00:00:00"/>
        <d v="2024-03-25T00:00:00"/>
        <d v="2025-09-11T00:00:00"/>
        <d v="2024-07-18T00:00:00"/>
        <d v="2025-06-06T00:00:00"/>
        <d v="2025-01-31T00:00:00"/>
        <d v="2024-02-17T00:00:00"/>
        <d v="2025-08-02T00:00:00"/>
        <d v="2024-10-25T00:00:00"/>
        <d v="2025-05-14T00:00:00"/>
        <d v="2024-09-01T00:00:00"/>
        <d v="2025-03-26T00:00:00"/>
        <d v="2024-06-08T00:00:00"/>
        <d v="2025-12-20T00:00:00"/>
        <d v="2024-04-16T00:00:00"/>
        <d v="2025-07-27T00:00:00"/>
        <d v="2024-01-19T00:00:00"/>
        <d v="2025-11-08T00:00:00"/>
        <d v="2024-08-24T00:00:00"/>
        <d v="2025-02-12T00:00:00"/>
        <d v="2024-05-23T00:00:00"/>
        <d v="2025-10-05T00:00:00"/>
        <d v="2025-04-17T00:00:00"/>
        <d v="2024-03-12T00:00:00"/>
        <d v="2025-06-11T00:00:00"/>
        <d v="2024-11-20T00:00:00"/>
        <d v="2025-01-05T00:00:00"/>
        <d v="2024-09-06T00:00:00"/>
        <d v="2025-08-27T00:00:00"/>
        <d v="2024-02-04T00:00:00"/>
        <d v="2025-05-19T00:00:00"/>
        <d v="2024-10-21T00:00:00"/>
        <d v="2025-03-01T00:00:00"/>
        <d v="2024-06-29T00:00:00"/>
        <d v="2025-12-06T00:00:00"/>
        <d v="2025-07-04T00:00:00"/>
        <d v="2024-01-02T00:00:00"/>
        <d v="2025-11-21T00:00:00"/>
        <d v="2024-08-09T00:00:00"/>
        <d v="2025-02-23T00:00:00"/>
        <d v="2024-05-17T00:00:00"/>
        <d v="2025-10-12T00:00:00"/>
        <d v="2025-09-03T00:00:00"/>
        <d v="2025-06-15T00:00:00"/>
        <d v="2024-07-21T00:00:00"/>
        <d v="2025-04-04T00:00:00"/>
        <d v="2024-11-02T00:00:00"/>
        <d v="2025-01-27T00:00:00"/>
        <d v="2025-08-15T00:00:00"/>
        <d v="2024-02-21T00:00:00"/>
        <d v="2025-05-02T00:00:00"/>
        <d v="2024-10-10T00:00:00"/>
        <d v="2025-12-15T00:00:00"/>
        <d v="2024-06-17T00:00:00"/>
        <d v="2025-03-22T00:00:00"/>
        <d v="2024-04-13T00:00:00"/>
        <d v="2025-07-16T00:00:00"/>
        <d v="2024-01-28T00:00:00"/>
        <d v="2025-11-10T00:00:00"/>
        <d v="2024-08-16T00:00:00"/>
        <d v="2025-09-30T00:00:00"/>
        <d v="2024-05-08T00:00:00"/>
        <d v="2024-12-08T00:00:00"/>
        <d v="2025-10-19T00:00:00"/>
        <d v="2024-07-07T00:00:00"/>
        <d v="2025-06-24T00:00:00"/>
        <d v="2024-03-06T00:00:00"/>
        <d v="2025-04-29T00:00:00"/>
        <d v="2024-09-11T00:00:00"/>
        <d v="2025-01-11T00:00:00"/>
        <d v="2024-11-16T00:00:00"/>
        <d v="2024-02-08T00:00:00"/>
        <d v="2025-07-01T00:00:00"/>
        <d v="2024-10-03T00:00:00"/>
        <d v="2025-05-07T00:00:00"/>
        <d v="2024-06-11T00:00:00"/>
        <d v="2025-12-12T00:00:00"/>
        <d v="2024-04-04T00:00:00"/>
        <d v="2025-09-16T00:00:00"/>
        <d v="2024-01-13T00:00:00"/>
        <d v="2025-03-08T00:00:00"/>
        <d v="2024-08-28T00:00:00"/>
        <d v="2024-07-24T00:00:00"/>
        <d v="2024-05-20T00:00:00"/>
        <d v="2025-10-02T00:00:00"/>
        <d v="2025-06-05T00:00:00"/>
        <d v="2024-09-05T00:00:00"/>
        <d v="2025-04-20T00:00:00"/>
        <d v="2024-03-01T00:00:00"/>
        <d v="2025-08-06T00:00:00"/>
        <d v="2024-11-19T00:00:00"/>
        <d v="2025-01-16T00:00:00"/>
        <d v="2024-07-13T00:00:00"/>
        <d v="2025-09-24T00:00:00"/>
        <d v="2024-02-05T00:00:00"/>
        <d v="2025-05-11T00:00:00"/>
        <d v="2025-12-07T00:00:00"/>
        <d v="2024-06-03T00:00:00"/>
        <d v="2025-03-25T00:00:00"/>
        <d v="2024-01-04T00:00:00"/>
        <d v="2024-08-30T00:00:00"/>
        <d v="2024-04-26T00:00:00"/>
        <d v="2025-02-01T00:00:00"/>
        <d v="2024-09-22T00:00:00"/>
        <d v="2025-06-26T00:00:00"/>
        <d v="2025-10-23T00:00:00"/>
        <d v="2024-12-15T00:00:00"/>
        <d v="2025-04-05T00:00:00"/>
        <d v="2024-03-20T00:00:00"/>
        <d v="2025-08-17T00:00:00"/>
        <d v="2024-07-02T00:00:00"/>
        <d v="2025-01-22T00:00:00"/>
        <d v="2025-09-10T00:00:00"/>
        <d v="2025-05-28T00:00:00"/>
        <d v="2024-10-07T00:00:00"/>
        <d v="2025-03-03T00:00:00"/>
        <d v="2024-06-20T00:00:00"/>
        <d v="2025-12-18T00:00:00"/>
        <d v="2024-08-21T00:00:00"/>
        <d v="2024-04-07T00:00:00"/>
        <d v="2025-11-13T00:00:00"/>
        <d v="2024-01-21T00:00:00"/>
        <d v="2025-02-27T00:00:00"/>
        <d v="2024-09-18T00:00:00"/>
        <d v="2025-10-27T00:00:00"/>
        <d v="2024-05-01T00:00:00"/>
        <d v="2025-06-14T00:00:00"/>
        <d v="2024-07-28T00:00:00"/>
        <d v="2025-09-01T00:00:00"/>
        <d v="2024-03-13T00:00:00"/>
        <d v="2025-01-03T00:00:00"/>
        <d v="2024-11-24T00:00:00"/>
        <d v="2025-08-09T00:00:00"/>
        <d v="2024-02-22T00:00:00"/>
        <d v="2024-10-05T00:00:00"/>
        <d v="2025-03-17T00:00:00"/>
        <d v="2025-12-02T00:00:00"/>
        <d v="2025-07-22T00:00:00"/>
        <d v="2024-04-19T00:00:00"/>
        <d v="2025-11-06T00:00:00"/>
        <d v="2024-01-09T00:00:00"/>
        <d v="2025-02-10T00:00:00"/>
        <d v="2024-08-02T00:00:00"/>
        <d v="2025-10-14T00:00:00"/>
        <d v="2024-05-26T00:00:00"/>
        <d v="2025-06-08T00:00:00"/>
        <d v="2024-07-15T00:00:00"/>
        <d v="2024-03-02T00:00:00"/>
        <d v="2024-10-28T00:00:00"/>
        <d v="2024-06-01T00:00:00"/>
        <d v="2025-07-10T00:00:00"/>
        <d v="2024-09-13T00:00:00"/>
        <d v="2025-05-22T00:00:00"/>
        <d v="2025-12-09T00:00:00"/>
        <d v="2024-11-27T00:00:00"/>
        <d v="2025-03-10T00:00:00"/>
        <d v="2024-08-19T00:00:00"/>
        <d v="2025-10-21T00:00:00"/>
        <d v="2024-01-17T00:00:00"/>
        <d v="2025-02-04T00:00:00"/>
        <d v="2024-05-03T00:00:00"/>
        <d v="2025-09-07T00:00:00"/>
        <d v="2025-04-07T00:00:00"/>
        <d v="2024-03-27T00:00:00"/>
        <d v="2025-08-26T00:00:00"/>
        <d v="2024-06-19T00:00:00"/>
        <d v="2025-11-18T00:00:00"/>
        <d v="2024-09-24T00:00:00"/>
        <d v="2025-07-03T00:00:00"/>
        <d v="2024-02-06T00:00:00"/>
        <d v="2025-05-06T00:00:00"/>
        <d v="2024-11-12T00:00:00"/>
        <d v="2025-12-04T00:00:00"/>
        <d v="2024-04-21T00:00:00"/>
        <d v="2025-03-21T00:00:00"/>
        <d v="2024-08-14T00:00:00"/>
        <d v="2025-10-08T00:00:00"/>
        <d v="2024-01-24T00:00:00"/>
        <d v="2025-06-02T00:00:00"/>
        <d v="2024-07-26T00:00:00"/>
        <d v="2025-09-29T00:00:00"/>
        <d v="2024-05-09T00:00:00"/>
        <d v="2024-12-03T00:00:00"/>
        <d v="2025-04-30T00:00:00"/>
        <d v="2024-10-17T00:00:00"/>
        <d v="2025-11-09T00:00:00"/>
        <d v="2024-03-18T00:00:00"/>
        <d v="2024-06-13T00:00:00"/>
        <d v="2025-01-13T00:00:00"/>
        <d v="2024-09-20T00:00:00"/>
        <d v="2025-07-17T00:00:00"/>
        <d v="2024-02-18T00:00:00"/>
        <d v="2025-05-13T00:00:00"/>
        <d v="2024-11-03T00:00:00"/>
        <d v="2025-12-21T00:00:00"/>
        <d v="2024-04-15T00:00:00"/>
        <d v="2024-08-07T00:00:00"/>
        <d v="2025-10-25T00:00:00"/>
        <d v="2024-01-10T00:00:00"/>
        <d v="2025-09-04T00:00:00"/>
        <d v="2024-05-27T00:00:00"/>
        <d v="2025-06-23T00:00:00"/>
      </sharedItems>
      <fieldGroup par="6"/>
    </cacheField>
    <cacheField name="Item ID" numFmtId="0">
      <sharedItems/>
    </cacheField>
    <cacheField name="Quantity" numFmtId="43">
      <sharedItems containsSemiMixedTypes="0" containsString="0" containsNumber="1" containsInteger="1" minValue="1" maxValue="300"/>
    </cacheField>
    <cacheField name="Months (Date)" numFmtId="0" databaseField="0">
      <fieldGroup base="1">
        <rangePr groupBy="months" startDate="2024-01-02T00:00:00" endDate="2025-12-25T00:00:00"/>
        <groupItems count="14">
          <s v="&lt;1/2/2024"/>
          <s v="Jan"/>
          <s v="Feb"/>
          <s v="Mar"/>
          <s v="Apr"/>
          <s v="May"/>
          <s v="Jun"/>
          <s v="Jul"/>
          <s v="Aug"/>
          <s v="Sep"/>
          <s v="Oct"/>
          <s v="Nov"/>
          <s v="Dec"/>
          <s v="&gt;12/25/2025"/>
        </groupItems>
      </fieldGroup>
    </cacheField>
    <cacheField name="Quarters (Date)" numFmtId="0" databaseField="0">
      <fieldGroup base="1">
        <rangePr groupBy="quarters" startDate="2024-01-02T00:00:00" endDate="2025-12-25T00:00:00"/>
        <groupItems count="6">
          <s v="&lt;1/2/2024"/>
          <s v="Qtr1"/>
          <s v="Qtr2"/>
          <s v="Qtr3"/>
          <s v="Qtr4"/>
          <s v="&gt;12/25/2025"/>
        </groupItems>
      </fieldGroup>
    </cacheField>
    <cacheField name="Years (Date)" numFmtId="0" databaseField="0">
      <fieldGroup base="1">
        <rangePr groupBy="years" startDate="2024-01-02T00:00:00" endDate="2025-12-25T00:00:00"/>
        <groupItems count="4">
          <s v="&lt;1/2/2024"/>
          <s v="2024"/>
          <s v="2025"/>
          <s v="&gt;12/25/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190539814816" createdVersion="8" refreshedVersion="8" minRefreshableVersion="3" recordCount="600" xr:uid="{1707E873-0107-4D1B-9F54-F5ECD47ECDE6}">
  <cacheSource type="worksheet">
    <worksheetSource name="Table5"/>
  </cacheSource>
  <cacheFields count="19">
    <cacheField name="Item ID" numFmtId="0">
      <sharedItems/>
    </cacheField>
    <cacheField name="Item Name" numFmtId="0">
      <sharedItems count="72">
        <s v="1x16 PLC Splitter"/>
        <s v="Mechanical Splicer"/>
        <s v="Single-Mode Fiber Cable 200m"/>
        <s v="1x8 PLC Splitter"/>
        <s v="Fiber Adapter"/>
        <s v="Fixed Attenuator 20dB"/>
        <s v="Fusion Splicer"/>
        <s v="48-Port Fiber Patch Panel"/>
        <s v="96-Port Fiber Patch Panel"/>
        <s v="QSFP28 Transceiver"/>
        <s v="12-Port Fiber Patch Panel"/>
        <s v="LC APC Connector"/>
        <s v="Fixed Attenuator 5dB"/>
        <s v="1x2 PLC Splitter"/>
        <s v="MTP UPC Connector"/>
        <s v="24-Port Fiber Patch Panel"/>
        <s v="CFP Transceiver"/>
        <s v="1x32 PLC Splitter"/>
        <s v="FC APC Connector"/>
        <s v="Armored Fiber Cable 200m"/>
        <s v="ST UPC Connector"/>
        <s v="QSFP Transceiver"/>
        <s v="Fiber Cleaner"/>
        <s v="Fixed Attenuator 15dB"/>
        <s v="Fiber Jumper"/>
        <s v="Fiber Optic Polisher"/>
        <s v="Pedestal Enclosure"/>
        <s v="Fiber Optic Cutter"/>
        <s v="Single-Mode Fiber Cable 100m"/>
        <s v="Outdoor Fiber Cable 50m"/>
        <s v="Fiber Optic Stripper"/>
        <s v="MPO APC Connector"/>
        <s v="Fiber Pigtail"/>
        <s v="LC UPC Connector"/>
        <s v="Fiber Optic Tester"/>
        <s v="1x4 PLC Splitter"/>
        <s v="Fixed Attenuator 2dB"/>
        <s v="Indoor Fiber Cable 500m"/>
        <s v="FC UPC Connector"/>
        <s v="Dome Enclosure"/>
        <s v="Armored Fiber Cable 500m"/>
        <s v="Wall-Mount Enclosure"/>
        <s v="SFP Transceiver"/>
        <s v="Fixed Attenuator 1dB"/>
        <s v="72-Port Fiber Patch Panel"/>
        <s v="Rack-Mount Enclosure"/>
        <s v="SC UPC Connector"/>
        <s v="Indoor Fiber Cable 100m"/>
        <s v="Outdoor Fiber Cable 100m"/>
        <s v="Multi-Mode Fiber Cable 200m"/>
        <s v="Fixed Attenuator 3dB"/>
        <s v="Outdoor Fiber Cable 300m"/>
        <s v="Fiber Optic Crimper"/>
        <s v="Armored Fiber Cable 300m"/>
        <s v="SFP+ Transceiver"/>
        <s v="MPO UPC Connector"/>
        <s v="Outdoor Fiber Cable 200m"/>
        <s v="MTP APC Connector"/>
        <s v="SC APC Connector"/>
        <s v="Fixed Attenuator 10dB"/>
        <s v="Armored Fiber Cable 50m"/>
        <s v="Single-Mode Fiber Cable 50m"/>
        <s v="Multi-Mode Fiber Cable 100m"/>
        <s v="Outdoor Fiber Cable 500m"/>
        <s v="ST APC Connector"/>
        <s v="Indoor Fiber Cable 50m"/>
        <s v="Multi-Mode Fiber Cable 50m"/>
        <s v="Multi-Mode Fiber Cable 500m"/>
        <s v="Single-Mode Fiber Cable 500m"/>
        <s v="Indoor Fiber Cable 200m"/>
        <s v="Armored Fiber Cable 100m"/>
        <s v="Multi-Mode Fiber Cable 300m"/>
      </sharedItems>
    </cacheField>
    <cacheField name="Category" numFmtId="0">
      <sharedItems count="10">
        <s v="Splitters"/>
        <s v="Splicers"/>
        <s v="Fiber Optic Cables"/>
        <s v="Accessories"/>
        <s v="Attenuators"/>
        <s v="Patch Panels"/>
        <s v="Transceivers"/>
        <s v="Connectors"/>
        <s v="Tools"/>
        <s v="Enclosures"/>
      </sharedItems>
    </cacheField>
    <cacheField name="Supplier" numFmtId="0">
      <sharedItems count="12">
        <s v="Amphenol"/>
        <s v="CommScope"/>
        <s v="Belden"/>
        <s v="AFL"/>
        <s v="Corning Inc."/>
        <s v="Siemon"/>
        <s v="HellermannTyton"/>
        <s v="Huber+Suhner"/>
        <s v="TE Connectivity"/>
        <s v="Prysmian Group"/>
        <s v="Panduit"/>
        <s v="Leviton"/>
      </sharedItems>
    </cacheField>
    <cacheField name="Unit Cost" numFmtId="43">
      <sharedItems containsMixedTypes="1" containsNumber="1" minValue="9.4600000000000009" maxValue="1965.61"/>
    </cacheField>
    <cacheField name="Unit Price" numFmtId="43">
      <sharedItems containsMixedTypes="1" containsNumber="1" minValue="1515.58" maxValue="1515.58"/>
    </cacheField>
    <cacheField name="Re order Level" numFmtId="43">
      <sharedItems count="90">
        <s v="36"/>
        <s v="48"/>
        <s v="88"/>
        <s v="49"/>
        <s v="81"/>
        <s v="93"/>
        <s v="52"/>
        <s v="54"/>
        <s v="43"/>
        <s v="79"/>
        <s v="64"/>
        <s v="39"/>
        <s v="84"/>
        <s v="30"/>
        <s v="83"/>
        <s v="55"/>
        <s v="14"/>
        <s v="45"/>
        <s v="47"/>
        <s v="59"/>
        <s v="50"/>
        <s v="28"/>
        <s v="33"/>
        <s v="16"/>
        <s v="15"/>
        <s v="20"/>
        <s v="75"/>
        <s v="21"/>
        <s v="13"/>
        <s v="77"/>
        <s v="82"/>
        <s v="95"/>
        <s v="85"/>
        <s v="71"/>
        <s v="76"/>
        <s v="31"/>
        <s v="67"/>
        <s v="17"/>
        <s v="66"/>
        <s v="63"/>
        <s v="56"/>
        <s v="70"/>
        <s v="11"/>
        <s v="94"/>
        <s v="24"/>
        <s v="98"/>
        <s v="10"/>
        <s v="96"/>
        <s v="46"/>
        <s v="90"/>
        <s v="57"/>
        <s v="51"/>
        <s v="65"/>
        <s v="53"/>
        <s v="72"/>
        <s v="25"/>
        <s v="100"/>
        <s v="26"/>
        <s v="74"/>
        <s v="23"/>
        <s v="19"/>
        <s v="22"/>
        <s v="34"/>
        <s v="91"/>
        <s v="12"/>
        <s v="38"/>
        <s v="92"/>
        <s v="37"/>
        <s v="80"/>
        <s v="69"/>
        <s v="29"/>
        <s v="73"/>
        <s v="18"/>
        <s v="78"/>
        <s v="68"/>
        <s v="86"/>
        <s v="61"/>
        <s v="41"/>
        <s v="58"/>
        <s v="62"/>
        <s v="42"/>
        <s v="99"/>
        <s v="27"/>
        <s v="60"/>
        <s v="87"/>
        <s v="32"/>
        <s v="89"/>
        <s v="40"/>
        <s v="44"/>
        <s v="35"/>
      </sharedItems>
    </cacheField>
    <cacheField name="Opening Stock" numFmtId="43">
      <sharedItems containsSemiMixedTypes="0" containsString="0" containsNumber="1" containsInteger="1" minValue="150" maxValue="1500"/>
    </cacheField>
    <cacheField name="Total Qty Sold" numFmtId="43">
      <sharedItems containsSemiMixedTypes="0" containsString="0" containsNumber="1" containsInteger="1" minValue="0" maxValue="400"/>
    </cacheField>
    <cacheField name="Total qty Purchased" numFmtId="43">
      <sharedItems containsSemiMixedTypes="0" containsString="0" containsNumber="1" containsInteger="1" minValue="0" maxValue="400"/>
    </cacheField>
    <cacheField name="Current stock" numFmtId="43">
      <sharedItems containsSemiMixedTypes="0" containsString="0" containsNumber="1" containsInteger="1" minValue="-63" maxValue="1555"/>
    </cacheField>
    <cacheField name="Stock Validation" numFmtId="0">
      <sharedItems/>
    </cacheField>
    <cacheField name="Inventory Value" numFmtId="43">
      <sharedItems containsSemiMixedTypes="0" containsString="0" containsNumber="1" minValue="-116986.59000000001" maxValue="2830770"/>
    </cacheField>
    <cacheField name="Total Revenue" numFmtId="43">
      <sharedItems containsSemiMixedTypes="0" containsString="0" containsNumber="1" minValue="0" maxValue="682610.07000000007"/>
    </cacheField>
    <cacheField name="Last sale Date" numFmtId="14">
      <sharedItems containsNonDate="0" containsDate="1" containsString="0" containsBlank="1" minDate="1899-12-30T00:00:00" maxDate="2025-12-25T00:00:00"/>
    </cacheField>
    <cacheField name="Days Since Last Sale" numFmtId="43">
      <sharedItems containsMixedTypes="1" containsNumber="1" containsInteger="1" minValue="35" maxValue="46050"/>
    </cacheField>
    <cacheField name="Reorder Flag" numFmtId="0">
      <sharedItems/>
    </cacheField>
    <cacheField name="DEADSTOCK FLAG" numFmtId="0">
      <sharedItems/>
    </cacheField>
    <cacheField name="DEADSTOCK VALUE" numFmtId="43">
      <sharedItems containsSemiMixedTypes="0" containsString="0" containsNumber="1" containsInteger="1" minValue="0" maxValue="0"/>
    </cacheField>
  </cacheFields>
  <extLst>
    <ext xmlns:x14="http://schemas.microsoft.com/office/spreadsheetml/2009/9/main" uri="{725AE2AE-9491-48be-B2B4-4EB974FC3084}">
      <x14:pivotCacheDefinition pivotCacheId="1140150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4">
  <r>
    <s v="SALE001"/>
    <x v="0"/>
    <s v="ITEM115-A"/>
    <n v="100"/>
  </r>
  <r>
    <s v="SALE002"/>
    <x v="1"/>
    <s v="ITEM229-A"/>
    <n v="4"/>
  </r>
  <r>
    <s v="SALE003"/>
    <x v="2"/>
    <s v="ITEM559-A"/>
    <n v="14"/>
  </r>
  <r>
    <s v="SALE004"/>
    <x v="3"/>
    <s v="ITEM031-A"/>
    <n v="8"/>
  </r>
  <r>
    <s v="SALE005"/>
    <x v="4"/>
    <s v="ITEM028-A"/>
    <n v="18"/>
  </r>
  <r>
    <s v="SALE006"/>
    <x v="5"/>
    <s v="ITEM226-A"/>
    <n v="9"/>
  </r>
  <r>
    <s v="SALE007"/>
    <x v="6"/>
    <s v="ITEM164-A"/>
    <n v="11"/>
  </r>
  <r>
    <s v="SALE008"/>
    <x v="7"/>
    <s v="ITEM160-A"/>
    <n v="50"/>
  </r>
  <r>
    <s v="SALE009"/>
    <x v="8"/>
    <s v="ITEM095-A"/>
    <n v="12"/>
  </r>
  <r>
    <s v="SALE010"/>
    <x v="9"/>
    <s v="ITEM271-A"/>
    <n v="38"/>
  </r>
  <r>
    <s v="SALE011"/>
    <x v="10"/>
    <s v="ITEM342-A"/>
    <n v="7"/>
  </r>
  <r>
    <s v="SALE012"/>
    <x v="10"/>
    <s v="ITEM001-A"/>
    <n v="100"/>
  </r>
  <r>
    <s v="SALE013"/>
    <x v="11"/>
    <s v="ITEM478-A"/>
    <n v="15"/>
  </r>
  <r>
    <s v="SALE014"/>
    <x v="12"/>
    <s v="ITEM203-A"/>
    <n v="6"/>
  </r>
  <r>
    <s v="SALE015"/>
    <x v="13"/>
    <s v="ITEM589-A"/>
    <n v="3"/>
  </r>
  <r>
    <s v="SALE016"/>
    <x v="14"/>
    <s v="ITEM077-A"/>
    <n v="10"/>
  </r>
  <r>
    <s v="SALE017"/>
    <x v="15"/>
    <s v="ITEM416-A"/>
    <n v="5"/>
  </r>
  <r>
    <s v="SALE018"/>
    <x v="16"/>
    <s v="ITEM134-A"/>
    <n v="13"/>
  </r>
  <r>
    <s v="SALE019"/>
    <x v="17"/>
    <s v="ITEM521-A"/>
    <n v="4"/>
  </r>
  <r>
    <s v="SALE020"/>
    <x v="18"/>
    <s v="ITEM288-A"/>
    <n v="9"/>
  </r>
  <r>
    <s v="SALE021"/>
    <x v="19"/>
    <s v="ITEM062-A"/>
    <n v="2"/>
  </r>
  <r>
    <s v="SALE022"/>
    <x v="20"/>
    <s v="ITEM397-A"/>
    <n v="17"/>
  </r>
  <r>
    <s v="SALE023"/>
    <x v="21"/>
    <s v="ITEM549-A"/>
    <n v="8"/>
  </r>
  <r>
    <s v="SALE024"/>
    <x v="22"/>
    <s v="ITEM112-A"/>
    <n v="11"/>
  </r>
  <r>
    <s v="SALE025"/>
    <x v="23"/>
    <s v="ITEM304-A"/>
    <n v="20"/>
  </r>
  <r>
    <s v="SALE026"/>
    <x v="24"/>
    <s v="ITEM186-A"/>
    <n v="1"/>
  </r>
  <r>
    <s v="SALE027"/>
    <x v="25"/>
    <s v="ITEM473-A"/>
    <n v="14"/>
  </r>
  <r>
    <s v="SALE028"/>
    <x v="26"/>
    <s v="ITEM025-A"/>
    <n v="20"/>
  </r>
  <r>
    <s v="SALE029"/>
    <x v="27"/>
    <s v="ITEM358-A"/>
    <n v="12"/>
  </r>
  <r>
    <s v="SALE030"/>
    <x v="28"/>
    <s v="ITEM491-A"/>
    <n v="5"/>
  </r>
  <r>
    <s v="SALE031"/>
    <x v="29"/>
    <s v="ITEM140-A"/>
    <n v="9"/>
  </r>
  <r>
    <s v="SALE032"/>
    <x v="30"/>
    <s v="ITEM217-A"/>
    <n v="3"/>
  </r>
  <r>
    <s v="SALE033"/>
    <x v="31"/>
    <s v="ITEM576-A"/>
    <n v="16"/>
  </r>
  <r>
    <s v="SALE034"/>
    <x v="32"/>
    <s v="ITEM089-A"/>
    <n v="7"/>
  </r>
  <r>
    <s v="SALE035"/>
    <x v="33"/>
    <s v="ITEM432-A"/>
    <n v="11"/>
  </r>
  <r>
    <s v="SALE036"/>
    <x v="34"/>
    <s v="ITEM265-A"/>
    <n v="4"/>
  </r>
  <r>
    <s v="SALE037"/>
    <x v="35"/>
    <s v="ITEM598-A"/>
    <n v="8"/>
  </r>
  <r>
    <s v="SALE038"/>
    <x v="36"/>
    <s v="ITEM052-A"/>
    <n v="13"/>
  </r>
  <r>
    <s v="SALE039"/>
    <x v="37"/>
    <s v="ITEM319-A"/>
    <n v="2"/>
  </r>
  <r>
    <s v="SALE040"/>
    <x v="38"/>
    <s v="ITEM447-A"/>
    <n v="10"/>
  </r>
  <r>
    <s v="SALE041"/>
    <x v="39"/>
    <s v="ITEM174-A"/>
    <n v="15"/>
  </r>
  <r>
    <s v="SALE042"/>
    <x v="40"/>
    <s v="ITEM381-A"/>
    <n v="6"/>
  </r>
  <r>
    <s v="SALE043"/>
    <x v="41"/>
    <s v="ITEM506-A"/>
    <n v="9"/>
  </r>
  <r>
    <s v="SALE044"/>
    <x v="42"/>
    <s v="ITEM233-A"/>
    <n v="5"/>
  </r>
  <r>
    <s v="SALE045"/>
    <x v="43"/>
    <s v="ITEM067-A"/>
    <n v="12"/>
  </r>
  <r>
    <s v="SALE046"/>
    <x v="44"/>
    <s v="ITEM592-A"/>
    <n v="1"/>
  </r>
  <r>
    <s v="SALE047"/>
    <x v="45"/>
    <s v="ITEM145-A"/>
    <n v="18"/>
  </r>
  <r>
    <s v="SALE048"/>
    <x v="46"/>
    <s v="ITEM410-A"/>
    <n v="7"/>
  </r>
  <r>
    <s v="SALE049"/>
    <x v="47"/>
    <s v="ITEM278-A"/>
    <n v="14"/>
  </r>
  <r>
    <s v="SALE050"/>
    <x v="48"/>
    <s v="ITEM093-A"/>
    <n v="3"/>
  </r>
  <r>
    <s v="SALE051"/>
    <x v="49"/>
    <s v="ITEM534-A"/>
    <n v="11"/>
  </r>
  <r>
    <s v="SALE052"/>
    <x v="50"/>
    <s v="ITEM361-A"/>
    <n v="8"/>
  </r>
  <r>
    <s v="SALE053"/>
    <x v="51"/>
    <s v="ITEM198-A"/>
    <n v="4"/>
  </r>
  <r>
    <s v="SALE054"/>
    <x v="52"/>
    <s v="ITEM472-A"/>
    <n v="16"/>
  </r>
  <r>
    <s v="SALE055"/>
    <x v="53"/>
    <s v="ITEM119-A"/>
    <n v="9"/>
  </r>
  <r>
    <s v="SALE056"/>
    <x v="54"/>
    <s v="ITEM285-A"/>
    <n v="2"/>
  </r>
  <r>
    <s v="SALE057"/>
    <x v="55"/>
    <s v="ITEM550-A"/>
    <n v="13"/>
  </r>
  <r>
    <s v="SALE058"/>
    <x v="56"/>
    <s v="ITEM046-A"/>
    <n v="5"/>
  </r>
  <r>
    <s v="SALE059"/>
    <x v="57"/>
    <s v="ITEM623-A"/>
    <n v="10"/>
  </r>
  <r>
    <s v="SALE060"/>
    <x v="58"/>
    <s v="ITEM307-A"/>
    <n v="7"/>
  </r>
  <r>
    <s v="SALE061"/>
    <x v="59"/>
    <s v="ITEM164-A"/>
    <n v="12"/>
  </r>
  <r>
    <s v="SALE062"/>
    <x v="60"/>
    <s v="ITEM429-A"/>
    <n v="6"/>
  </r>
  <r>
    <s v="SALE063"/>
    <x v="61"/>
    <s v="ITEM576-A"/>
    <n v="15"/>
  </r>
  <r>
    <s v="SALE064"/>
    <x v="62"/>
    <s v="ITEM082-A"/>
    <n v="3"/>
  </r>
  <r>
    <s v="SALE065"/>
    <x v="63"/>
    <s v="ITEM512-A"/>
    <n v="9"/>
  </r>
  <r>
    <s v="SALE066"/>
    <x v="64"/>
    <s v="ITEM241-A"/>
    <n v="4"/>
  </r>
  <r>
    <s v="SALE067"/>
    <x v="65"/>
    <s v="ITEM368-A"/>
    <n v="11"/>
  </r>
  <r>
    <s v="SALE068"/>
    <x v="66"/>
    <s v="ITEM195-A"/>
    <n v="8"/>
  </r>
  <r>
    <s v="SALE069"/>
    <x v="67"/>
    <s v="ITEM534-A"/>
    <n v="1"/>
  </r>
  <r>
    <s v="SALE070"/>
    <x v="68"/>
    <s v="ITEM073-A"/>
    <n v="14"/>
  </r>
  <r>
    <s v="SALE071"/>
    <x v="69"/>
    <s v="ITEM446-A"/>
    <n v="5"/>
  </r>
  <r>
    <s v="SALE072"/>
    <x v="70"/>
    <s v="ITEM289-A"/>
    <n v="10"/>
  </r>
  <r>
    <s v="SALE073"/>
    <x v="71"/>
    <s v="ITEM601-A"/>
    <n v="7"/>
  </r>
  <r>
    <s v="SALE074"/>
    <x v="72"/>
    <s v="ITEM157-A"/>
    <n v="12"/>
  </r>
  <r>
    <s v="SALE075"/>
    <x v="73"/>
    <s v="ITEM422-A"/>
    <n v="3"/>
  </r>
  <r>
    <s v="SALE076"/>
    <x v="74"/>
    <s v="ITEM518-A"/>
    <n v="16"/>
  </r>
  <r>
    <s v="SALE077"/>
    <x v="75"/>
    <s v="ITEM104-A"/>
    <n v="9"/>
  </r>
  <r>
    <s v="SALE078"/>
    <x v="76"/>
    <s v="ITEM376-A"/>
    <n v="2"/>
  </r>
  <r>
    <s v="SALE079"/>
    <x v="77"/>
    <s v="ITEM593-A"/>
    <n v="13"/>
  </r>
  <r>
    <s v="SALE080"/>
    <x v="78"/>
    <s v="ITEM038-A"/>
    <n v="6"/>
  </r>
  <r>
    <s v="SALE081"/>
    <x v="79"/>
    <s v="ITEM465-A"/>
    <n v="11"/>
  </r>
  <r>
    <s v="SALE082"/>
    <x v="80"/>
    <s v="ITEM212-A"/>
    <n v="4"/>
  </r>
  <r>
    <s v="SALE083"/>
    <x v="81"/>
    <s v="ITEM349-A"/>
    <n v="8"/>
  </r>
  <r>
    <s v="SALE084"/>
    <x v="82"/>
    <s v="ITEM487-A"/>
    <n v="5"/>
  </r>
  <r>
    <s v="SALE085"/>
    <x v="83"/>
    <s v="ITEM126-A"/>
    <n v="10"/>
  </r>
  <r>
    <s v="SALE086"/>
    <x v="84"/>
    <s v="ITEM294-A"/>
    <n v="7"/>
  </r>
  <r>
    <s v="SALE087"/>
    <x v="85"/>
    <s v="ITEM571-A"/>
    <n v="12"/>
  </r>
  <r>
    <s v="SALE088"/>
    <x v="86"/>
    <s v="ITEM059-A"/>
    <n v="3"/>
  </r>
  <r>
    <s v="SALE089"/>
    <x v="87"/>
    <s v="ITEM408-A"/>
    <n v="15"/>
  </r>
  <r>
    <s v="SALE090"/>
    <x v="88"/>
    <s v="ITEM180-A"/>
    <n v="1"/>
  </r>
  <r>
    <s v="SALE091"/>
    <x v="89"/>
    <s v="ITEM533-A"/>
    <n v="9"/>
  </r>
  <r>
    <s v="SALE092"/>
    <x v="90"/>
    <s v="ITEM265-A"/>
    <n v="6"/>
  </r>
  <r>
    <s v="SALE093"/>
    <x v="91"/>
    <s v="ITEM397-A"/>
    <n v="14"/>
  </r>
  <r>
    <s v="SALE094"/>
    <x v="92"/>
    <s v="ITEM112-A"/>
    <n v="8"/>
  </r>
  <r>
    <s v="SALE095"/>
    <x v="93"/>
    <s v="ITEM620-A"/>
    <n v="4"/>
  </r>
  <r>
    <s v="SALE096"/>
    <x v="94"/>
    <s v="ITEM341-A"/>
    <n v="11"/>
  </r>
  <r>
    <s v="SALE097"/>
    <x v="95"/>
    <s v="ITEM478-A"/>
    <n v="2"/>
  </r>
  <r>
    <s v="SALE098"/>
    <x v="96"/>
    <s v="ITEM205-A"/>
    <n v="13"/>
  </r>
  <r>
    <s v="SALE099"/>
    <x v="97"/>
    <s v="ITEM562-A"/>
    <n v="5"/>
  </r>
  <r>
    <s v="SALE100"/>
    <x v="98"/>
    <s v="ITEM089-A"/>
    <n v="10"/>
  </r>
  <r>
    <s v="SALE101"/>
    <x v="99"/>
    <s v="ITEM416-A"/>
    <n v="7"/>
  </r>
  <r>
    <s v="SALE102"/>
    <x v="100"/>
    <s v="ITEM273-A"/>
    <n v="16"/>
  </r>
  <r>
    <s v="SALE103"/>
    <x v="101"/>
    <s v="ITEM550-A"/>
    <n v="3"/>
  </r>
  <r>
    <s v="SALE104"/>
    <x v="102"/>
    <s v="ITEM147-A"/>
    <n v="9"/>
  </r>
  <r>
    <s v="SALE105"/>
    <x v="103"/>
    <s v="ITEM384-A"/>
    <n v="12"/>
  </r>
  <r>
    <s v="SALE106"/>
    <x v="104"/>
    <s v="ITEM221-A"/>
    <n v="6"/>
  </r>
  <r>
    <s v="SALE107"/>
    <x v="105"/>
    <s v="ITEM607-A"/>
    <n v="4"/>
  </r>
  <r>
    <s v="SALE108"/>
    <x v="106"/>
    <s v="ITEM096-A"/>
    <n v="11"/>
  </r>
  <r>
    <s v="SALE109"/>
    <x v="107"/>
    <s v="ITEM329-A"/>
    <n v="8"/>
  </r>
  <r>
    <s v="SALE110"/>
    <x v="108"/>
    <s v="ITEM466-A"/>
    <n v="2"/>
  </r>
  <r>
    <s v="SALE111"/>
    <x v="109"/>
    <s v="ITEM183-A"/>
    <n v="15"/>
  </r>
  <r>
    <s v="SALE112"/>
    <x v="110"/>
    <s v="ITEM312-A"/>
    <n v="5"/>
  </r>
  <r>
    <s v="SALE113"/>
    <x v="111"/>
    <s v="ITEM549-A"/>
    <n v="10"/>
  </r>
  <r>
    <s v="SALE114"/>
    <x v="112"/>
    <s v="ITEM258-A"/>
    <n v="7"/>
  </r>
  <r>
    <s v="SALE115"/>
    <x v="113"/>
    <s v="ITEM425-A"/>
    <n v="13"/>
  </r>
  <r>
    <s v="SALE116"/>
    <x v="114"/>
    <s v="ITEM074-A"/>
    <n v="1"/>
  </r>
  <r>
    <s v="SALE117"/>
    <x v="115"/>
    <s v="ITEM592-A"/>
    <n v="9"/>
  </r>
  <r>
    <s v="SALE118"/>
    <x v="116"/>
    <s v="ITEM137-A"/>
    <n v="6"/>
  </r>
  <r>
    <s v="SALE119"/>
    <x v="5"/>
    <s v="ITEM304-A"/>
    <n v="12"/>
  </r>
  <r>
    <s v="SALE120"/>
    <x v="117"/>
    <s v="ITEM471-A"/>
    <n v="4"/>
  </r>
  <r>
    <s v="SALE121"/>
    <x v="118"/>
    <s v="ITEM210-A"/>
    <n v="8"/>
  </r>
  <r>
    <s v="SALE122"/>
    <x v="119"/>
    <s v="ITEM346-A"/>
    <n v="3"/>
  </r>
  <r>
    <s v="SALE123"/>
    <x v="120"/>
    <s v="ITEM583-A"/>
    <n v="11"/>
  </r>
  <r>
    <s v="SALE124"/>
    <x v="121"/>
    <s v="ITEM102-A"/>
    <n v="5"/>
  </r>
  <r>
    <s v="SALE125"/>
    <x v="122"/>
    <s v="ITEM269-A"/>
    <n v="14"/>
  </r>
  <r>
    <s v="SALE126"/>
    <x v="123"/>
    <s v="ITEM406-A"/>
    <n v="7"/>
  </r>
  <r>
    <s v="SALE127"/>
    <x v="124"/>
    <s v="ITEM543-A"/>
    <n v="2"/>
  </r>
  <r>
    <s v="SALE128"/>
    <x v="125"/>
    <s v="ITEM178-A"/>
    <n v="10"/>
  </r>
  <r>
    <s v="SALE129"/>
    <x v="126"/>
    <s v="ITEM315-A"/>
    <n v="16"/>
  </r>
  <r>
    <s v="SALE130"/>
    <x v="127"/>
    <s v="ITEM452-A"/>
    <n v="9"/>
  </r>
  <r>
    <s v="SALE131"/>
    <x v="128"/>
    <s v="ITEM189-A"/>
    <n v="6"/>
  </r>
  <r>
    <s v="SALE132"/>
    <x v="129"/>
    <s v="ITEM326-A"/>
    <n v="12"/>
  </r>
  <r>
    <s v="SALE133"/>
    <x v="130"/>
    <s v="ITEM463-A"/>
    <n v="4"/>
  </r>
  <r>
    <s v="SALE134"/>
    <x v="131"/>
    <s v="ITEM200-A"/>
    <n v="8"/>
  </r>
  <r>
    <s v="SALE135"/>
    <x v="132"/>
    <s v="ITEM337-A"/>
    <n v="3"/>
  </r>
  <r>
    <s v="SALE136"/>
    <x v="133"/>
    <s v="ITEM474-A"/>
    <n v="11"/>
  </r>
  <r>
    <s v="SALE137"/>
    <x v="134"/>
    <s v="ITEM211-A"/>
    <n v="5"/>
  </r>
  <r>
    <s v="SALE138"/>
    <x v="135"/>
    <s v="ITEM348-A"/>
    <n v="13"/>
  </r>
  <r>
    <s v="SALE139"/>
    <x v="136"/>
    <s v="ITEM485-A"/>
    <n v="7"/>
  </r>
  <r>
    <s v="SALE140"/>
    <x v="137"/>
    <s v="ITEM162-A"/>
    <n v="1"/>
  </r>
  <r>
    <s v="SALE141"/>
    <x v="138"/>
    <s v="ITEM299-A"/>
    <n v="9"/>
  </r>
  <r>
    <s v="SALE142"/>
    <x v="139"/>
    <s v="ITEM436-A"/>
    <n v="6"/>
  </r>
  <r>
    <s v="SALE143"/>
    <x v="140"/>
    <s v="ITEM573-A"/>
    <n v="14"/>
  </r>
  <r>
    <s v="SALE144"/>
    <x v="141"/>
    <s v="ITEM230-A"/>
    <n v="8"/>
  </r>
  <r>
    <s v="SALE145"/>
    <x v="142"/>
    <s v="ITEM367-A"/>
    <n v="2"/>
  </r>
  <r>
    <s v="SALE146"/>
    <x v="143"/>
    <s v="ITEM504-A"/>
    <n v="12"/>
  </r>
  <r>
    <s v="SALE147"/>
    <x v="144"/>
    <s v="ITEM141-A"/>
    <n v="4"/>
  </r>
  <r>
    <s v="SALE148"/>
    <x v="145"/>
    <s v="ITEM278-A"/>
    <n v="10"/>
  </r>
  <r>
    <s v="SALE149"/>
    <x v="146"/>
    <s v="ITEM415-A"/>
    <n v="7"/>
  </r>
  <r>
    <s v="SALE150"/>
    <x v="147"/>
    <s v="ITEM552-A"/>
    <n v="3"/>
  </r>
  <r>
    <s v="SALE151"/>
    <x v="148"/>
    <s v="ITEM189-A"/>
    <n v="11"/>
  </r>
  <r>
    <s v="SALE152"/>
    <x v="149"/>
    <s v="ITEM326-A"/>
    <n v="5"/>
  </r>
  <r>
    <s v="SALE153"/>
    <x v="150"/>
    <s v="ITEM463-A"/>
    <n v="13"/>
  </r>
  <r>
    <s v="SALE154"/>
    <x v="151"/>
    <s v="ITEM200-A"/>
    <n v="9"/>
  </r>
  <r>
    <s v="SALE155"/>
    <x v="152"/>
    <s v="ITEM337-A"/>
    <n v="6"/>
  </r>
  <r>
    <s v="SALE156"/>
    <x v="153"/>
    <s v="ITEM474-A"/>
    <n v="12"/>
  </r>
  <r>
    <s v="SALE157"/>
    <x v="154"/>
    <s v="ITEM211-A"/>
    <n v="4"/>
  </r>
  <r>
    <s v="SALE158"/>
    <x v="155"/>
    <s v="ITEM348-A"/>
    <n v="8"/>
  </r>
  <r>
    <s v="SALE159"/>
    <x v="156"/>
    <s v="ITEM485-A"/>
    <n v="2"/>
  </r>
  <r>
    <s v="SALE160"/>
    <x v="157"/>
    <s v="ITEM162-A"/>
    <n v="10"/>
  </r>
  <r>
    <s v="SALE161"/>
    <x v="158"/>
    <s v="ITEM299-A"/>
    <n v="7"/>
  </r>
  <r>
    <s v="SALE162"/>
    <x v="159"/>
    <s v="ITEM436-A"/>
    <n v="14"/>
  </r>
  <r>
    <s v="SALE163"/>
    <x v="160"/>
    <s v="ITEM573-A"/>
    <n v="5"/>
  </r>
  <r>
    <s v="SALE164"/>
    <x v="161"/>
    <s v="ITEM230-A"/>
    <n v="11"/>
  </r>
  <r>
    <s v="SALE165"/>
    <x v="162"/>
    <s v="ITEM367-A"/>
    <n v="3"/>
  </r>
  <r>
    <s v="SALE166"/>
    <x v="163"/>
    <s v="ITEM504-A"/>
    <n v="9"/>
  </r>
  <r>
    <s v="SALE167"/>
    <x v="164"/>
    <s v="ITEM141-A"/>
    <n v="6"/>
  </r>
  <r>
    <s v="SALE168"/>
    <x v="165"/>
    <s v="ITEM278-A"/>
    <n v="12"/>
  </r>
  <r>
    <s v="SALE169"/>
    <x v="166"/>
    <s v="ITEM415-A"/>
    <n v="8"/>
  </r>
  <r>
    <s v="SALE170"/>
    <x v="167"/>
    <s v="ITEM552-A"/>
    <n v="1"/>
  </r>
  <r>
    <s v="SALE171"/>
    <x v="168"/>
    <s v="ITEM189-A"/>
    <n v="13"/>
  </r>
  <r>
    <s v="SALE172"/>
    <x v="169"/>
    <s v="ITEM326-A"/>
    <n v="4"/>
  </r>
  <r>
    <s v="SALE173"/>
    <x v="170"/>
    <s v="ITEM463-A"/>
    <n v="10"/>
  </r>
  <r>
    <s v="SALE174"/>
    <x v="171"/>
    <s v="ITEM200-A"/>
    <n v="7"/>
  </r>
  <r>
    <s v="SALE175"/>
    <x v="172"/>
    <s v="ITEM337-A"/>
    <n v="5"/>
  </r>
  <r>
    <s v="SALE176"/>
    <x v="173"/>
    <s v="ITEM474-A"/>
    <n v="11"/>
  </r>
  <r>
    <s v="SALE177"/>
    <x v="174"/>
    <s v="ITEM211-A"/>
    <n v="2"/>
  </r>
  <r>
    <s v="SALE178"/>
    <x v="175"/>
    <s v="ITEM348-A"/>
    <n v="14"/>
  </r>
  <r>
    <s v="SALE179"/>
    <x v="176"/>
    <s v="ITEM485-A"/>
    <n v="9"/>
  </r>
  <r>
    <s v="SALE180"/>
    <x v="177"/>
    <s v="ITEM162-A"/>
    <n v="6"/>
  </r>
  <r>
    <s v="SALE181"/>
    <x v="178"/>
    <s v="ITEM299-A"/>
    <n v="12"/>
  </r>
  <r>
    <s v="SALE182"/>
    <x v="179"/>
    <s v="ITEM436-A"/>
    <n v="3"/>
  </r>
  <r>
    <s v="SALE183"/>
    <x v="180"/>
    <s v="ITEM573-A"/>
    <n v="8"/>
  </r>
  <r>
    <s v="SALE184"/>
    <x v="181"/>
    <s v="ITEM230-A"/>
    <n v="4"/>
  </r>
  <r>
    <s v="SALE185"/>
    <x v="182"/>
    <s v="ITEM367-A"/>
    <n v="10"/>
  </r>
  <r>
    <s v="SALE186"/>
    <x v="183"/>
    <s v="ITEM504-A"/>
    <n v="7"/>
  </r>
  <r>
    <s v="SALE187"/>
    <x v="184"/>
    <s v="ITEM141-A"/>
    <n v="1"/>
  </r>
  <r>
    <s v="SALE188"/>
    <x v="185"/>
    <s v="ITEM278-A"/>
    <n v="13"/>
  </r>
  <r>
    <s v="SALE189"/>
    <x v="186"/>
    <s v="ITEM415-A"/>
    <n v="5"/>
  </r>
  <r>
    <s v="SALE190"/>
    <x v="187"/>
    <s v="ITEM552-A"/>
    <n v="9"/>
  </r>
  <r>
    <s v="SALE191"/>
    <x v="188"/>
    <s v="ITEM189-A"/>
    <n v="6"/>
  </r>
  <r>
    <s v="SALE192"/>
    <x v="189"/>
    <s v="ITEM326-A"/>
    <n v="12"/>
  </r>
  <r>
    <s v="SALE193"/>
    <x v="190"/>
    <s v="ITEM463-A"/>
    <n v="2"/>
  </r>
  <r>
    <s v="SALE194"/>
    <x v="191"/>
    <s v="ITEM200-A"/>
    <n v="11"/>
  </r>
  <r>
    <s v="SALE195"/>
    <x v="192"/>
    <s v="ITEM337-A"/>
    <n v="8"/>
  </r>
  <r>
    <s v="SALE196"/>
    <x v="193"/>
    <s v="ITEM474-A"/>
    <n v="4"/>
  </r>
  <r>
    <s v="SALE197"/>
    <x v="194"/>
    <s v="ITEM211-A"/>
    <n v="10"/>
  </r>
  <r>
    <s v="SALE198"/>
    <x v="195"/>
    <s v="ITEM348-A"/>
    <n v="7"/>
  </r>
  <r>
    <s v="SALE199"/>
    <x v="196"/>
    <s v="ITEM485-A"/>
    <n v="3"/>
  </r>
  <r>
    <s v="SALE200"/>
    <x v="197"/>
    <s v="ITEM162-A"/>
    <n v="14"/>
  </r>
  <r>
    <s v="SALE201"/>
    <x v="198"/>
    <s v="ITEM299-A"/>
    <n v="5"/>
  </r>
  <r>
    <s v="SALE202"/>
    <x v="199"/>
    <s v="ITEM436-A"/>
    <n v="9"/>
  </r>
  <r>
    <s v="SALE203"/>
    <x v="200"/>
    <s v="ITEM573-A"/>
    <n v="6"/>
  </r>
  <r>
    <s v="SALE204"/>
    <x v="201"/>
    <s v="ITEM230-A"/>
    <n v="12"/>
  </r>
  <r>
    <s v="SALE205"/>
    <x v="202"/>
    <s v="ITEM367-A"/>
    <n v="1"/>
  </r>
  <r>
    <s v="SALE206"/>
    <x v="203"/>
    <s v="ITEM504-A"/>
    <n v="8"/>
  </r>
  <r>
    <s v="SALE207"/>
    <x v="204"/>
    <s v="ITEM141-A"/>
    <n v="4"/>
  </r>
  <r>
    <s v="SALE208"/>
    <x v="205"/>
    <s v="ITEM278-A"/>
    <n v="11"/>
  </r>
  <r>
    <s v="SALE209"/>
    <x v="206"/>
    <s v="ITEM415-A"/>
    <n v="7"/>
  </r>
  <r>
    <s v="SALE210"/>
    <x v="207"/>
    <s v="ITEM552-A"/>
    <n v="2"/>
  </r>
  <r>
    <s v="SALE211"/>
    <x v="208"/>
    <s v="ITEM189-A"/>
    <n v="13"/>
  </r>
  <r>
    <s v="SALE212"/>
    <x v="209"/>
    <s v="ITEM326-A"/>
    <n v="5"/>
  </r>
  <r>
    <s v="SALE213"/>
    <x v="210"/>
    <s v="ITEM463-A"/>
    <n v="10"/>
  </r>
  <r>
    <s v="SALE214"/>
    <x v="211"/>
    <s v="ITEM200-A"/>
    <n v="6"/>
  </r>
  <r>
    <s v="SALE215"/>
    <x v="212"/>
    <s v="ITEM337-A"/>
    <n v="12"/>
  </r>
  <r>
    <s v="SALE216"/>
    <x v="213"/>
    <s v="ITEM474-A"/>
    <n v="3"/>
  </r>
  <r>
    <s v="SALE217"/>
    <x v="214"/>
    <s v="ITEM211-A"/>
    <n v="9"/>
  </r>
  <r>
    <s v="SALE218"/>
    <x v="215"/>
    <s v="ITEM348-A"/>
    <n v="4"/>
  </r>
  <r>
    <s v="SALE219"/>
    <x v="216"/>
    <s v="ITEM485-A"/>
    <n v="8"/>
  </r>
  <r>
    <s v="SALE220"/>
    <x v="217"/>
    <s v="ITEM162-A"/>
    <n v="1"/>
  </r>
  <r>
    <s v="SALE221"/>
    <x v="218"/>
    <s v="ITEM299-A"/>
    <n v="11"/>
  </r>
  <r>
    <s v="SALE222"/>
    <x v="219"/>
    <s v="ITEM436-A"/>
    <n v="7"/>
  </r>
  <r>
    <s v="SALE223"/>
    <x v="220"/>
    <s v="ITEM573-A"/>
    <n v="5"/>
  </r>
  <r>
    <s v="SALE224"/>
    <x v="221"/>
    <s v="ITEM230-A"/>
    <n v="13"/>
  </r>
  <r>
    <s v="SALE225"/>
    <x v="222"/>
    <s v="ITEM367-A"/>
    <n v="2"/>
  </r>
  <r>
    <s v="SALE226"/>
    <x v="223"/>
    <s v="ITEM504-A"/>
    <n v="10"/>
  </r>
  <r>
    <s v="SALE227"/>
    <x v="224"/>
    <s v="ITEM141-A"/>
    <n v="6"/>
  </r>
  <r>
    <s v="SALE228"/>
    <x v="225"/>
    <s v="ITEM278-A"/>
    <n v="12"/>
  </r>
  <r>
    <s v="SALE229"/>
    <x v="226"/>
    <s v="ITEM415-A"/>
    <n v="4"/>
  </r>
  <r>
    <s v="SALE230"/>
    <x v="227"/>
    <s v="ITEM552-A"/>
    <n v="8"/>
  </r>
  <r>
    <s v="SALE231"/>
    <x v="228"/>
    <s v="ITEM189-A"/>
    <n v="3"/>
  </r>
  <r>
    <s v="SALE232"/>
    <x v="229"/>
    <s v="ITEM326-A"/>
    <n v="14"/>
  </r>
  <r>
    <s v="SALE233"/>
    <x v="230"/>
    <s v="ITEM463-A"/>
    <n v="9"/>
  </r>
  <r>
    <s v="SALE234"/>
    <x v="231"/>
    <s v="ITEM200-A"/>
    <n v="5"/>
  </r>
  <r>
    <s v="SALE235"/>
    <x v="232"/>
    <s v="ITEM337-A"/>
    <n v="11"/>
  </r>
  <r>
    <s v="SALE236"/>
    <x v="233"/>
    <s v="ITEM474-A"/>
    <n v="7"/>
  </r>
  <r>
    <s v="SALE237"/>
    <x v="234"/>
    <s v="ITEM211-A"/>
    <n v="1"/>
  </r>
  <r>
    <s v="SALE238"/>
    <x v="235"/>
    <s v="ITEM348-A"/>
    <n v="12"/>
  </r>
  <r>
    <s v="SALE239"/>
    <x v="236"/>
    <s v="ITEM485-A"/>
    <n v="6"/>
  </r>
  <r>
    <s v="SALE240"/>
    <x v="237"/>
    <s v="ITEM162-A"/>
    <n v="10"/>
  </r>
  <r>
    <s v="SALE241"/>
    <x v="238"/>
    <s v="ITEM299-A"/>
    <n v="2"/>
  </r>
  <r>
    <s v="SALE242"/>
    <x v="239"/>
    <s v="ITEM436-A"/>
    <n v="13"/>
  </r>
  <r>
    <s v="SALE243"/>
    <x v="240"/>
    <s v="ITEM573-A"/>
    <n v="8"/>
  </r>
  <r>
    <s v="SALE244"/>
    <x v="241"/>
    <s v="ITEM230-A"/>
    <n v="4"/>
  </r>
  <r>
    <s v="SALE245"/>
    <x v="242"/>
    <s v="ITEM367-A"/>
    <n v="9"/>
  </r>
  <r>
    <s v="SALE246"/>
    <x v="243"/>
    <s v="ITEM504-A"/>
    <n v="5"/>
  </r>
  <r>
    <s v="SALE247"/>
    <x v="244"/>
    <s v="ITEM141-A"/>
    <n v="11"/>
  </r>
  <r>
    <s v="SALE248"/>
    <x v="245"/>
    <s v="ITEM278-A"/>
    <n v="7"/>
  </r>
  <r>
    <s v="SALE249"/>
    <x v="246"/>
    <s v="ITEM415-A"/>
    <n v="3"/>
  </r>
  <r>
    <s v="SALE250"/>
    <x v="247"/>
    <s v="ITEM552-A"/>
    <n v="12"/>
  </r>
  <r>
    <s v="SALE251"/>
    <x v="248"/>
    <s v="ITEM189-A"/>
    <n v="6"/>
  </r>
  <r>
    <s v="SALE252"/>
    <x v="249"/>
    <s v="ITEM326-A"/>
    <n v="10"/>
  </r>
  <r>
    <s v="SALE253"/>
    <x v="250"/>
    <s v="ITEM463-A"/>
    <n v="4"/>
  </r>
  <r>
    <s v="SALE254"/>
    <x v="251"/>
    <s v="ITEM200-A"/>
    <n v="14"/>
  </r>
  <r>
    <s v="SALE255"/>
    <x v="252"/>
    <s v="ITEM337-A"/>
    <n v="1"/>
  </r>
  <r>
    <s v="SALE256"/>
    <x v="253"/>
    <s v="ITEM474-A"/>
    <n v="8"/>
  </r>
  <r>
    <s v="SALE257"/>
    <x v="254"/>
    <s v="ITEM211-A"/>
    <n v="5"/>
  </r>
  <r>
    <s v="SALE258"/>
    <x v="255"/>
    <s v="ITEM348-A"/>
    <n v="11"/>
  </r>
  <r>
    <s v="SALE259"/>
    <x v="256"/>
    <s v="ITEM485-A"/>
    <n v="7"/>
  </r>
  <r>
    <s v="SALE260"/>
    <x v="257"/>
    <s v="ITEM162-A"/>
    <n v="2"/>
  </r>
  <r>
    <s v="SALE261"/>
    <x v="258"/>
    <s v="ITEM299-A"/>
    <n v="13"/>
  </r>
  <r>
    <s v="SALE262"/>
    <x v="259"/>
    <s v="ITEM436-A"/>
    <n v="9"/>
  </r>
  <r>
    <s v="SALE263"/>
    <x v="260"/>
    <s v="ITEM573-A"/>
    <n v="6"/>
  </r>
  <r>
    <s v="SALE264"/>
    <x v="261"/>
    <s v="ITEM230-A"/>
    <n v="12"/>
  </r>
  <r>
    <s v="SALE265"/>
    <x v="262"/>
    <s v="ITEM367-A"/>
    <n v="3"/>
  </r>
  <r>
    <s v="SALE266"/>
    <x v="263"/>
    <s v="ITEM504-A"/>
    <n v="10"/>
  </r>
  <r>
    <s v="SALE267"/>
    <x v="264"/>
    <s v="ITEM141-A"/>
    <n v="4"/>
  </r>
  <r>
    <s v="SALE268"/>
    <x v="265"/>
    <s v="ITEM278-A"/>
    <n v="8"/>
  </r>
  <r>
    <s v="SALE269"/>
    <x v="266"/>
    <s v="ITEM415-A"/>
    <n v="5"/>
  </r>
  <r>
    <s v="SALE270"/>
    <x v="267"/>
    <s v="ITEM552-A"/>
    <n v="11"/>
  </r>
  <r>
    <s v="SALE271"/>
    <x v="268"/>
    <s v="ITEM189-A"/>
    <n v="7"/>
  </r>
  <r>
    <s v="SALE272"/>
    <x v="269"/>
    <s v="ITEM326-A"/>
    <n v="1"/>
  </r>
  <r>
    <s v="SALE273"/>
    <x v="270"/>
    <s v="ITEM463-A"/>
    <n v="14"/>
  </r>
  <r>
    <s v="SALE274"/>
    <x v="271"/>
    <s v="ITEM200-A"/>
    <n v="6"/>
  </r>
  <r>
    <s v="SALE275"/>
    <x v="272"/>
    <s v="ITEM337-A"/>
    <n v="9"/>
  </r>
  <r>
    <s v="SALE276"/>
    <x v="273"/>
    <s v="ITEM474-A"/>
    <n v="12"/>
  </r>
  <r>
    <s v="SALE277"/>
    <x v="274"/>
    <s v="ITEM211-A"/>
    <n v="2"/>
  </r>
  <r>
    <s v="SALE278"/>
    <x v="275"/>
    <s v="ITEM348-A"/>
    <n v="10"/>
  </r>
  <r>
    <s v="SALE279"/>
    <x v="276"/>
    <s v="ITEM485-A"/>
    <n v="4"/>
  </r>
  <r>
    <s v="SALE280"/>
    <x v="277"/>
    <s v="ITEM162-A"/>
    <n v="8"/>
  </r>
  <r>
    <s v="SALE281"/>
    <x v="278"/>
    <s v="ITEM299-A"/>
    <n v="3"/>
  </r>
  <r>
    <s v="SALE282"/>
    <x v="279"/>
    <s v="ITEM436-A"/>
    <n v="13"/>
  </r>
  <r>
    <s v="SALE283"/>
    <x v="280"/>
    <s v="ITEM573-A"/>
    <n v="5"/>
  </r>
  <r>
    <s v="SALE284"/>
    <x v="281"/>
    <s v="ITEM230-A"/>
    <n v="11"/>
  </r>
  <r>
    <s v="SALE285"/>
    <x v="282"/>
    <s v="ITEM367-A"/>
    <n v="7"/>
  </r>
  <r>
    <s v="SALE286"/>
    <x v="283"/>
    <s v="ITEM504-A"/>
    <n v="1"/>
  </r>
  <r>
    <s v="SALE287"/>
    <x v="284"/>
    <s v="ITEM141-A"/>
    <n v="9"/>
  </r>
  <r>
    <s v="SALE288"/>
    <x v="285"/>
    <s v="ITEM278-A"/>
    <n v="6"/>
  </r>
  <r>
    <s v="SALE289"/>
    <x v="286"/>
    <s v="ITEM415-A"/>
    <n v="12"/>
  </r>
  <r>
    <s v="SALE290"/>
    <x v="287"/>
    <s v="ITEM552-A"/>
    <n v="4"/>
  </r>
  <r>
    <s v="SALE291"/>
    <x v="288"/>
    <s v="ITEM189-A"/>
    <n v="10"/>
  </r>
  <r>
    <s v="SALE292"/>
    <x v="289"/>
    <s v="ITEM326-A"/>
    <n v="8"/>
  </r>
  <r>
    <s v="SALE293"/>
    <x v="290"/>
    <s v="ITEM463-A"/>
    <n v="2"/>
  </r>
  <r>
    <s v="SALE294"/>
    <x v="291"/>
    <s v="ITEM200-A"/>
    <n v="14"/>
  </r>
  <r>
    <s v="SALE295"/>
    <x v="292"/>
    <s v="ITEM337-A"/>
    <n v="5"/>
  </r>
  <r>
    <s v="SALE296"/>
    <x v="293"/>
    <s v="ITEM474-A"/>
    <n v="11"/>
  </r>
  <r>
    <s v="SALE297"/>
    <x v="294"/>
    <s v="ITEM211-A"/>
    <n v="7"/>
  </r>
  <r>
    <s v="SALE298"/>
    <x v="295"/>
    <s v="ITEM348-A"/>
    <n v="3"/>
  </r>
  <r>
    <s v="SALE299"/>
    <x v="296"/>
    <s v="ITEM485-A"/>
    <n v="9"/>
  </r>
  <r>
    <s v="SALE300"/>
    <x v="297"/>
    <s v="ITEM162-A"/>
    <n v="6"/>
  </r>
  <r>
    <s v="SALE301"/>
    <x v="298"/>
    <s v="ITEM299-A"/>
    <n v="12"/>
  </r>
  <r>
    <s v="SALE302"/>
    <x v="151"/>
    <s v="ITEM436-A"/>
    <n v="1"/>
  </r>
  <r>
    <s v="SALE303"/>
    <x v="299"/>
    <s v="ITEM573-A"/>
    <n v="13"/>
  </r>
  <r>
    <s v="SALE304"/>
    <x v="300"/>
    <s v="ITEM230-A"/>
    <n v="8"/>
  </r>
  <r>
    <s v="SALE305"/>
    <x v="301"/>
    <s v="ITEM367-A"/>
    <n v="4"/>
  </r>
  <r>
    <s v="SALE306"/>
    <x v="302"/>
    <s v="ITEM504-A"/>
    <n v="10"/>
  </r>
  <r>
    <s v="SALE307"/>
    <x v="303"/>
    <s v="ITEM141-A"/>
    <n v="5"/>
  </r>
  <r>
    <s v="SALE308"/>
    <x v="304"/>
    <s v="ITEM278-A"/>
    <n v="11"/>
  </r>
  <r>
    <s v="SALE309"/>
    <x v="305"/>
    <s v="ITEM415-A"/>
    <n v="7"/>
  </r>
  <r>
    <s v="SALE310"/>
    <x v="306"/>
    <s v="ITEM552-A"/>
    <n v="2"/>
  </r>
  <r>
    <s v="SALE311"/>
    <x v="307"/>
    <s v="ITEM189-A"/>
    <n v="9"/>
  </r>
  <r>
    <s v="SALE312"/>
    <x v="308"/>
    <s v="ITEM326-A"/>
    <n v="6"/>
  </r>
  <r>
    <s v="SALE313"/>
    <x v="309"/>
    <s v="ITEM463-A"/>
    <n v="12"/>
  </r>
  <r>
    <s v="SALE314"/>
    <x v="310"/>
    <s v="ITEM200-A"/>
    <n v="3"/>
  </r>
  <r>
    <s v="SALE315"/>
    <x v="311"/>
    <s v="ITEM337-A"/>
    <n v="14"/>
  </r>
  <r>
    <s v="SALE316"/>
    <x v="312"/>
    <s v="ITEM474-A"/>
    <n v="5"/>
  </r>
  <r>
    <s v="SALE317"/>
    <x v="313"/>
    <s v="ITEM211-A"/>
    <n v="10"/>
  </r>
  <r>
    <s v="SALE318"/>
    <x v="314"/>
    <s v="ITEM348-A"/>
    <n v="8"/>
  </r>
  <r>
    <s v="SALE319"/>
    <x v="315"/>
    <s v="ITEM485-A"/>
    <n v="1"/>
  </r>
  <r>
    <s v="SALE320"/>
    <x v="316"/>
    <s v="ITEM162-A"/>
    <n v="11"/>
  </r>
  <r>
    <s v="SALE321"/>
    <x v="317"/>
    <s v="ITEM299-A"/>
    <n v="7"/>
  </r>
  <r>
    <s v="SALE322"/>
    <x v="318"/>
    <s v="ITEM436-A"/>
    <n v="4"/>
  </r>
  <r>
    <s v="SALE323"/>
    <x v="319"/>
    <s v="ITEM573-A"/>
    <n v="13"/>
  </r>
  <r>
    <s v="SALE324"/>
    <x v="320"/>
    <s v="ITEM230-A"/>
    <n v="9"/>
  </r>
  <r>
    <s v="SALE325"/>
    <x v="55"/>
    <s v="ITEM367-A"/>
    <n v="6"/>
  </r>
  <r>
    <s v="SALE326"/>
    <x v="321"/>
    <s v="ITEM504-A"/>
    <n v="2"/>
  </r>
  <r>
    <s v="SALE327"/>
    <x v="322"/>
    <s v="ITEM141-A"/>
    <n v="12"/>
  </r>
  <r>
    <s v="SALE328"/>
    <x v="323"/>
    <s v="ITEM278-A"/>
    <n v="5"/>
  </r>
  <r>
    <s v="SALE329"/>
    <x v="324"/>
    <s v="ITEM415-A"/>
    <n v="10"/>
  </r>
  <r>
    <s v="SALE330"/>
    <x v="325"/>
    <s v="ITEM552-A"/>
    <n v="8"/>
  </r>
  <r>
    <s v="SALE331"/>
    <x v="326"/>
    <s v="ITEM189-A"/>
    <n v="3"/>
  </r>
  <r>
    <s v="SALE332"/>
    <x v="327"/>
    <s v="ITEM326-A"/>
    <n v="11"/>
  </r>
  <r>
    <s v="SALE333"/>
    <x v="328"/>
    <s v="ITEM463-A"/>
    <n v="7"/>
  </r>
  <r>
    <s v="SALE334"/>
    <x v="329"/>
    <s v="ITEM200-A"/>
    <n v="1"/>
  </r>
  <r>
    <s v="SALE335"/>
    <x v="330"/>
    <s v="ITEM337-A"/>
    <n v="14"/>
  </r>
  <r>
    <s v="SALE336"/>
    <x v="331"/>
    <s v="ITEM474-A"/>
    <n v="6"/>
  </r>
  <r>
    <s v="SALE337"/>
    <x v="332"/>
    <s v="ITEM211-A"/>
    <n v="9"/>
  </r>
  <r>
    <s v="SALE338"/>
    <x v="333"/>
    <s v="ITEM348-A"/>
    <n v="4"/>
  </r>
  <r>
    <s v="SALE339"/>
    <x v="334"/>
    <s v="ITEM485-A"/>
    <n v="12"/>
  </r>
  <r>
    <s v="SALE340"/>
    <x v="335"/>
    <s v="ITEM162-A"/>
    <n v="5"/>
  </r>
  <r>
    <s v="SALE341"/>
    <x v="61"/>
    <s v="ITEM299-A"/>
    <n v="10"/>
  </r>
  <r>
    <s v="SALE342"/>
    <x v="336"/>
    <s v="ITEM436-A"/>
    <n v="2"/>
  </r>
  <r>
    <s v="SALE343"/>
    <x v="337"/>
    <s v="ITEM573-A"/>
    <n v="13"/>
  </r>
  <r>
    <s v="SALE344"/>
    <x v="338"/>
    <s v="ITEM230-A"/>
    <n v="8"/>
  </r>
  <r>
    <s v="SALE345"/>
    <x v="21"/>
    <s v="ITEM367-A"/>
    <n v="11"/>
  </r>
  <r>
    <s v="SALE346"/>
    <x v="339"/>
    <s v="ITEM504-A"/>
    <n v="3"/>
  </r>
  <r>
    <s v="SALE347"/>
    <x v="340"/>
    <s v="ITEM141-A"/>
    <n v="9"/>
  </r>
  <r>
    <s v="SALE348"/>
    <x v="341"/>
    <s v="ITEM278-A"/>
    <n v="7"/>
  </r>
  <r>
    <s v="SALE349"/>
    <x v="342"/>
    <s v="ITEM415-A"/>
    <n v="1"/>
  </r>
  <r>
    <s v="SALE350"/>
    <x v="343"/>
    <s v="ITEM552-A"/>
    <n v="14"/>
  </r>
  <r>
    <s v="SALE351"/>
    <x v="344"/>
    <s v="ITEM189-A"/>
    <n v="6"/>
  </r>
  <r>
    <s v="SALE352"/>
    <x v="345"/>
    <s v="ITEM326-A"/>
    <n v="10"/>
  </r>
  <r>
    <s v="SALE353"/>
    <x v="346"/>
    <s v="ITEM463-A"/>
    <n v="4"/>
  </r>
  <r>
    <s v="SALE354"/>
    <x v="347"/>
    <s v="ITEM200-A"/>
    <n v="12"/>
  </r>
  <r>
    <s v="SALE355"/>
    <x v="0"/>
    <s v="ITEM337-A"/>
    <n v="5"/>
  </r>
  <r>
    <s v="SALE356"/>
    <x v="9"/>
    <s v="ITEM474-A"/>
    <n v="8"/>
  </r>
  <r>
    <s v="SALE357"/>
    <x v="348"/>
    <s v="ITEM211-A"/>
    <n v="2"/>
  </r>
  <r>
    <s v="SALE358"/>
    <x v="349"/>
    <s v="ITEM348-A"/>
    <n v="13"/>
  </r>
  <r>
    <s v="SALE359"/>
    <x v="350"/>
    <s v="ITEM485-A"/>
    <n v="9"/>
  </r>
  <r>
    <s v="SALE360"/>
    <x v="351"/>
    <s v="ITEM162-A"/>
    <n v="7"/>
  </r>
  <r>
    <s v="SALE361"/>
    <x v="352"/>
    <s v="ITEM299-A"/>
    <n v="11"/>
  </r>
  <r>
    <s v="SALE362"/>
    <x v="88"/>
    <s v="ITEM436-A"/>
    <n v="3"/>
  </r>
  <r>
    <s v="SALE363"/>
    <x v="353"/>
    <s v="ITEM573-A"/>
    <n v="10"/>
  </r>
  <r>
    <s v="SALE364"/>
    <x v="354"/>
    <s v="ITEM230-A"/>
    <n v="6"/>
  </r>
  <r>
    <s v="SALE365"/>
    <x v="355"/>
    <s v="ITEM367-A"/>
    <n v="12"/>
  </r>
  <r>
    <s v="SALE366"/>
    <x v="356"/>
    <s v="ITEM504-A"/>
    <n v="1"/>
  </r>
  <r>
    <s v="SALE367"/>
    <x v="357"/>
    <s v="ITEM141-A"/>
    <n v="14"/>
  </r>
  <r>
    <s v="SALE368"/>
    <x v="358"/>
    <s v="ITEM278-A"/>
    <n v="5"/>
  </r>
  <r>
    <s v="SALE369"/>
    <x v="359"/>
    <s v="ITEM415-A"/>
    <n v="9"/>
  </r>
  <r>
    <s v="SALE370"/>
    <x v="360"/>
    <s v="ITEM552-A"/>
    <n v="8"/>
  </r>
  <r>
    <s v="SALE371"/>
    <x v="361"/>
    <s v="ITEM189-A"/>
    <n v="4"/>
  </r>
  <r>
    <s v="SALE372"/>
    <x v="362"/>
    <s v="ITEM326-A"/>
    <n v="11"/>
  </r>
  <r>
    <s v="SALE373"/>
    <x v="363"/>
    <s v="ITEM463-A"/>
    <n v="7"/>
  </r>
  <r>
    <s v="SALE374"/>
    <x v="364"/>
    <s v="ITEM200-A"/>
    <n v="2"/>
  </r>
  <r>
    <s v="SALE375"/>
    <x v="365"/>
    <s v="ITEM337-A"/>
    <n v="13"/>
  </r>
  <r>
    <s v="SALE376"/>
    <x v="366"/>
    <s v="ITEM474-A"/>
    <n v="6"/>
  </r>
  <r>
    <s v="SALE377"/>
    <x v="367"/>
    <s v="ITEM211-A"/>
    <n v="10"/>
  </r>
  <r>
    <s v="SALE378"/>
    <x v="368"/>
    <s v="ITEM348-A"/>
    <n v="3"/>
  </r>
  <r>
    <s v="SALE379"/>
    <x v="369"/>
    <s v="ITEM485-A"/>
    <n v="12"/>
  </r>
  <r>
    <s v="SALE380"/>
    <x v="181"/>
    <s v="ITEM162-A"/>
    <n v="5"/>
  </r>
  <r>
    <s v="SALE381"/>
    <x v="370"/>
    <s v="ITEM299-A"/>
    <n v="9"/>
  </r>
  <r>
    <s v="SALE382"/>
    <x v="371"/>
    <s v="ITEM436-A"/>
    <n v="1"/>
  </r>
  <r>
    <s v="SALE383"/>
    <x v="17"/>
    <s v="ITEM573-A"/>
    <n v="14"/>
  </r>
  <r>
    <s v="SALE384"/>
    <x v="12"/>
    <s v="ITEM230-A"/>
    <n v="8"/>
  </r>
  <r>
    <s v="SALE385"/>
    <x v="372"/>
    <s v="ITEM367-A"/>
    <n v="7"/>
  </r>
  <r>
    <s v="SALE386"/>
    <x v="373"/>
    <s v="ITEM504-A"/>
    <n v="4"/>
  </r>
  <r>
    <s v="SALE387"/>
    <x v="374"/>
    <s v="ITEM141-A"/>
    <n v="11"/>
  </r>
  <r>
    <s v="SALE388"/>
    <x v="375"/>
    <s v="ITEM278-A"/>
    <n v="6"/>
  </r>
  <r>
    <s v="SALE389"/>
    <x v="376"/>
    <s v="ITEM415-A"/>
    <n v="10"/>
  </r>
  <r>
    <s v="SALE390"/>
    <x v="377"/>
    <s v="ITEM552-A"/>
    <n v="2"/>
  </r>
  <r>
    <s v="SALE391"/>
    <x v="378"/>
    <s v="ITEM189-A"/>
    <n v="13"/>
  </r>
  <r>
    <s v="SALE392"/>
    <x v="379"/>
    <s v="ITEM326-A"/>
    <n v="9"/>
  </r>
  <r>
    <s v="SALE393"/>
    <x v="380"/>
    <s v="ITEM463-A"/>
    <n v="5"/>
  </r>
  <r>
    <s v="SALE394"/>
    <x v="381"/>
    <s v="ITEM200-A"/>
    <n v="12"/>
  </r>
  <r>
    <s v="SALE395"/>
    <x v="382"/>
    <s v="ITEM337-A"/>
    <n v="3"/>
  </r>
  <r>
    <s v="SALE396"/>
    <x v="68"/>
    <s v="ITEM474-A"/>
    <n v="8"/>
  </r>
  <r>
    <s v="SALE397"/>
    <x v="383"/>
    <s v="ITEM211-A"/>
    <n v="1"/>
  </r>
  <r>
    <s v="SALE398"/>
    <x v="384"/>
    <s v="ITEM348-A"/>
    <n v="14"/>
  </r>
  <r>
    <s v="SALE399"/>
    <x v="385"/>
    <s v="ITEM485-A"/>
    <n v="7"/>
  </r>
  <r>
    <s v="SALE400"/>
    <x v="386"/>
    <s v="ITEM162-A"/>
    <n v="11"/>
  </r>
  <r>
    <s v="SALE401"/>
    <x v="387"/>
    <s v="ITEM299-A"/>
    <n v="6"/>
  </r>
  <r>
    <s v="SALE402"/>
    <x v="388"/>
    <s v="ITEM436-A"/>
    <n v="4"/>
  </r>
  <r>
    <s v="SALE403"/>
    <x v="389"/>
    <s v="ITEM573-A"/>
    <n v="10"/>
  </r>
  <r>
    <s v="SALE404"/>
    <x v="231"/>
    <s v="ITEM230-A"/>
    <n v="2"/>
  </r>
  <r>
    <s v="SALE405"/>
    <x v="390"/>
    <s v="ITEM367-A"/>
    <n v="13"/>
  </r>
  <r>
    <s v="SALE406"/>
    <x v="16"/>
    <s v="ITEM504-A"/>
    <n v="5"/>
  </r>
  <r>
    <s v="SALE407"/>
    <x v="391"/>
    <s v="ITEM141-A"/>
    <n v="9"/>
  </r>
  <r>
    <s v="SALE408"/>
    <x v="392"/>
    <s v="ITEM278-A"/>
    <n v="12"/>
  </r>
  <r>
    <s v="SALE409"/>
    <x v="393"/>
    <s v="ITEM415-A"/>
    <n v="8"/>
  </r>
  <r>
    <s v="SALE410"/>
    <x v="394"/>
    <s v="ITEM552-A"/>
    <n v="3"/>
  </r>
  <r>
    <s v="SALE411"/>
    <x v="395"/>
    <s v="ITEM189-A"/>
    <n v="11"/>
  </r>
  <r>
    <s v="SALE412"/>
    <x v="117"/>
    <s v="ITEM326-A"/>
    <n v="7"/>
  </r>
  <r>
    <s v="SALE413"/>
    <x v="396"/>
    <s v="ITEM463-A"/>
    <n v="1"/>
  </r>
  <r>
    <s v="SALE414"/>
    <x v="397"/>
    <s v="ITEM200-A"/>
    <n v="14"/>
  </r>
  <r>
    <s v="SALE415"/>
    <x v="398"/>
    <s v="ITEM337-A"/>
    <n v="6"/>
  </r>
  <r>
    <s v="SALE416"/>
    <x v="399"/>
    <s v="ITEM474-A"/>
    <n v="10"/>
  </r>
  <r>
    <s v="SALE417"/>
    <x v="400"/>
    <s v="ITEM211-A"/>
    <n v="4"/>
  </r>
  <r>
    <s v="SALE418"/>
    <x v="401"/>
    <s v="ITEM348-A"/>
    <n v="9"/>
  </r>
  <r>
    <s v="SALE419"/>
    <x v="402"/>
    <s v="ITEM485-A"/>
    <n v="2"/>
  </r>
  <r>
    <s v="SALE420"/>
    <x v="403"/>
    <s v="ITEM162-A"/>
    <n v="12"/>
  </r>
  <r>
    <s v="SALE421"/>
    <x v="404"/>
    <s v="ITEM299-A"/>
    <n v="5"/>
  </r>
  <r>
    <s v="SALE422"/>
    <x v="405"/>
    <s v="ITEM436-A"/>
    <n v="8"/>
  </r>
  <r>
    <s v="SALE423"/>
    <x v="406"/>
    <s v="ITEM573-A"/>
    <n v="3"/>
  </r>
  <r>
    <s v="SALE424"/>
    <x v="407"/>
    <s v="ITEM230-A"/>
    <n v="11"/>
  </r>
  <r>
    <s v="SALE425"/>
    <x v="408"/>
    <s v="ITEM367-A"/>
    <n v="7"/>
  </r>
  <r>
    <s v="SALE426"/>
    <x v="409"/>
    <s v="ITEM504-A"/>
    <n v="1"/>
  </r>
  <r>
    <s v="SALE427"/>
    <x v="31"/>
    <s v="ITEM141-A"/>
    <n v="13"/>
  </r>
  <r>
    <s v="SALE428"/>
    <x v="410"/>
    <s v="ITEM278-A"/>
    <n v="6"/>
  </r>
  <r>
    <s v="SALE429"/>
    <x v="411"/>
    <s v="ITEM415-A"/>
    <n v="10"/>
  </r>
  <r>
    <s v="SALE430"/>
    <x v="412"/>
    <s v="ITEM552-A"/>
    <n v="4"/>
  </r>
  <r>
    <s v="SALE431"/>
    <x v="413"/>
    <s v="ITEM189-A"/>
    <n v="9"/>
  </r>
  <r>
    <s v="SALE432"/>
    <x v="414"/>
    <s v="ITEM326-A"/>
    <n v="12"/>
  </r>
  <r>
    <s v="SALE433"/>
    <x v="415"/>
    <s v="ITEM463-A"/>
    <n v="2"/>
  </r>
  <r>
    <s v="SALE434"/>
    <x v="416"/>
    <s v="ITEM200-A"/>
    <n v="8"/>
  </r>
  <r>
    <s v="SALE435"/>
    <x v="417"/>
    <s v="ITEM337-A"/>
    <n v="5"/>
  </r>
  <r>
    <s v="SALE436"/>
    <x v="418"/>
    <s v="ITEM474-A"/>
    <n v="14"/>
  </r>
  <r>
    <s v="SALE437"/>
    <x v="10"/>
    <s v="ITEM211-A"/>
    <n v="3"/>
  </r>
  <r>
    <s v="SALE438"/>
    <x v="419"/>
    <s v="ITEM348-A"/>
    <n v="11"/>
  </r>
  <r>
    <s v="SALE439"/>
    <x v="420"/>
    <s v="ITEM485-A"/>
    <n v="7"/>
  </r>
  <r>
    <s v="SALE440"/>
    <x v="421"/>
    <s v="ITEM162-A"/>
    <n v="1"/>
  </r>
  <r>
    <s v="SALE441"/>
    <x v="422"/>
    <s v="ITEM299-A"/>
    <n v="10"/>
  </r>
  <r>
    <s v="SALE442"/>
    <x v="423"/>
    <s v="ITEM436-A"/>
    <n v="6"/>
  </r>
  <r>
    <s v="SALE443"/>
    <x v="424"/>
    <s v="ITEM573-A"/>
    <n v="12"/>
  </r>
  <r>
    <s v="SALE444"/>
    <x v="425"/>
    <s v="ITEM230-A"/>
    <n v="4"/>
  </r>
  <r>
    <s v="SALE445"/>
    <x v="426"/>
    <s v="ITEM367-A"/>
    <n v="9"/>
  </r>
  <r>
    <s v="SALE446"/>
    <x v="427"/>
    <s v="ITEM504-A"/>
    <n v="2"/>
  </r>
  <r>
    <s v="SALE447"/>
    <x v="428"/>
    <s v="ITEM141-A"/>
    <n v="13"/>
  </r>
  <r>
    <s v="SALE448"/>
    <x v="429"/>
    <s v="ITEM278-A"/>
    <n v="5"/>
  </r>
  <r>
    <s v="SALE449"/>
    <x v="2"/>
    <s v="ITEM415-A"/>
    <n v="8"/>
  </r>
  <r>
    <s v="SALE450"/>
    <x v="430"/>
    <s v="ITEM552-A"/>
    <n v="1"/>
  </r>
  <r>
    <s v="SALE451"/>
    <x v="11"/>
    <s v="ITEM189-A"/>
    <n v="11"/>
  </r>
  <r>
    <s v="SALE452"/>
    <x v="431"/>
    <s v="ITEM326-A"/>
    <n v="7"/>
  </r>
  <r>
    <s v="SALE453"/>
    <x v="432"/>
    <s v="ITEM463-A"/>
    <n v="14"/>
  </r>
  <r>
    <s v="SALE454"/>
    <x v="30"/>
    <s v="ITEM200-A"/>
    <n v="3"/>
  </r>
  <r>
    <s v="SALE455"/>
    <x v="433"/>
    <s v="ITEM337-A"/>
    <n v="10"/>
  </r>
  <r>
    <s v="SALE456"/>
    <x v="434"/>
    <s v="ITEM474-A"/>
    <n v="6"/>
  </r>
  <r>
    <s v="SALE457"/>
    <x v="435"/>
    <s v="ITEM211-A"/>
    <n v="12"/>
  </r>
  <r>
    <s v="SALE458"/>
    <x v="436"/>
    <s v="ITEM348-A"/>
    <n v="4"/>
  </r>
  <r>
    <s v="SALE459"/>
    <x v="437"/>
    <s v="ITEM485-A"/>
    <n v="9"/>
  </r>
  <r>
    <s v="SALE460"/>
    <x v="438"/>
    <s v="ITEM162-A"/>
    <n v="2"/>
  </r>
  <r>
    <s v="SALE461"/>
    <x v="439"/>
    <s v="ITEM299-A"/>
    <n v="13"/>
  </r>
  <r>
    <s v="SALE462"/>
    <x v="440"/>
    <s v="ITEM436-A"/>
    <n v="5"/>
  </r>
  <r>
    <s v="SALE463"/>
    <x v="441"/>
    <s v="ITEM573-A"/>
    <n v="8"/>
  </r>
  <r>
    <s v="SALE464"/>
    <x v="442"/>
    <s v="ITEM230-A"/>
    <n v="1"/>
  </r>
  <r>
    <s v="SALE465"/>
    <x v="443"/>
    <s v="ITEM367-A"/>
    <n v="11"/>
  </r>
  <r>
    <s v="SALE466"/>
    <x v="249"/>
    <s v="ITEM504-A"/>
    <n v="7"/>
  </r>
  <r>
    <s v="SALE467"/>
    <x v="444"/>
    <s v="ITEM141-A"/>
    <n v="3"/>
  </r>
  <r>
    <s v="SALE468"/>
    <x v="445"/>
    <s v="ITEM278-A"/>
    <n v="10"/>
  </r>
  <r>
    <s v="SALE469"/>
    <x v="446"/>
    <s v="ITEM415-A"/>
    <n v="6"/>
  </r>
  <r>
    <s v="SALE470"/>
    <x v="447"/>
    <s v="ITEM552-A"/>
    <n v="12"/>
  </r>
  <r>
    <s v="SALE471"/>
    <x v="168"/>
    <s v="ITEM189-A"/>
    <n v="4"/>
  </r>
  <r>
    <s v="SALE472"/>
    <x v="448"/>
    <s v="ITEM326-A"/>
    <n v="9"/>
  </r>
  <r>
    <s v="SALE473"/>
    <x v="27"/>
    <s v="ITEM463-A"/>
    <n v="2"/>
  </r>
  <r>
    <s v="SALE474"/>
    <x v="449"/>
    <s v="ITEM200-A"/>
    <n v="14"/>
  </r>
  <r>
    <s v="SALE475"/>
    <x v="450"/>
    <s v="ITEM337-A"/>
    <n v="5"/>
  </r>
  <r>
    <s v="SALE476"/>
    <x v="451"/>
    <s v="ITEM474-A"/>
    <n v="8"/>
  </r>
  <r>
    <s v="SALE477"/>
    <x v="452"/>
    <s v="ITEM211-A"/>
    <n v="1"/>
  </r>
  <r>
    <s v="SALE478"/>
    <x v="104"/>
    <s v="ITEM348-A"/>
    <n v="11"/>
  </r>
  <r>
    <s v="SALE479"/>
    <x v="453"/>
    <s v="ITEM485-A"/>
    <n v="7"/>
  </r>
  <r>
    <s v="SALE480"/>
    <x v="454"/>
    <s v="ITEM162-A"/>
    <n v="3"/>
  </r>
  <r>
    <s v="SALE481"/>
    <x v="455"/>
    <s v="ITEM299-A"/>
    <n v="10"/>
  </r>
  <r>
    <s v="SALE482"/>
    <x v="456"/>
    <s v="ITEM436-A"/>
    <n v="6"/>
  </r>
  <r>
    <s v="SALE483"/>
    <x v="457"/>
    <s v="ITEM573-A"/>
    <n v="12"/>
  </r>
  <r>
    <s v="SALE484"/>
    <x v="458"/>
    <s v="ITEM230-A"/>
    <n v="4"/>
  </r>
  <r>
    <s v="SALE485"/>
    <x v="459"/>
    <s v="ITEM367-A"/>
    <n v="9"/>
  </r>
  <r>
    <s v="SALE486"/>
    <x v="14"/>
    <s v="ITEM504-A"/>
    <n v="2"/>
  </r>
  <r>
    <s v="SALE487"/>
    <x v="460"/>
    <s v="ITEM141-A"/>
    <n v="13"/>
  </r>
  <r>
    <s v="SALE488"/>
    <x v="114"/>
    <s v="ITEM278-A"/>
    <n v="5"/>
  </r>
  <r>
    <s v="SALE489"/>
    <x v="461"/>
    <s v="ITEM415-A"/>
    <n v="8"/>
  </r>
  <r>
    <s v="SALE490"/>
    <x v="462"/>
    <s v="ITEM552-A"/>
    <n v="1"/>
  </r>
  <r>
    <s v="SALE491"/>
    <x v="463"/>
    <s v="ITEM189-A"/>
    <n v="11"/>
  </r>
  <r>
    <s v="SALE492"/>
    <x v="464"/>
    <s v="ITEM326-A"/>
    <n v="7"/>
  </r>
  <r>
    <s v="SALE493"/>
    <x v="465"/>
    <s v="ITEM463-A"/>
    <n v="14"/>
  </r>
  <r>
    <s v="SALE494"/>
    <x v="466"/>
    <s v="ITEM200-A"/>
    <n v="3"/>
  </r>
  <r>
    <s v="SALE495"/>
    <x v="19"/>
    <s v="ITEM337-A"/>
    <n v="10"/>
  </r>
  <r>
    <s v="SALE496"/>
    <x v="467"/>
    <s v="ITEM474-A"/>
    <n v="6"/>
  </r>
  <r>
    <s v="SALE497"/>
    <x v="468"/>
    <s v="ITEM211-A"/>
    <n v="12"/>
  </r>
  <r>
    <s v="SALE498"/>
    <x v="469"/>
    <s v="ITEM348-A"/>
    <n v="4"/>
  </r>
  <r>
    <s v="SALE499"/>
    <x v="470"/>
    <s v="ITEM485-A"/>
    <n v="9"/>
  </r>
  <r>
    <s v="SALE500"/>
    <x v="471"/>
    <s v="ITEM162-A"/>
    <n v="2"/>
  </r>
  <r>
    <s v="SALE501"/>
    <x v="472"/>
    <s v="ITEM299-A"/>
    <n v="13"/>
  </r>
  <r>
    <s v="SALE502"/>
    <x v="473"/>
    <s v="ITEM436-A"/>
    <n v="5"/>
  </r>
  <r>
    <s v="SALE503"/>
    <x v="474"/>
    <s v="ITEM573-A"/>
    <n v="8"/>
  </r>
  <r>
    <s v="SALE504"/>
    <x v="52"/>
    <s v="ITEM230-A"/>
    <n v="1"/>
  </r>
  <r>
    <s v="SALE505"/>
    <x v="13"/>
    <s v="ITEM367-A"/>
    <n v="11"/>
  </r>
  <r>
    <s v="SALE506"/>
    <x v="475"/>
    <s v="ITEM504-A"/>
    <n v="7"/>
  </r>
  <r>
    <s v="SALE507"/>
    <x v="476"/>
    <s v="ITEM141-A"/>
    <n v="3"/>
  </r>
  <r>
    <s v="SALE508"/>
    <x v="477"/>
    <s v="ITEM278-A"/>
    <n v="10"/>
  </r>
  <r>
    <s v="SALE509"/>
    <x v="478"/>
    <s v="ITEM415-A"/>
    <n v="6"/>
  </r>
  <r>
    <s v="SALE510"/>
    <x v="479"/>
    <s v="ITEM552-A"/>
    <n v="12"/>
  </r>
  <r>
    <s v="SALE511"/>
    <x v="480"/>
    <s v="ITEM189-A"/>
    <n v="4"/>
  </r>
  <r>
    <s v="SALE512"/>
    <x v="481"/>
    <s v="ITEM326-A"/>
    <n v="9"/>
  </r>
  <r>
    <s v="SALE513"/>
    <x v="214"/>
    <s v="ITEM463-A"/>
    <n v="2"/>
  </r>
  <r>
    <s v="SALE514"/>
    <x v="482"/>
    <s v="ITEM200-A"/>
    <n v="14"/>
  </r>
  <r>
    <s v="SALE515"/>
    <x v="483"/>
    <s v="ITEM337-A"/>
    <n v="5"/>
  </r>
  <r>
    <s v="SALE516"/>
    <x v="18"/>
    <s v="ITEM474-A"/>
    <n v="8"/>
  </r>
  <r>
    <s v="SALE517"/>
    <x v="484"/>
    <s v="ITEM211-A"/>
    <n v="1"/>
  </r>
  <r>
    <s v="SALE518"/>
    <x v="1"/>
    <s v="ITEM348-A"/>
    <n v="11"/>
  </r>
  <r>
    <s v="SALE519"/>
    <x v="485"/>
    <s v="ITEM485-A"/>
    <n v="7"/>
  </r>
  <r>
    <s v="SALE520"/>
    <x v="486"/>
    <s v="ITEM162-A"/>
    <n v="3"/>
  </r>
  <r>
    <s v="SALE521"/>
    <x v="487"/>
    <s v="ITEM299-A"/>
    <n v="10"/>
  </r>
  <r>
    <s v="SALE522"/>
    <x v="488"/>
    <s v="ITEM436-A"/>
    <n v="6"/>
  </r>
  <r>
    <s v="SALE523"/>
    <x v="489"/>
    <s v="ITEM573-A"/>
    <n v="12"/>
  </r>
  <r>
    <s v="SALE524"/>
    <x v="490"/>
    <s v="ITEM230-A"/>
    <n v="4"/>
  </r>
  <r>
    <s v="SALE525"/>
    <x v="491"/>
    <s v="ITEM367-A"/>
    <n v="9"/>
  </r>
  <r>
    <s v="SALE526"/>
    <x v="492"/>
    <s v="ITEM504-A"/>
    <n v="2"/>
  </r>
  <r>
    <s v="SALE527"/>
    <x v="493"/>
    <s v="ITEM141-A"/>
    <n v="13"/>
  </r>
  <r>
    <s v="SALE528"/>
    <x v="277"/>
    <s v="ITEM278-A"/>
    <n v="5"/>
  </r>
  <r>
    <s v="SALE529"/>
    <x v="63"/>
    <s v="ITEM415-A"/>
    <n v="8"/>
  </r>
  <r>
    <s v="SALE530"/>
    <x v="494"/>
    <s v="ITEM552-A"/>
    <n v="1"/>
  </r>
  <r>
    <s v="SALE531"/>
    <x v="75"/>
    <s v="ITEM189-A"/>
    <n v="11"/>
  </r>
  <r>
    <s v="SALE532"/>
    <x v="495"/>
    <s v="ITEM326-A"/>
    <n v="7"/>
  </r>
  <r>
    <s v="SALE533"/>
    <x v="15"/>
    <s v="ITEM463-A"/>
    <n v="14"/>
  </r>
  <r>
    <s v="SALE534"/>
    <x v="496"/>
    <s v="ITEM200-A"/>
    <n v="3"/>
  </r>
  <r>
    <s v="SALE535"/>
    <x v="222"/>
    <s v="ITEM337-A"/>
    <n v="10"/>
  </r>
  <r>
    <s v="SALE536"/>
    <x v="497"/>
    <s v="ITEM474-A"/>
    <n v="6"/>
  </r>
  <r>
    <s v="SALE537"/>
    <x v="172"/>
    <s v="ITEM211-A"/>
    <n v="12"/>
  </r>
  <r>
    <s v="SALE538"/>
    <x v="26"/>
    <s v="ITEM348-A"/>
    <n v="4"/>
  </r>
  <r>
    <s v="SALE539"/>
    <x v="498"/>
    <s v="ITEM485-A"/>
    <n v="9"/>
  </r>
  <r>
    <s v="SALE540"/>
    <x v="499"/>
    <s v="ITEM162-A"/>
    <n v="2"/>
  </r>
  <r>
    <s v="SALE541"/>
    <x v="500"/>
    <s v="ITEM299-A"/>
    <n v="13"/>
  </r>
  <r>
    <s v="SALE542"/>
    <x v="8"/>
    <s v="ITEM436-A"/>
    <n v="5"/>
  </r>
  <r>
    <s v="SALE543"/>
    <x v="501"/>
    <s v="ITEM573-A"/>
    <n v="8"/>
  </r>
  <r>
    <s v="SALE544"/>
    <x v="502"/>
    <s v="ITEM230-A"/>
    <n v="1"/>
  </r>
  <r>
    <s v="SALE545"/>
    <x v="503"/>
    <s v="ITEM367-A"/>
    <n v="11"/>
  </r>
  <r>
    <s v="SALE546"/>
    <x v="504"/>
    <s v="ITEM504-A"/>
    <n v="7"/>
  </r>
  <r>
    <s v="SALE547"/>
    <x v="505"/>
    <s v="ITEM141-A"/>
    <n v="3"/>
  </r>
  <r>
    <s v="SALE548"/>
    <x v="506"/>
    <s v="ITEM278-A"/>
    <n v="10"/>
  </r>
  <r>
    <s v="SALE549"/>
    <x v="29"/>
    <s v="ITEM415-A"/>
    <n v="6"/>
  </r>
  <r>
    <s v="SALE550"/>
    <x v="98"/>
    <s v="ITEM552-A"/>
    <n v="12"/>
  </r>
  <r>
    <s v="SALE551"/>
    <x v="507"/>
    <s v="ITEM189-A"/>
    <n v="4"/>
  </r>
  <r>
    <s v="SALE552"/>
    <x v="508"/>
    <s v="ITEM326-A"/>
    <n v="9"/>
  </r>
  <r>
    <s v="SALE553"/>
    <x v="509"/>
    <s v="ITEM463-A"/>
    <n v="2"/>
  </r>
  <r>
    <s v="SALE554"/>
    <x v="163"/>
    <s v="ITEM200-A"/>
    <n v="14"/>
  </r>
  <r>
    <s v="SALE555"/>
    <x v="510"/>
    <s v="ITEM337-A"/>
    <n v="5"/>
  </r>
  <r>
    <s v="SALE556"/>
    <x v="24"/>
    <s v="ITEM474-A"/>
    <n v="8"/>
  </r>
  <r>
    <s v="SALE557"/>
    <x v="264"/>
    <s v="ITEM211-A"/>
    <n v="1"/>
  </r>
  <r>
    <s v="SALE558"/>
    <x v="511"/>
    <s v="ITEM348-A"/>
    <n v="11"/>
  </r>
  <r>
    <s v="SALE559"/>
    <x v="512"/>
    <s v="ITEM485-A"/>
    <n v="7"/>
  </r>
  <r>
    <s v="SALE560"/>
    <x v="513"/>
    <s v="ITEM162-A"/>
    <n v="3"/>
  </r>
  <r>
    <s v="SALE561"/>
    <x v="514"/>
    <s v="ITEM299-A"/>
    <n v="10"/>
  </r>
  <r>
    <s v="SALE562"/>
    <x v="515"/>
    <s v="ITEM436-A"/>
    <n v="6"/>
  </r>
  <r>
    <s v="SALE563"/>
    <x v="516"/>
    <s v="ITEM573-A"/>
    <n v="12"/>
  </r>
  <r>
    <s v="SALE564"/>
    <x v="517"/>
    <s v="ITEM230-A"/>
    <n v="4"/>
  </r>
  <r>
    <s v="SALE565"/>
    <x v="518"/>
    <s v="ITEM367-A"/>
    <n v="9"/>
  </r>
  <r>
    <s v="SALE566"/>
    <x v="519"/>
    <s v="ITEM504-A"/>
    <n v="2"/>
  </r>
  <r>
    <s v="SALE567"/>
    <x v="520"/>
    <s v="ITEM141-A"/>
    <n v="13"/>
  </r>
  <r>
    <s v="SALE568"/>
    <x v="521"/>
    <s v="ITEM278-A"/>
    <n v="5"/>
  </r>
  <r>
    <s v="SALE569"/>
    <x v="522"/>
    <s v="ITEM415-A"/>
    <n v="8"/>
  </r>
  <r>
    <s v="SALE570"/>
    <x v="523"/>
    <s v="ITEM552-A"/>
    <n v="1"/>
  </r>
  <r>
    <s v="SALE571"/>
    <x v="524"/>
    <s v="ITEM189-A"/>
    <n v="11"/>
  </r>
  <r>
    <s v="SALE572"/>
    <x v="525"/>
    <s v="ITEM326-A"/>
    <n v="7"/>
  </r>
  <r>
    <s v="SALE573"/>
    <x v="526"/>
    <s v="ITEM463-A"/>
    <n v="14"/>
  </r>
  <r>
    <s v="SALE574"/>
    <x v="527"/>
    <s v="ITEM200-A"/>
    <n v="3"/>
  </r>
  <r>
    <s v="SALE575"/>
    <x v="528"/>
    <s v="ITEM337-A"/>
    <n v="10"/>
  </r>
  <r>
    <s v="SALE576"/>
    <x v="529"/>
    <s v="ITEM474-A"/>
    <n v="6"/>
  </r>
  <r>
    <s v="SALE577"/>
    <x v="146"/>
    <s v="ITEM211-A"/>
    <n v="12"/>
  </r>
  <r>
    <s v="SALE578"/>
    <x v="530"/>
    <s v="ITEM348-A"/>
    <n v="4"/>
  </r>
  <r>
    <s v="SALE579"/>
    <x v="531"/>
    <s v="ITEM485-A"/>
    <n v="9"/>
  </r>
  <r>
    <s v="SALE580"/>
    <x v="532"/>
    <s v="ITEM162-A"/>
    <n v="2"/>
  </r>
  <r>
    <s v="SALE581"/>
    <x v="533"/>
    <s v="ITEM299-A"/>
    <n v="13"/>
  </r>
  <r>
    <s v="SALE582"/>
    <x v="534"/>
    <s v="ITEM436-A"/>
    <n v="5"/>
  </r>
  <r>
    <s v="SALE583"/>
    <x v="152"/>
    <s v="ITEM573-A"/>
    <n v="8"/>
  </r>
  <r>
    <s v="SALE584"/>
    <x v="535"/>
    <s v="ITEM230-A"/>
    <n v="1"/>
  </r>
  <r>
    <s v="SALE585"/>
    <x v="536"/>
    <s v="ITEM367-A"/>
    <n v="11"/>
  </r>
  <r>
    <s v="SALE586"/>
    <x v="537"/>
    <s v="ITEM504-A"/>
    <n v="7"/>
  </r>
  <r>
    <s v="SALE587"/>
    <x v="538"/>
    <s v="ITEM141-A"/>
    <n v="3"/>
  </r>
  <r>
    <s v="SALE588"/>
    <x v="539"/>
    <s v="ITEM278-A"/>
    <n v="10"/>
  </r>
  <r>
    <s v="SALE589"/>
    <x v="540"/>
    <s v="ITEM415-A"/>
    <n v="6"/>
  </r>
  <r>
    <s v="SALE590"/>
    <x v="541"/>
    <s v="ITEM552-A"/>
    <n v="12"/>
  </r>
  <r>
    <s v="SALE591"/>
    <x v="542"/>
    <s v="ITEM189-A"/>
    <n v="4"/>
  </r>
  <r>
    <s v="SALE592"/>
    <x v="543"/>
    <s v="ITEM326-A"/>
    <n v="9"/>
  </r>
  <r>
    <s v="SALE593"/>
    <x v="5"/>
    <s v="ITEM463-A"/>
    <n v="2"/>
  </r>
  <r>
    <s v="SALE594"/>
    <x v="544"/>
    <s v="ITEM200-A"/>
    <n v="14"/>
  </r>
  <r>
    <s v="SALE595"/>
    <x v="545"/>
    <s v="ITEM337-A"/>
    <n v="5"/>
  </r>
  <r>
    <s v="SALE596"/>
    <x v="310"/>
    <s v="ITEM474-A"/>
    <n v="8"/>
  </r>
  <r>
    <s v="SALE597"/>
    <x v="71"/>
    <s v="ITEM211-A"/>
    <n v="1"/>
  </r>
  <r>
    <s v="SALE598"/>
    <x v="546"/>
    <s v="ITEM348-A"/>
    <n v="11"/>
  </r>
  <r>
    <s v="SALE599"/>
    <x v="547"/>
    <s v="ITEM485-A"/>
    <n v="7"/>
  </r>
  <r>
    <s v="SALE600"/>
    <x v="548"/>
    <s v="ITEM162-A"/>
    <n v="3"/>
  </r>
  <r>
    <s v="SALE601"/>
    <x v="549"/>
    <s v="ITEM299-A"/>
    <n v="10"/>
  </r>
  <r>
    <s v="SALE602"/>
    <x v="413"/>
    <s v="ITEM001-A"/>
    <n v="300"/>
  </r>
  <r>
    <s v="SALE603"/>
    <x v="413"/>
    <s v="ITEM002-A"/>
    <n v="100"/>
  </r>
  <r>
    <s v="SALE604"/>
    <x v="226"/>
    <s v="ITEM003-A"/>
    <n v="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ITEM001-A"/>
    <x v="0"/>
    <x v="0"/>
    <x v="0"/>
    <n v="1186.19"/>
    <s v="1600.45"/>
    <x v="0"/>
    <n v="540"/>
    <n v="400"/>
    <n v="3"/>
    <n v="143"/>
    <s v="OK"/>
    <n v="169625.17"/>
    <n v="640180"/>
    <d v="2025-08-22T00:00:00"/>
    <n v="159"/>
    <s v="OK BUT BE CHECKING"/>
    <s v="ACTIVE"/>
    <n v="0"/>
  </r>
  <r>
    <s v="ITEM002-A"/>
    <x v="1"/>
    <x v="1"/>
    <x v="1"/>
    <n v="808.73"/>
    <s v="1190.93"/>
    <x v="1"/>
    <n v="720"/>
    <n v="100"/>
    <n v="0"/>
    <n v="620"/>
    <s v="OK"/>
    <n v="501412.60000000003"/>
    <n v="119093"/>
    <d v="2025-06-24T00:00:00"/>
    <n v="218"/>
    <s v="OK BUT BE CHECKING"/>
    <s v="ACTIVE"/>
    <n v="0"/>
  </r>
  <r>
    <s v="ITEM003-A"/>
    <x v="2"/>
    <x v="2"/>
    <x v="2"/>
    <n v="1199.96"/>
    <s v="2088.64"/>
    <x v="2"/>
    <n v="1320"/>
    <n v="100"/>
    <n v="3"/>
    <n v="1223"/>
    <s v="OK"/>
    <n v="1467551.08"/>
    <n v="208864"/>
    <d v="2025-06-25T00:00:00"/>
    <n v="217"/>
    <s v="OK BUT BE CHECKING"/>
    <s v="ACTIVE"/>
    <n v="0"/>
  </r>
  <r>
    <s v="ITEM004-A"/>
    <x v="3"/>
    <x v="0"/>
    <x v="3"/>
    <n v="9.4600000000000009"/>
    <s v="17.25"/>
    <x v="3"/>
    <n v="735"/>
    <n v="0"/>
    <n v="0"/>
    <n v="735"/>
    <s v="OK"/>
    <n v="6953.1"/>
    <n v="0"/>
    <m/>
    <s v="Never Sold"/>
    <s v="OK BUT BE CHECKING"/>
    <s v="ACTIVE"/>
    <n v="0"/>
  </r>
  <r>
    <s v="ITEM005-A"/>
    <x v="4"/>
    <x v="3"/>
    <x v="4"/>
    <n v="1844.49"/>
    <s v="3404.2"/>
    <x v="4"/>
    <n v="1215"/>
    <n v="0"/>
    <n v="0"/>
    <n v="1215"/>
    <s v="OK"/>
    <n v="2241055.35"/>
    <n v="0"/>
    <m/>
    <s v="Never Sold"/>
    <s v="OK BUT BE CHECKING"/>
    <s v="ACTIVE"/>
    <n v="0"/>
  </r>
  <r>
    <s v="ITEM006-A"/>
    <x v="5"/>
    <x v="4"/>
    <x v="4"/>
    <n v="876.82"/>
    <s v="1454.17"/>
    <x v="5"/>
    <n v="1395"/>
    <n v="0"/>
    <n v="0"/>
    <n v="1395"/>
    <s v="OK"/>
    <n v="1223163.9000000001"/>
    <n v="0"/>
    <m/>
    <s v="Never Sold"/>
    <s v="OK BUT BE CHECKING"/>
    <s v="ACTIVE"/>
    <n v="0"/>
  </r>
  <r>
    <s v="ITEM007-A"/>
    <x v="6"/>
    <x v="1"/>
    <x v="5"/>
    <n v="435.21"/>
    <s v="846.51"/>
    <x v="6"/>
    <n v="780"/>
    <n v="0"/>
    <n v="2"/>
    <n v="782"/>
    <s v="OK"/>
    <n v="340334.22"/>
    <n v="0"/>
    <m/>
    <s v="Never Sold"/>
    <s v="OK BUT BE CHECKING"/>
    <s v="ACTIVE"/>
    <n v="0"/>
  </r>
  <r>
    <s v="ITEM008-A"/>
    <x v="1"/>
    <x v="1"/>
    <x v="1"/>
    <n v="839.56"/>
    <s v="1141.41"/>
    <x v="7"/>
    <n v="810"/>
    <n v="0"/>
    <n v="6"/>
    <n v="816"/>
    <s v="OK"/>
    <n v="685080.96"/>
    <n v="0"/>
    <m/>
    <s v="Never Sold"/>
    <s v="OK BUT BE CHECKING"/>
    <s v="ACTIVE"/>
    <n v="0"/>
  </r>
  <r>
    <s v="ITEM009-A"/>
    <x v="7"/>
    <x v="5"/>
    <x v="1"/>
    <n v="494.2"/>
    <s v="865.62"/>
    <x v="8"/>
    <n v="645"/>
    <n v="0"/>
    <n v="0"/>
    <n v="645"/>
    <s v="OK"/>
    <n v="318759"/>
    <n v="0"/>
    <m/>
    <s v="Never Sold"/>
    <s v="OK BUT BE CHECKING"/>
    <s v="ACTIVE"/>
    <n v="0"/>
  </r>
  <r>
    <s v="ITEM010-A"/>
    <x v="8"/>
    <x v="5"/>
    <x v="3"/>
    <n v="197.97"/>
    <s v="277.51"/>
    <x v="9"/>
    <n v="1185"/>
    <n v="0"/>
    <n v="0"/>
    <n v="1185"/>
    <s v="OK"/>
    <n v="234594.45"/>
    <n v="0"/>
    <m/>
    <s v="Never Sold"/>
    <s v="OK BUT BE CHECKING"/>
    <s v="ACTIVE"/>
    <n v="0"/>
  </r>
  <r>
    <s v="ITEM011-A"/>
    <x v="9"/>
    <x v="6"/>
    <x v="6"/>
    <n v="622.51"/>
    <s v="852.41"/>
    <x v="10"/>
    <n v="960"/>
    <n v="0"/>
    <n v="0"/>
    <n v="960"/>
    <s v="OK"/>
    <n v="597609.6"/>
    <n v="0"/>
    <m/>
    <s v="Never Sold"/>
    <s v="OK BUT BE CHECKING"/>
    <s v="ACTIVE"/>
    <n v="0"/>
  </r>
  <r>
    <s v="ITEM012-A"/>
    <x v="10"/>
    <x v="5"/>
    <x v="7"/>
    <n v="1245.47"/>
    <s v="1515.52"/>
    <x v="11"/>
    <n v="585"/>
    <n v="0"/>
    <n v="8"/>
    <n v="593"/>
    <s v="OK"/>
    <n v="738563.71"/>
    <n v="0"/>
    <m/>
    <s v="Never Sold"/>
    <s v="OK BUT BE CHECKING"/>
    <s v="ACTIVE"/>
    <n v="0"/>
  </r>
  <r>
    <s v="ITEM013-A"/>
    <x v="11"/>
    <x v="7"/>
    <x v="5"/>
    <n v="332.17"/>
    <s v="567.28"/>
    <x v="12"/>
    <n v="1260"/>
    <n v="0"/>
    <n v="0"/>
    <n v="1260"/>
    <s v="OK"/>
    <n v="418534.2"/>
    <n v="0"/>
    <m/>
    <s v="Never Sold"/>
    <s v="OK BUT BE CHECKING"/>
    <s v="ACTIVE"/>
    <n v="0"/>
  </r>
  <r>
    <s v="ITEM014-A"/>
    <x v="0"/>
    <x v="0"/>
    <x v="6"/>
    <n v="1172.0899999999999"/>
    <s v="1796.09"/>
    <x v="13"/>
    <n v="450"/>
    <n v="0"/>
    <n v="0"/>
    <n v="450"/>
    <s v="OK"/>
    <n v="527440.5"/>
    <n v="0"/>
    <m/>
    <s v="Never Sold"/>
    <s v="OK BUT BE CHECKING"/>
    <s v="ACTIVE"/>
    <n v="0"/>
  </r>
  <r>
    <s v="ITEM015-A"/>
    <x v="12"/>
    <x v="4"/>
    <x v="2"/>
    <n v="612.21"/>
    <s v="798.2"/>
    <x v="14"/>
    <n v="1245"/>
    <n v="0"/>
    <n v="3"/>
    <n v="1248"/>
    <s v="OK"/>
    <n v="764038.08000000007"/>
    <n v="0"/>
    <m/>
    <s v="Never Sold"/>
    <s v="OK BUT BE CHECKING"/>
    <s v="ACTIVE"/>
    <n v="0"/>
  </r>
  <r>
    <s v="ITEM016-A"/>
    <x v="13"/>
    <x v="0"/>
    <x v="2"/>
    <n v="205.86"/>
    <s v="256.58"/>
    <x v="15"/>
    <n v="825"/>
    <n v="0"/>
    <n v="29"/>
    <n v="854"/>
    <s v="OK"/>
    <n v="175804.44"/>
    <n v="0"/>
    <m/>
    <s v="Never Sold"/>
    <s v="OK BUT BE CHECKING"/>
    <s v="ACTIVE"/>
    <n v="0"/>
  </r>
  <r>
    <s v="ITEM017-A"/>
    <x v="1"/>
    <x v="1"/>
    <x v="8"/>
    <s v="1484.52"/>
    <s v="2666.95"/>
    <x v="16"/>
    <n v="210"/>
    <n v="0"/>
    <n v="0"/>
    <n v="210"/>
    <s v="OK"/>
    <n v="311749.2"/>
    <n v="0"/>
    <m/>
    <s v="Never Sold"/>
    <s v="OK BUT BE CHECKING"/>
    <s v="ACTIVE"/>
    <n v="0"/>
  </r>
  <r>
    <s v="ITEM018-A"/>
    <x v="14"/>
    <x v="7"/>
    <x v="3"/>
    <s v="1714.17"/>
    <s v="2046.34"/>
    <x v="17"/>
    <n v="675"/>
    <n v="0"/>
    <n v="0"/>
    <n v="675"/>
    <s v="OK"/>
    <n v="1157064.75"/>
    <n v="0"/>
    <m/>
    <s v="Never Sold"/>
    <s v="OK BUT BE CHECKING"/>
    <s v="ACTIVE"/>
    <n v="0"/>
  </r>
  <r>
    <s v="ITEM019-A"/>
    <x v="15"/>
    <x v="5"/>
    <x v="8"/>
    <s v="1773.05"/>
    <s v="3098.97"/>
    <x v="17"/>
    <n v="675"/>
    <n v="0"/>
    <n v="0"/>
    <n v="675"/>
    <s v="OK"/>
    <n v="1196808.75"/>
    <n v="0"/>
    <m/>
    <s v="Never Sold"/>
    <s v="OK BUT BE CHECKING"/>
    <s v="ACTIVE"/>
    <n v="0"/>
  </r>
  <r>
    <s v="ITEM020-A"/>
    <x v="8"/>
    <x v="5"/>
    <x v="9"/>
    <s v="577.51"/>
    <s v="1028.16"/>
    <x v="18"/>
    <n v="705"/>
    <n v="0"/>
    <n v="13"/>
    <n v="718"/>
    <s v="OK"/>
    <n v="414652.18"/>
    <n v="0"/>
    <m/>
    <s v="Never Sold"/>
    <s v="OK BUT BE CHECKING"/>
    <s v="ACTIVE"/>
    <n v="0"/>
  </r>
  <r>
    <s v="ITEM021-A"/>
    <x v="6"/>
    <x v="1"/>
    <x v="4"/>
    <s v="1448.33"/>
    <s v="2578.14"/>
    <x v="19"/>
    <n v="885"/>
    <n v="0"/>
    <n v="0"/>
    <n v="885"/>
    <s v="OK"/>
    <n v="1281772.05"/>
    <n v="0"/>
    <m/>
    <s v="Never Sold"/>
    <s v="OK BUT BE CHECKING"/>
    <s v="ACTIVE"/>
    <n v="0"/>
  </r>
  <r>
    <s v="ITEM022-A"/>
    <x v="16"/>
    <x v="6"/>
    <x v="10"/>
    <s v="737.06"/>
    <s v="844.2"/>
    <x v="20"/>
    <n v="750"/>
    <n v="0"/>
    <n v="21"/>
    <n v="771"/>
    <s v="OK"/>
    <n v="568273.26"/>
    <n v="0"/>
    <m/>
    <s v="Never Sold"/>
    <s v="OK BUT BE CHECKING"/>
    <s v="ACTIVE"/>
    <n v="0"/>
  </r>
  <r>
    <s v="ITEM023-A"/>
    <x v="13"/>
    <x v="0"/>
    <x v="5"/>
    <s v="839.54"/>
    <s v="1239.65"/>
    <x v="21"/>
    <n v="420"/>
    <n v="0"/>
    <n v="0"/>
    <n v="420"/>
    <s v="OK"/>
    <n v="352606.8"/>
    <n v="0"/>
    <m/>
    <s v="Never Sold"/>
    <s v="OK BUT BE CHECKING"/>
    <s v="ACTIVE"/>
    <n v="0"/>
  </r>
  <r>
    <s v="ITEM024-A"/>
    <x v="17"/>
    <x v="0"/>
    <x v="8"/>
    <s v="181.76"/>
    <s v="301.07"/>
    <x v="3"/>
    <n v="735"/>
    <n v="0"/>
    <n v="0"/>
    <n v="735"/>
    <s v="OK"/>
    <n v="133593.60000000001"/>
    <n v="0"/>
    <m/>
    <s v="Never Sold"/>
    <s v="OK BUT BE CHECKING"/>
    <s v="ACTIVE"/>
    <n v="0"/>
  </r>
  <r>
    <s v="ITEM025-A"/>
    <x v="7"/>
    <x v="5"/>
    <x v="9"/>
    <s v="996.3"/>
    <s v="1436.94"/>
    <x v="22"/>
    <n v="495"/>
    <n v="20"/>
    <n v="0"/>
    <n v="475"/>
    <s v="OK"/>
    <n v="473242.5"/>
    <n v="28738.800000000003"/>
    <d v="2024-02-11T00:00:00"/>
    <n v="717"/>
    <s v="OK BUT BE CHECKING"/>
    <s v="ACTIVE"/>
    <n v="0"/>
  </r>
  <r>
    <s v="ITEM026-A"/>
    <x v="18"/>
    <x v="7"/>
    <x v="3"/>
    <s v="630.68"/>
    <s v="1168.53"/>
    <x v="23"/>
    <n v="240"/>
    <n v="0"/>
    <n v="0"/>
    <n v="240"/>
    <s v="OK"/>
    <n v="151363.19999999998"/>
    <n v="0"/>
    <m/>
    <s v="Never Sold"/>
    <s v="OK BUT BE CHECKING"/>
    <s v="ACTIVE"/>
    <n v="0"/>
  </r>
  <r>
    <s v="ITEM027-A"/>
    <x v="19"/>
    <x v="2"/>
    <x v="11"/>
    <s v="1075.74"/>
    <s v="1742.62"/>
    <x v="24"/>
    <n v="225"/>
    <n v="0"/>
    <n v="0"/>
    <n v="225"/>
    <s v="OK"/>
    <n v="242041.5"/>
    <n v="0"/>
    <m/>
    <s v="Never Sold"/>
    <s v="OK BUT BE CHECKING"/>
    <s v="ACTIVE"/>
    <n v="0"/>
  </r>
  <r>
    <s v="ITEM028-A"/>
    <x v="20"/>
    <x v="7"/>
    <x v="9"/>
    <s v="1249.66"/>
    <s v="1832.34"/>
    <x v="25"/>
    <n v="300"/>
    <n v="18"/>
    <n v="20"/>
    <n v="302"/>
    <s v="OK"/>
    <n v="377397.32"/>
    <n v="32982.119999999995"/>
    <d v="2025-06-01T00:00:00"/>
    <n v="241"/>
    <s v="OK BUT BE CHECKING"/>
    <s v="ACTIVE"/>
    <n v="0"/>
  </r>
  <r>
    <s v="ITEM029-A"/>
    <x v="10"/>
    <x v="5"/>
    <x v="4"/>
    <s v="1997.37"/>
    <s v="2857.07"/>
    <x v="26"/>
    <n v="1125"/>
    <n v="0"/>
    <n v="0"/>
    <n v="1125"/>
    <s v="OK"/>
    <n v="2247041.25"/>
    <n v="0"/>
    <m/>
    <s v="Never Sold"/>
    <s v="OK BUT BE CHECKING"/>
    <s v="ACTIVE"/>
    <n v="0"/>
  </r>
  <r>
    <s v="ITEM030-A"/>
    <x v="21"/>
    <x v="6"/>
    <x v="3"/>
    <s v="1197.56"/>
    <s v="2143.3"/>
    <x v="2"/>
    <n v="1320"/>
    <n v="0"/>
    <n v="0"/>
    <n v="1320"/>
    <s v="OK"/>
    <n v="1580779.2"/>
    <n v="0"/>
    <m/>
    <s v="Never Sold"/>
    <s v="OK BUT BE CHECKING"/>
    <s v="ACTIVE"/>
    <n v="0"/>
  </r>
  <r>
    <s v="ITEM031-A"/>
    <x v="3"/>
    <x v="0"/>
    <x v="2"/>
    <s v="1807.04"/>
    <s v="3164.85"/>
    <x v="27"/>
    <n v="315"/>
    <n v="8"/>
    <n v="1"/>
    <n v="308"/>
    <s v="OK"/>
    <n v="556568.31999999995"/>
    <n v="25318.799999999999"/>
    <d v="2024-02-02T00:00:00"/>
    <n v="726"/>
    <s v="OK BUT BE CHECKING"/>
    <s v="ACTIVE"/>
    <n v="0"/>
  </r>
  <r>
    <s v="ITEM032-A"/>
    <x v="14"/>
    <x v="7"/>
    <x v="1"/>
    <s v="1782.7"/>
    <s v="2157.31"/>
    <x v="28"/>
    <n v="195"/>
    <n v="0"/>
    <n v="1"/>
    <n v="196"/>
    <s v="OK"/>
    <n v="349409.2"/>
    <n v="0"/>
    <m/>
    <s v="Never Sold"/>
    <s v="OK BUT BE CHECKING"/>
    <s v="ACTIVE"/>
    <n v="0"/>
  </r>
  <r>
    <s v="ITEM033-A"/>
    <x v="22"/>
    <x v="3"/>
    <x v="4"/>
    <s v="373.91"/>
    <s v="532.56"/>
    <x v="19"/>
    <n v="885"/>
    <n v="0"/>
    <n v="0"/>
    <n v="885"/>
    <s v="OK"/>
    <n v="330910.35000000003"/>
    <n v="0"/>
    <m/>
    <s v="Never Sold"/>
    <s v="OK BUT BE CHECKING"/>
    <s v="ACTIVE"/>
    <n v="0"/>
  </r>
  <r>
    <s v="ITEM034-A"/>
    <x v="14"/>
    <x v="7"/>
    <x v="8"/>
    <s v="553.01"/>
    <s v="625.22"/>
    <x v="29"/>
    <n v="1155"/>
    <n v="0"/>
    <n v="8"/>
    <n v="1163"/>
    <s v="OK"/>
    <n v="643150.63"/>
    <n v="0"/>
    <m/>
    <s v="Never Sold"/>
    <s v="OK BUT BE CHECKING"/>
    <s v="ACTIVE"/>
    <n v="0"/>
  </r>
  <r>
    <s v="ITEM035-A"/>
    <x v="23"/>
    <x v="4"/>
    <x v="11"/>
    <s v="1841.77"/>
    <s v="3528.41"/>
    <x v="30"/>
    <n v="1230"/>
    <n v="0"/>
    <n v="6"/>
    <n v="1236"/>
    <s v="OK"/>
    <n v="2276427.7200000002"/>
    <n v="0"/>
    <m/>
    <s v="Never Sold"/>
    <s v="OK BUT BE CHECKING"/>
    <s v="ACTIVE"/>
    <n v="0"/>
  </r>
  <r>
    <s v="ITEM036-A"/>
    <x v="22"/>
    <x v="3"/>
    <x v="0"/>
    <s v="220.13"/>
    <s v="267.32"/>
    <x v="17"/>
    <n v="675"/>
    <n v="0"/>
    <n v="0"/>
    <n v="675"/>
    <s v="OK"/>
    <n v="148587.75"/>
    <n v="0"/>
    <m/>
    <s v="Never Sold"/>
    <s v="OK BUT BE CHECKING"/>
    <s v="ACTIVE"/>
    <n v="0"/>
  </r>
  <r>
    <s v="ITEM037-A"/>
    <x v="24"/>
    <x v="3"/>
    <x v="4"/>
    <s v="1663.18"/>
    <s v="2231.44"/>
    <x v="29"/>
    <n v="1155"/>
    <n v="0"/>
    <n v="0"/>
    <n v="1155"/>
    <s v="OK"/>
    <n v="1920972.9000000001"/>
    <n v="0"/>
    <m/>
    <s v="Never Sold"/>
    <s v="OK BUT BE CHECKING"/>
    <s v="ACTIVE"/>
    <n v="0"/>
  </r>
  <r>
    <s v="ITEM038-A"/>
    <x v="17"/>
    <x v="0"/>
    <x v="3"/>
    <s v="1325.07"/>
    <s v="2396.54"/>
    <x v="18"/>
    <n v="705"/>
    <n v="6"/>
    <n v="0"/>
    <n v="699"/>
    <s v="OK"/>
    <n v="926223.92999999993"/>
    <n v="14379.24"/>
    <d v="2024-03-09T00:00:00"/>
    <n v="690"/>
    <s v="OK BUT BE CHECKING"/>
    <s v="ACTIVE"/>
    <n v="0"/>
  </r>
  <r>
    <s v="ITEM039-A"/>
    <x v="25"/>
    <x v="8"/>
    <x v="6"/>
    <s v="1828.15"/>
    <s v="2159.76"/>
    <x v="31"/>
    <n v="1425"/>
    <n v="0"/>
    <n v="0"/>
    <n v="1425"/>
    <s v="OK"/>
    <n v="2605113.75"/>
    <n v="0"/>
    <m/>
    <s v="Never Sold"/>
    <s v="OK BUT BE CHECKING"/>
    <s v="ACTIVE"/>
    <n v="0"/>
  </r>
  <r>
    <s v="ITEM040-A"/>
    <x v="25"/>
    <x v="8"/>
    <x v="6"/>
    <s v="1789.47"/>
    <s v="3100.56"/>
    <x v="12"/>
    <n v="1260"/>
    <n v="0"/>
    <n v="4"/>
    <n v="1264"/>
    <s v="OK"/>
    <n v="2261890.08"/>
    <n v="0"/>
    <m/>
    <s v="Never Sold"/>
    <s v="OK BUT BE CHECKING"/>
    <s v="ACTIVE"/>
    <n v="0"/>
  </r>
  <r>
    <s v="ITEM041-A"/>
    <x v="6"/>
    <x v="1"/>
    <x v="10"/>
    <s v="237.27"/>
    <s v="275.62"/>
    <x v="32"/>
    <n v="1275"/>
    <n v="0"/>
    <n v="21"/>
    <n v="1296"/>
    <s v="OK"/>
    <n v="307501.92000000004"/>
    <n v="0"/>
    <m/>
    <s v="Never Sold"/>
    <s v="OK BUT BE CHECKING"/>
    <s v="ACTIVE"/>
    <n v="0"/>
  </r>
  <r>
    <s v="ITEM042-A"/>
    <x v="20"/>
    <x v="7"/>
    <x v="7"/>
    <s v="52.07"/>
    <s v="76.97"/>
    <x v="18"/>
    <n v="705"/>
    <n v="0"/>
    <n v="10"/>
    <n v="715"/>
    <s v="OK"/>
    <n v="37230.050000000003"/>
    <n v="0"/>
    <m/>
    <s v="Never Sold"/>
    <s v="OK BUT BE CHECKING"/>
    <s v="ACTIVE"/>
    <n v="0"/>
  </r>
  <r>
    <s v="ITEM043-A"/>
    <x v="26"/>
    <x v="9"/>
    <x v="1"/>
    <s v="423.32"/>
    <s v="611.2"/>
    <x v="33"/>
    <n v="1065"/>
    <n v="0"/>
    <n v="8"/>
    <n v="1073"/>
    <s v="OK"/>
    <n v="454222.36"/>
    <n v="0"/>
    <m/>
    <s v="Never Sold"/>
    <s v="OK BUT BE CHECKING"/>
    <s v="ACTIVE"/>
    <n v="0"/>
  </r>
  <r>
    <s v="ITEM044-A"/>
    <x v="27"/>
    <x v="8"/>
    <x v="0"/>
    <s v="1153.06"/>
    <s v="1402.0"/>
    <x v="29"/>
    <n v="1155"/>
    <n v="0"/>
    <n v="4"/>
    <n v="1159"/>
    <s v="OK"/>
    <n v="1336396.54"/>
    <n v="0"/>
    <m/>
    <s v="Never Sold"/>
    <s v="OK BUT BE CHECKING"/>
    <s v="ACTIVE"/>
    <n v="0"/>
  </r>
  <r>
    <s v="ITEM045-A"/>
    <x v="28"/>
    <x v="2"/>
    <x v="8"/>
    <s v="422.48"/>
    <s v="786.86"/>
    <x v="34"/>
    <n v="1140"/>
    <n v="0"/>
    <n v="20"/>
    <n v="1160"/>
    <s v="OK"/>
    <n v="490076.80000000005"/>
    <n v="0"/>
    <m/>
    <s v="Never Sold"/>
    <s v="OK BUT BE CHECKING"/>
    <s v="ACTIVE"/>
    <n v="0"/>
  </r>
  <r>
    <s v="ITEM046-A"/>
    <x v="1"/>
    <x v="1"/>
    <x v="3"/>
    <s v="1063.44"/>
    <s v="1887.12"/>
    <x v="35"/>
    <n v="465"/>
    <n v="5"/>
    <n v="0"/>
    <n v="460"/>
    <s v="OK"/>
    <n v="489182.4"/>
    <n v="9435.5999999999985"/>
    <d v="2024-07-03T00:00:00"/>
    <n v="574"/>
    <s v="OK BUT BE CHECKING"/>
    <s v="ACTIVE"/>
    <n v="0"/>
  </r>
  <r>
    <s v="ITEM047-A"/>
    <x v="9"/>
    <x v="6"/>
    <x v="6"/>
    <s v="1460.91"/>
    <s v="1969.33"/>
    <x v="36"/>
    <n v="1005"/>
    <n v="0"/>
    <n v="2"/>
    <n v="1007"/>
    <s v="OK"/>
    <n v="1471136.37"/>
    <n v="0"/>
    <m/>
    <s v="Never Sold"/>
    <s v="OK BUT BE CHECKING"/>
    <s v="ACTIVE"/>
    <n v="0"/>
  </r>
  <r>
    <s v="ITEM048-A"/>
    <x v="29"/>
    <x v="2"/>
    <x v="11"/>
    <s v="608.56"/>
    <s v="1081.79"/>
    <x v="37"/>
    <n v="255"/>
    <n v="0"/>
    <n v="0"/>
    <n v="255"/>
    <s v="OK"/>
    <n v="155182.79999999999"/>
    <n v="0"/>
    <m/>
    <s v="Never Sold"/>
    <s v="OK BUT BE CHECKING"/>
    <s v="ACTIVE"/>
    <n v="0"/>
  </r>
  <r>
    <s v="ITEM049-A"/>
    <x v="6"/>
    <x v="1"/>
    <x v="6"/>
    <s v="1063.5"/>
    <s v="1564.29"/>
    <x v="7"/>
    <n v="810"/>
    <n v="0"/>
    <n v="29"/>
    <n v="839"/>
    <s v="OK"/>
    <n v="892276.5"/>
    <n v="0"/>
    <m/>
    <s v="Never Sold"/>
    <s v="OK BUT BE CHECKING"/>
    <s v="ACTIVE"/>
    <n v="0"/>
  </r>
  <r>
    <s v="ITEM050-A"/>
    <x v="21"/>
    <x v="6"/>
    <x v="0"/>
    <s v="601.09"/>
    <s v="950.25"/>
    <x v="38"/>
    <n v="990"/>
    <n v="0"/>
    <n v="0"/>
    <n v="990"/>
    <s v="OK"/>
    <n v="595079.1"/>
    <n v="0"/>
    <m/>
    <s v="Never Sold"/>
    <s v="OK BUT BE CHECKING"/>
    <s v="ACTIVE"/>
    <n v="0"/>
  </r>
  <r>
    <s v="ITEM051-A"/>
    <x v="9"/>
    <x v="6"/>
    <x v="6"/>
    <s v="1619.64"/>
    <s v="2597.35"/>
    <x v="39"/>
    <n v="945"/>
    <n v="0"/>
    <n v="16"/>
    <n v="961"/>
    <s v="OK"/>
    <n v="1556474.04"/>
    <n v="0"/>
    <m/>
    <s v="Never Sold"/>
    <s v="OK BUT BE CHECKING"/>
    <s v="ACTIVE"/>
    <n v="0"/>
  </r>
  <r>
    <s v="ITEM052-A"/>
    <x v="2"/>
    <x v="2"/>
    <x v="11"/>
    <s v="1985.84"/>
    <s v="2298.88"/>
    <x v="23"/>
    <n v="240"/>
    <n v="13"/>
    <n v="6"/>
    <n v="233"/>
    <s v="OK"/>
    <n v="462700.72"/>
    <n v="29885.440000000002"/>
    <d v="2024-03-26T00:00:00"/>
    <n v="673"/>
    <s v="OK BUT BE CHECKING"/>
    <s v="ACTIVE"/>
    <n v="0"/>
  </r>
  <r>
    <s v="ITEM053-A"/>
    <x v="3"/>
    <x v="0"/>
    <x v="7"/>
    <s v="589.26"/>
    <s v="1169.4"/>
    <x v="14"/>
    <n v="1245"/>
    <n v="0"/>
    <n v="23"/>
    <n v="1268"/>
    <s v="OK"/>
    <n v="747181.67999999993"/>
    <n v="0"/>
    <m/>
    <s v="Never Sold"/>
    <s v="OK BUT BE CHECKING"/>
    <s v="ACTIVE"/>
    <n v="0"/>
  </r>
  <r>
    <s v="ITEM054-A"/>
    <x v="30"/>
    <x v="8"/>
    <x v="9"/>
    <s v="217.34"/>
    <s v="344.64"/>
    <x v="40"/>
    <n v="840"/>
    <n v="0"/>
    <n v="11"/>
    <n v="851"/>
    <s v="OK"/>
    <n v="184956.34"/>
    <n v="0"/>
    <m/>
    <s v="Never Sold"/>
    <s v="OK BUT BE CHECKING"/>
    <s v="ACTIVE"/>
    <n v="0"/>
  </r>
  <r>
    <s v="ITEM055-A"/>
    <x v="1"/>
    <x v="1"/>
    <x v="0"/>
    <s v="378.73"/>
    <s v="731.32"/>
    <x v="41"/>
    <n v="1050"/>
    <n v="0"/>
    <n v="2"/>
    <n v="1052"/>
    <s v="OK"/>
    <n v="398423.96"/>
    <n v="0"/>
    <m/>
    <s v="Never Sold"/>
    <s v="OK BUT BE CHECKING"/>
    <s v="ACTIVE"/>
    <n v="0"/>
  </r>
  <r>
    <s v="ITEM056-A"/>
    <x v="1"/>
    <x v="1"/>
    <x v="6"/>
    <s v="749.97"/>
    <s v="1424.65"/>
    <x v="42"/>
    <n v="165"/>
    <n v="0"/>
    <n v="14"/>
    <n v="179"/>
    <s v="OK"/>
    <n v="134244.63"/>
    <n v="0"/>
    <m/>
    <s v="Never Sold"/>
    <s v="OK BUT BE CHECKING"/>
    <s v="ACTIVE"/>
    <n v="0"/>
  </r>
  <r>
    <s v="ITEM057-A"/>
    <x v="24"/>
    <x v="3"/>
    <x v="9"/>
    <s v="1581.53"/>
    <s v="2927.58"/>
    <x v="43"/>
    <n v="1410"/>
    <n v="0"/>
    <n v="1"/>
    <n v="1411"/>
    <s v="OK"/>
    <n v="2231538.83"/>
    <n v="0"/>
    <m/>
    <s v="Never Sold"/>
    <s v="OK BUT BE CHECKING"/>
    <s v="ACTIVE"/>
    <n v="0"/>
  </r>
  <r>
    <s v="ITEM058-A"/>
    <x v="31"/>
    <x v="7"/>
    <x v="1"/>
    <s v="260.34"/>
    <s v="289.51"/>
    <x v="0"/>
    <n v="540"/>
    <n v="0"/>
    <n v="2"/>
    <n v="542"/>
    <s v="OK"/>
    <n v="141104.28"/>
    <n v="0"/>
    <m/>
    <s v="Never Sold"/>
    <s v="OK BUT BE CHECKING"/>
    <s v="ACTIVE"/>
    <n v="0"/>
  </r>
  <r>
    <s v="ITEM059-A"/>
    <x v="10"/>
    <x v="5"/>
    <x v="0"/>
    <s v="333.48"/>
    <s v="664.57"/>
    <x v="44"/>
    <n v="360"/>
    <n v="3"/>
    <n v="0"/>
    <n v="357"/>
    <s v="OK"/>
    <n v="119052.36"/>
    <n v="1993.71"/>
    <d v="2024-02-07T00:00:00"/>
    <n v="721"/>
    <s v="OK BUT BE CHECKING"/>
    <s v="ACTIVE"/>
    <n v="0"/>
  </r>
  <r>
    <s v="ITEM060-A"/>
    <x v="30"/>
    <x v="8"/>
    <x v="7"/>
    <s v="1808.2"/>
    <s v="3225.72"/>
    <x v="9"/>
    <n v="1185"/>
    <n v="0"/>
    <n v="6"/>
    <n v="1191"/>
    <s v="OK"/>
    <n v="2153566.2000000002"/>
    <n v="0"/>
    <m/>
    <s v="Never Sold"/>
    <s v="OK BUT BE CHECKING"/>
    <s v="ACTIVE"/>
    <n v="0"/>
  </r>
  <r>
    <s v="ITEM061-A"/>
    <x v="2"/>
    <x v="2"/>
    <x v="3"/>
    <s v="1757.54"/>
    <s v="3028.11"/>
    <x v="45"/>
    <n v="1470"/>
    <n v="0"/>
    <n v="4"/>
    <n v="1474"/>
    <s v="OK"/>
    <n v="2590613.96"/>
    <n v="0"/>
    <m/>
    <s v="Never Sold"/>
    <s v="OK BUT BE CHECKING"/>
    <s v="ACTIVE"/>
    <n v="0"/>
  </r>
  <r>
    <s v="ITEM062-A"/>
    <x v="32"/>
    <x v="3"/>
    <x v="9"/>
    <s v="818.08"/>
    <s v="1244.03"/>
    <x v="46"/>
    <n v="150"/>
    <n v="2"/>
    <n v="14"/>
    <n v="162"/>
    <s v="OK"/>
    <n v="132528.96000000002"/>
    <n v="2488.06"/>
    <d v="2025-07-08T00:00:00"/>
    <n v="204"/>
    <s v="OK BUT BE CHECKING"/>
    <s v="ACTIVE"/>
    <n v="0"/>
  </r>
  <r>
    <s v="ITEM063-A"/>
    <x v="6"/>
    <x v="1"/>
    <x v="7"/>
    <s v="1096.42"/>
    <s v="1631.52"/>
    <x v="6"/>
    <n v="780"/>
    <n v="0"/>
    <n v="10"/>
    <n v="790"/>
    <s v="OK"/>
    <n v="866171.8"/>
    <n v="0"/>
    <m/>
    <s v="Never Sold"/>
    <s v="OK BUT BE CHECKING"/>
    <s v="ACTIVE"/>
    <n v="0"/>
  </r>
  <r>
    <s v="ITEM064-A"/>
    <x v="16"/>
    <x v="6"/>
    <x v="7"/>
    <s v="275.74"/>
    <s v="519.42"/>
    <x v="47"/>
    <n v="1440"/>
    <n v="0"/>
    <n v="0"/>
    <n v="1440"/>
    <s v="OK"/>
    <n v="397065.60000000003"/>
    <n v="0"/>
    <m/>
    <s v="Never Sold"/>
    <s v="OK BUT BE CHECKING"/>
    <s v="ACTIVE"/>
    <n v="0"/>
  </r>
  <r>
    <s v="ITEM065-A"/>
    <x v="33"/>
    <x v="7"/>
    <x v="1"/>
    <s v="953.43"/>
    <s v="1646.19"/>
    <x v="48"/>
    <n v="690"/>
    <n v="0"/>
    <n v="7"/>
    <n v="697"/>
    <s v="OK"/>
    <n v="664540.71"/>
    <n v="0"/>
    <m/>
    <s v="Never Sold"/>
    <s v="OK BUT BE CHECKING"/>
    <s v="ACTIVE"/>
    <n v="0"/>
  </r>
  <r>
    <s v="ITEM066-A"/>
    <x v="1"/>
    <x v="1"/>
    <x v="3"/>
    <s v="1131.74"/>
    <s v="1549.72"/>
    <x v="38"/>
    <n v="990"/>
    <n v="0"/>
    <n v="12"/>
    <n v="1002"/>
    <s v="OK"/>
    <n v="1134003.48"/>
    <n v="0"/>
    <m/>
    <s v="Never Sold"/>
    <s v="OK BUT BE CHECKING"/>
    <s v="ACTIVE"/>
    <n v="0"/>
  </r>
  <r>
    <s v="ITEM067-A"/>
    <x v="34"/>
    <x v="8"/>
    <x v="1"/>
    <s v="1280.05"/>
    <s v="1966.77"/>
    <x v="45"/>
    <n v="1470"/>
    <n v="12"/>
    <n v="0"/>
    <n v="1458"/>
    <s v="OK"/>
    <n v="1866312.9"/>
    <n v="23601.239999999998"/>
    <d v="2025-07-24T00:00:00"/>
    <n v="188"/>
    <s v="OK BUT BE CHECKING"/>
    <s v="ACTIVE"/>
    <n v="0"/>
  </r>
  <r>
    <s v="ITEM068-A"/>
    <x v="0"/>
    <x v="0"/>
    <x v="3"/>
    <s v="377.47"/>
    <s v="550.11"/>
    <x v="49"/>
    <n v="1350"/>
    <n v="0"/>
    <n v="0"/>
    <n v="1350"/>
    <s v="OK"/>
    <n v="509584.50000000006"/>
    <n v="0"/>
    <m/>
    <s v="Never Sold"/>
    <s v="OK BUT BE CHECKING"/>
    <s v="ACTIVE"/>
    <n v="0"/>
  </r>
  <r>
    <s v="ITEM069-A"/>
    <x v="35"/>
    <x v="0"/>
    <x v="4"/>
    <s v="1914.82"/>
    <s v="3155.84"/>
    <x v="50"/>
    <n v="855"/>
    <n v="0"/>
    <n v="0"/>
    <n v="855"/>
    <s v="OK"/>
    <n v="1637171.0999999999"/>
    <n v="0"/>
    <m/>
    <s v="Never Sold"/>
    <s v="OK BUT BE CHECKING"/>
    <s v="ACTIVE"/>
    <n v="0"/>
  </r>
  <r>
    <s v="ITEM070-A"/>
    <x v="6"/>
    <x v="1"/>
    <x v="8"/>
    <s v="76.51"/>
    <s v="132.36"/>
    <x v="6"/>
    <n v="780"/>
    <n v="0"/>
    <n v="8"/>
    <n v="788"/>
    <s v="OK"/>
    <n v="60289.880000000005"/>
    <n v="0"/>
    <m/>
    <s v="Never Sold"/>
    <s v="OK BUT BE CHECKING"/>
    <s v="ACTIVE"/>
    <n v="0"/>
  </r>
  <r>
    <s v="ITEM071-A"/>
    <x v="22"/>
    <x v="3"/>
    <x v="6"/>
    <s v="1404.1"/>
    <s v="1975.06"/>
    <x v="51"/>
    <n v="765"/>
    <n v="0"/>
    <n v="27"/>
    <n v="792"/>
    <s v="OK"/>
    <n v="1112047.2"/>
    <n v="0"/>
    <m/>
    <s v="Never Sold"/>
    <s v="OK BUT BE CHECKING"/>
    <s v="ACTIVE"/>
    <n v="0"/>
  </r>
  <r>
    <s v="ITEM072-A"/>
    <x v="22"/>
    <x v="3"/>
    <x v="4"/>
    <s v="1081.9"/>
    <s v="1550.63"/>
    <x v="52"/>
    <n v="975"/>
    <n v="0"/>
    <n v="24"/>
    <n v="999"/>
    <s v="OK"/>
    <n v="1080818.1000000001"/>
    <n v="0"/>
    <m/>
    <s v="Never Sold"/>
    <s v="OK BUT BE CHECKING"/>
    <s v="ACTIVE"/>
    <n v="0"/>
  </r>
  <r>
    <s v="ITEM073-A"/>
    <x v="36"/>
    <x v="4"/>
    <x v="5"/>
    <s v="1835.6"/>
    <s v="2686.88"/>
    <x v="18"/>
    <n v="705"/>
    <n v="14"/>
    <n v="8"/>
    <n v="699"/>
    <s v="OK"/>
    <n v="1283084.3999999999"/>
    <n v="37616.32"/>
    <d v="2024-04-27T00:00:00"/>
    <n v="641"/>
    <s v="OK BUT BE CHECKING"/>
    <s v="ACTIVE"/>
    <n v="0"/>
  </r>
  <r>
    <s v="ITEM074-A"/>
    <x v="35"/>
    <x v="0"/>
    <x v="7"/>
    <s v="1794.85"/>
    <s v="2913.22"/>
    <x v="53"/>
    <n v="795"/>
    <n v="1"/>
    <n v="7"/>
    <n v="801"/>
    <s v="OK"/>
    <n v="1437674.8499999999"/>
    <n v="2913.22"/>
    <d v="2024-02-16T00:00:00"/>
    <n v="712"/>
    <s v="OK BUT BE CHECKING"/>
    <s v="ACTIVE"/>
    <n v="0"/>
  </r>
  <r>
    <s v="ITEM075-A"/>
    <x v="1"/>
    <x v="1"/>
    <x v="2"/>
    <s v="1612.69"/>
    <s v="3050.31"/>
    <x v="54"/>
    <n v="1080"/>
    <n v="0"/>
    <n v="6"/>
    <n v="1086"/>
    <s v="OK"/>
    <n v="1751381.34"/>
    <n v="0"/>
    <m/>
    <s v="Never Sold"/>
    <s v="OK BUT BE CHECKING"/>
    <s v="ACTIVE"/>
    <n v="0"/>
  </r>
  <r>
    <s v="ITEM076-A"/>
    <x v="6"/>
    <x v="1"/>
    <x v="9"/>
    <s v="736.95"/>
    <s v="1382.2"/>
    <x v="55"/>
    <n v="375"/>
    <n v="0"/>
    <n v="15"/>
    <n v="390"/>
    <s v="OK"/>
    <n v="287410.5"/>
    <n v="0"/>
    <m/>
    <s v="Never Sold"/>
    <s v="OK BUT BE CHECKING"/>
    <s v="ACTIVE"/>
    <n v="0"/>
  </r>
  <r>
    <s v="ITEM077-A"/>
    <x v="27"/>
    <x v="8"/>
    <x v="3"/>
    <s v="945.5"/>
    <s v="1063.23"/>
    <x v="18"/>
    <n v="705"/>
    <n v="10"/>
    <n v="2"/>
    <n v="697"/>
    <s v="OK"/>
    <n v="659013.5"/>
    <n v="10632.3"/>
    <d v="2024-11-05T00:00:00"/>
    <n v="449"/>
    <s v="OK BUT BE CHECKING"/>
    <s v="ACTIVE"/>
    <n v="0"/>
  </r>
  <r>
    <s v="ITEM078-A"/>
    <x v="17"/>
    <x v="0"/>
    <x v="8"/>
    <s v="1445.39"/>
    <s v="2054.96"/>
    <x v="56"/>
    <n v="1500"/>
    <n v="0"/>
    <n v="27"/>
    <n v="1527"/>
    <s v="OK"/>
    <n v="2207110.5300000003"/>
    <n v="0"/>
    <m/>
    <s v="Never Sold"/>
    <s v="OK BUT BE CHECKING"/>
    <s v="ACTIVE"/>
    <n v="0"/>
  </r>
  <r>
    <s v="ITEM079-A"/>
    <x v="21"/>
    <x v="6"/>
    <x v="6"/>
    <s v="844.54"/>
    <s v="1448.27"/>
    <x v="5"/>
    <n v="1395"/>
    <n v="0"/>
    <n v="0"/>
    <n v="1395"/>
    <s v="OK"/>
    <n v="1178133.3"/>
    <n v="0"/>
    <m/>
    <s v="Never Sold"/>
    <s v="OK BUT BE CHECKING"/>
    <s v="ACTIVE"/>
    <n v="0"/>
  </r>
  <r>
    <s v="ITEM080-A"/>
    <x v="20"/>
    <x v="7"/>
    <x v="9"/>
    <s v="1560.52"/>
    <s v="2251.27"/>
    <x v="6"/>
    <n v="780"/>
    <n v="0"/>
    <n v="13"/>
    <n v="793"/>
    <s v="OK"/>
    <n v="1237492.3599999999"/>
    <n v="0"/>
    <m/>
    <s v="Never Sold"/>
    <s v="OK BUT BE CHECKING"/>
    <s v="ACTIVE"/>
    <n v="0"/>
  </r>
  <r>
    <s v="ITEM081-A"/>
    <x v="30"/>
    <x v="8"/>
    <x v="1"/>
    <s v="1824.39"/>
    <s v="3319.66"/>
    <x v="57"/>
    <n v="390"/>
    <n v="0"/>
    <n v="7"/>
    <n v="397"/>
    <s v="OK"/>
    <n v="724282.83000000007"/>
    <n v="0"/>
    <m/>
    <s v="Never Sold"/>
    <s v="OK BUT BE CHECKING"/>
    <s v="ACTIVE"/>
    <n v="0"/>
  </r>
  <r>
    <s v="ITEM082-A"/>
    <x v="21"/>
    <x v="6"/>
    <x v="7"/>
    <s v="1055.99"/>
    <s v="1292.95"/>
    <x v="25"/>
    <n v="300"/>
    <n v="3"/>
    <n v="0"/>
    <n v="297"/>
    <s v="OK"/>
    <n v="313629.03000000003"/>
    <n v="3878.8500000000004"/>
    <d v="2024-06-30T00:00:00"/>
    <n v="577"/>
    <s v="OK BUT BE CHECKING"/>
    <s v="ACTIVE"/>
    <n v="0"/>
  </r>
  <r>
    <s v="ITEM083-A"/>
    <x v="34"/>
    <x v="8"/>
    <x v="4"/>
    <s v="1947.3"/>
    <s v="2469.32"/>
    <x v="58"/>
    <n v="1110"/>
    <n v="0"/>
    <n v="20"/>
    <n v="1130"/>
    <s v="OK"/>
    <n v="2200449"/>
    <n v="0"/>
    <m/>
    <s v="Never Sold"/>
    <s v="OK BUT BE CHECKING"/>
    <s v="ACTIVE"/>
    <n v="0"/>
  </r>
  <r>
    <s v="ITEM084-A"/>
    <x v="32"/>
    <x v="3"/>
    <x v="1"/>
    <s v="458.62"/>
    <s v="622.3"/>
    <x v="19"/>
    <n v="885"/>
    <n v="0"/>
    <n v="11"/>
    <n v="896"/>
    <s v="OK"/>
    <n v="410923.52000000002"/>
    <n v="0"/>
    <m/>
    <s v="Never Sold"/>
    <s v="OK BUT BE CHECKING"/>
    <s v="ACTIVE"/>
    <n v="0"/>
  </r>
  <r>
    <s v="ITEM085-A"/>
    <x v="11"/>
    <x v="7"/>
    <x v="3"/>
    <s v="558.85"/>
    <s v="643.35"/>
    <x v="59"/>
    <n v="345"/>
    <n v="0"/>
    <n v="0"/>
    <n v="345"/>
    <s v="OK"/>
    <n v="192803.25"/>
    <n v="0"/>
    <m/>
    <s v="Never Sold"/>
    <s v="OK BUT BE CHECKING"/>
    <s v="ACTIVE"/>
    <n v="0"/>
  </r>
  <r>
    <s v="ITEM086-A"/>
    <x v="24"/>
    <x v="3"/>
    <x v="10"/>
    <s v="1448.2"/>
    <s v="2574.06"/>
    <x v="1"/>
    <n v="720"/>
    <n v="0"/>
    <n v="0"/>
    <n v="720"/>
    <s v="OK"/>
    <n v="1042704"/>
    <n v="0"/>
    <m/>
    <s v="Never Sold"/>
    <s v="OK BUT BE CHECKING"/>
    <s v="ACTIVE"/>
    <n v="0"/>
  </r>
  <r>
    <s v="ITEM087-A"/>
    <x v="37"/>
    <x v="2"/>
    <x v="3"/>
    <s v="14.98"/>
    <s v="28.83"/>
    <x v="60"/>
    <n v="285"/>
    <n v="0"/>
    <n v="23"/>
    <n v="308"/>
    <s v="OK"/>
    <n v="4613.84"/>
    <n v="0"/>
    <m/>
    <s v="Never Sold"/>
    <s v="OK BUT BE CHECKING"/>
    <s v="ACTIVE"/>
    <n v="0"/>
  </r>
  <r>
    <s v="ITEM088-A"/>
    <x v="8"/>
    <x v="5"/>
    <x v="7"/>
    <s v="719.88"/>
    <s v="1139.88"/>
    <x v="61"/>
    <n v="330"/>
    <n v="0"/>
    <n v="0"/>
    <n v="330"/>
    <s v="OK"/>
    <n v="237560.4"/>
    <n v="0"/>
    <m/>
    <s v="Never Sold"/>
    <s v="OK BUT BE CHECKING"/>
    <s v="ACTIVE"/>
    <n v="0"/>
  </r>
  <r>
    <s v="ITEM089-A"/>
    <x v="20"/>
    <x v="7"/>
    <x v="11"/>
    <s v="171.77"/>
    <s v="259.38"/>
    <x v="46"/>
    <n v="150"/>
    <n v="17"/>
    <n v="3"/>
    <n v="136"/>
    <s v="OK"/>
    <n v="23360.720000000001"/>
    <n v="4409.46"/>
    <d v="2024-07-09T00:00:00"/>
    <n v="568"/>
    <s v="OK BUT BE CHECKING"/>
    <s v="ACTIVE"/>
    <n v="0"/>
  </r>
  <r>
    <s v="ITEM090-A"/>
    <x v="0"/>
    <x v="0"/>
    <x v="10"/>
    <s v="808.45"/>
    <s v="1484.18"/>
    <x v="31"/>
    <n v="1425"/>
    <n v="0"/>
    <n v="7"/>
    <n v="1432"/>
    <s v="OK"/>
    <n v="1157700.4000000001"/>
    <n v="0"/>
    <m/>
    <s v="Never Sold"/>
    <s v="OK BUT BE CHECKING"/>
    <s v="ACTIVE"/>
    <n v="0"/>
  </r>
  <r>
    <s v="ITEM091-A"/>
    <x v="32"/>
    <x v="3"/>
    <x v="1"/>
    <s v="1302.94"/>
    <s v="2096.07"/>
    <x v="7"/>
    <n v="810"/>
    <n v="0"/>
    <n v="4"/>
    <n v="814"/>
    <s v="OK"/>
    <n v="1060593.1600000001"/>
    <n v="0"/>
    <m/>
    <s v="Never Sold"/>
    <s v="OK BUT BE CHECKING"/>
    <s v="ACTIVE"/>
    <n v="0"/>
  </r>
  <r>
    <s v="ITEM092-A"/>
    <x v="4"/>
    <x v="3"/>
    <x v="2"/>
    <s v="912.7"/>
    <s v="1041.48"/>
    <x v="53"/>
    <n v="795"/>
    <n v="0"/>
    <n v="0"/>
    <n v="795"/>
    <s v="OK"/>
    <n v="725596.5"/>
    <n v="0"/>
    <m/>
    <s v="Never Sold"/>
    <s v="OK BUT BE CHECKING"/>
    <s v="ACTIVE"/>
    <n v="0"/>
  </r>
  <r>
    <s v="ITEM093-A"/>
    <x v="26"/>
    <x v="9"/>
    <x v="7"/>
    <s v="1076.38"/>
    <s v="1711.33"/>
    <x v="30"/>
    <n v="1230"/>
    <n v="3"/>
    <n v="4"/>
    <n v="1231"/>
    <s v="OK"/>
    <n v="1325023.78"/>
    <n v="5133.99"/>
    <d v="2024-05-07T00:00:00"/>
    <n v="631"/>
    <s v="OK BUT BE CHECKING"/>
    <s v="ACTIVE"/>
    <n v="0"/>
  </r>
  <r>
    <s v="ITEM094-A"/>
    <x v="4"/>
    <x v="3"/>
    <x v="11"/>
    <s v="298.77"/>
    <s v="572.18"/>
    <x v="62"/>
    <n v="510"/>
    <n v="0"/>
    <n v="25"/>
    <n v="535"/>
    <s v="OK"/>
    <n v="159841.94999999998"/>
    <n v="0"/>
    <m/>
    <s v="Never Sold"/>
    <s v="OK BUT BE CHECKING"/>
    <s v="ACTIVE"/>
    <n v="0"/>
  </r>
  <r>
    <s v="ITEM095-A"/>
    <x v="34"/>
    <x v="8"/>
    <x v="0"/>
    <s v="1806.12"/>
    <s v="2752.77"/>
    <x v="12"/>
    <n v="1260"/>
    <n v="12"/>
    <n v="0"/>
    <n v="1248"/>
    <s v="OK"/>
    <n v="2254037.7599999998"/>
    <n v="33033.24"/>
    <d v="2024-04-14T00:00:00"/>
    <n v="654"/>
    <s v="OK BUT BE CHECKING"/>
    <s v="ACTIVE"/>
    <n v="0"/>
  </r>
  <r>
    <s v="ITEM096-A"/>
    <x v="0"/>
    <x v="0"/>
    <x v="0"/>
    <s v="563.28"/>
    <s v="799.09"/>
    <x v="12"/>
    <n v="1260"/>
    <n v="11"/>
    <n v="9"/>
    <n v="1258"/>
    <s v="OK"/>
    <n v="708606.24"/>
    <n v="8789.99"/>
    <d v="2024-03-21T00:00:00"/>
    <n v="678"/>
    <s v="OK BUT BE CHECKING"/>
    <s v="ACTIVE"/>
    <n v="0"/>
  </r>
  <r>
    <s v="ITEM097-A"/>
    <x v="0"/>
    <x v="0"/>
    <x v="11"/>
    <s v="371.14"/>
    <s v="704.64"/>
    <x v="52"/>
    <n v="975"/>
    <n v="0"/>
    <n v="1"/>
    <n v="976"/>
    <s v="OK"/>
    <n v="362232.64"/>
    <n v="0"/>
    <m/>
    <s v="Never Sold"/>
    <s v="OK BUT BE CHECKING"/>
    <s v="ACTIVE"/>
    <n v="0"/>
  </r>
  <r>
    <s v="ITEM098-A"/>
    <x v="25"/>
    <x v="8"/>
    <x v="0"/>
    <s v="689.76"/>
    <s v="1067.65"/>
    <x v="34"/>
    <n v="1140"/>
    <n v="0"/>
    <n v="0"/>
    <n v="1140"/>
    <s v="OK"/>
    <n v="786326.4"/>
    <n v="0"/>
    <m/>
    <s v="Never Sold"/>
    <s v="OK BUT BE CHECKING"/>
    <s v="ACTIVE"/>
    <n v="0"/>
  </r>
  <r>
    <s v="ITEM099-A"/>
    <x v="6"/>
    <x v="1"/>
    <x v="5"/>
    <s v="185.96"/>
    <s v="350.67"/>
    <x v="15"/>
    <n v="825"/>
    <n v="0"/>
    <n v="0"/>
    <n v="825"/>
    <s v="OK"/>
    <n v="153417"/>
    <n v="0"/>
    <m/>
    <s v="Never Sold"/>
    <s v="OK BUT BE CHECKING"/>
    <s v="ACTIVE"/>
    <n v="0"/>
  </r>
  <r>
    <s v="ITEM100-A"/>
    <x v="3"/>
    <x v="0"/>
    <x v="3"/>
    <s v="691.44"/>
    <s v="1277.38"/>
    <x v="25"/>
    <n v="300"/>
    <n v="0"/>
    <n v="6"/>
    <n v="306"/>
    <s v="OK"/>
    <n v="211580.64"/>
    <n v="0"/>
    <m/>
    <s v="Never Sold"/>
    <s v="OK BUT BE CHECKING"/>
    <s v="ACTIVE"/>
    <n v="0"/>
  </r>
  <r>
    <s v="ITEM101-A"/>
    <x v="13"/>
    <x v="0"/>
    <x v="4"/>
    <s v="1496.56"/>
    <s v="1991.0"/>
    <x v="21"/>
    <n v="420"/>
    <n v="0"/>
    <n v="2"/>
    <n v="422"/>
    <s v="OK"/>
    <n v="631548.31999999995"/>
    <n v="0"/>
    <m/>
    <s v="Never Sold"/>
    <s v="OK BUT BE CHECKING"/>
    <s v="ACTIVE"/>
    <n v="0"/>
  </r>
  <r>
    <s v="ITEM102-A"/>
    <x v="38"/>
    <x v="7"/>
    <x v="3"/>
    <s v="1130.17"/>
    <s v="1707.35"/>
    <x v="51"/>
    <n v="765"/>
    <n v="5"/>
    <n v="30"/>
    <n v="790"/>
    <s v="OK"/>
    <n v="892834.3"/>
    <n v="8536.75"/>
    <d v="2024-01-11T00:00:00"/>
    <n v="748"/>
    <s v="OK BUT BE CHECKING"/>
    <s v="ACTIVE"/>
    <n v="0"/>
  </r>
  <r>
    <s v="ITEM103-A"/>
    <x v="16"/>
    <x v="6"/>
    <x v="6"/>
    <s v="1679.29"/>
    <s v="2166.75"/>
    <x v="21"/>
    <n v="420"/>
    <n v="0"/>
    <n v="11"/>
    <n v="431"/>
    <s v="OK"/>
    <n v="723773.99"/>
    <n v="0"/>
    <d v="1899-12-30T00:00:00"/>
    <n v="46050"/>
    <s v="OK BUT BE CHECKING"/>
    <s v="ACTIVE"/>
    <n v="0"/>
  </r>
  <r>
    <s v="ITEM104-A"/>
    <x v="39"/>
    <x v="9"/>
    <x v="4"/>
    <s v="281.54"/>
    <s v="400.04"/>
    <x v="63"/>
    <n v="1365"/>
    <n v="9"/>
    <n v="9"/>
    <n v="1365"/>
    <s v="OK"/>
    <n v="384302.10000000003"/>
    <n v="3600.36"/>
    <d v="2025-04-16T00:00:00"/>
    <n v="287"/>
    <s v="OK BUT BE CHECKING"/>
    <s v="ACTIVE"/>
    <n v="0"/>
  </r>
  <r>
    <s v="ITEM105-A"/>
    <x v="31"/>
    <x v="7"/>
    <x v="7"/>
    <s v="1262.28"/>
    <s v="1963.72"/>
    <x v="28"/>
    <n v="195"/>
    <n v="0"/>
    <n v="8"/>
    <n v="203"/>
    <s v="OK"/>
    <n v="256242.84"/>
    <n v="0"/>
    <m/>
    <s v="Never Sold"/>
    <s v="OK BUT BE CHECKING"/>
    <s v="ACTIVE"/>
    <n v="0"/>
  </r>
  <r>
    <s v="ITEM106-A"/>
    <x v="35"/>
    <x v="0"/>
    <x v="1"/>
    <s v="450.83"/>
    <s v="520.66"/>
    <x v="36"/>
    <n v="1005"/>
    <n v="0"/>
    <n v="10"/>
    <n v="1015"/>
    <s v="OK"/>
    <n v="457592.45"/>
    <n v="0"/>
    <m/>
    <s v="Never Sold"/>
    <s v="OK BUT BE CHECKING"/>
    <s v="ACTIVE"/>
    <n v="0"/>
  </r>
  <r>
    <s v="ITEM107-A"/>
    <x v="40"/>
    <x v="2"/>
    <x v="6"/>
    <s v="1093.91"/>
    <s v="1623.2"/>
    <x v="64"/>
    <n v="180"/>
    <n v="0"/>
    <n v="10"/>
    <n v="190"/>
    <s v="OK"/>
    <n v="207842.90000000002"/>
    <n v="0"/>
    <m/>
    <s v="Never Sold"/>
    <s v="OK BUT BE CHECKING"/>
    <s v="ACTIVE"/>
    <n v="0"/>
  </r>
  <r>
    <s v="ITEM108-A"/>
    <x v="9"/>
    <x v="6"/>
    <x v="10"/>
    <s v="1483.91"/>
    <s v="1714.91"/>
    <x v="63"/>
    <n v="1365"/>
    <n v="0"/>
    <n v="0"/>
    <n v="1365"/>
    <s v="OK"/>
    <n v="2025537.1500000001"/>
    <n v="0"/>
    <m/>
    <s v="Never Sold"/>
    <s v="OK BUT BE CHECKING"/>
    <s v="ACTIVE"/>
    <n v="0"/>
  </r>
  <r>
    <s v="ITEM109-A"/>
    <x v="41"/>
    <x v="9"/>
    <x v="10"/>
    <s v="1019.84"/>
    <s v="1201.89"/>
    <x v="49"/>
    <n v="1350"/>
    <n v="0"/>
    <n v="0"/>
    <n v="1350"/>
    <s v="OK"/>
    <n v="1376784"/>
    <n v="0"/>
    <m/>
    <s v="Never Sold"/>
    <s v="OK BUT BE CHECKING"/>
    <s v="ACTIVE"/>
    <n v="0"/>
  </r>
  <r>
    <s v="ITEM110-A"/>
    <x v="42"/>
    <x v="6"/>
    <x v="11"/>
    <s v="591.74"/>
    <s v="1045.02"/>
    <x v="22"/>
    <n v="495"/>
    <n v="0"/>
    <n v="10"/>
    <n v="505"/>
    <s v="OK"/>
    <n v="298828.7"/>
    <n v="0"/>
    <m/>
    <s v="Never Sold"/>
    <s v="OK BUT BE CHECKING"/>
    <s v="ACTIVE"/>
    <n v="0"/>
  </r>
  <r>
    <s v="ITEM111-A"/>
    <x v="19"/>
    <x v="2"/>
    <x v="9"/>
    <s v="269.73"/>
    <s v="479.57"/>
    <x v="15"/>
    <n v="825"/>
    <n v="0"/>
    <n v="4"/>
    <n v="829"/>
    <s v="OK"/>
    <n v="223606.17"/>
    <n v="0"/>
    <m/>
    <s v="Never Sold"/>
    <s v="OK BUT BE CHECKING"/>
    <s v="ACTIVE"/>
    <n v="0"/>
  </r>
  <r>
    <s v="ITEM112-A"/>
    <x v="41"/>
    <x v="9"/>
    <x v="3"/>
    <s v="1737.47"/>
    <s v="3021.16"/>
    <x v="65"/>
    <n v="570"/>
    <n v="19"/>
    <n v="0"/>
    <n v="551"/>
    <s v="OK"/>
    <n v="957345.97"/>
    <n v="57402.039999999994"/>
    <d v="2024-05-16T00:00:00"/>
    <n v="622"/>
    <s v="OK BUT BE CHECKING"/>
    <s v="ACTIVE"/>
    <n v="0"/>
  </r>
  <r>
    <s v="ITEM113-A"/>
    <x v="1"/>
    <x v="1"/>
    <x v="3"/>
    <s v="1724.92"/>
    <s v="2435.42"/>
    <x v="41"/>
    <n v="1050"/>
    <n v="0"/>
    <n v="0"/>
    <n v="1050"/>
    <s v="OK"/>
    <n v="1811166"/>
    <n v="0"/>
    <m/>
    <s v="Never Sold"/>
    <s v="OK BUT BE CHECKING"/>
    <s v="ACTIVE"/>
    <n v="0"/>
  </r>
  <r>
    <s v="ITEM114-A"/>
    <x v="14"/>
    <x v="7"/>
    <x v="1"/>
    <s v="1175.66"/>
    <s v="1666.6"/>
    <x v="66"/>
    <n v="1380"/>
    <n v="0"/>
    <n v="3"/>
    <n v="1383"/>
    <s v="OK"/>
    <n v="1625937.78"/>
    <n v="0"/>
    <m/>
    <s v="Never Sold"/>
    <s v="OK BUT BE CHECKING"/>
    <s v="ACTIVE"/>
    <n v="0"/>
  </r>
  <r>
    <s v="ITEM115-A"/>
    <x v="3"/>
    <x v="0"/>
    <x v="1"/>
    <s v="673.43"/>
    <s v="863.84"/>
    <x v="59"/>
    <n v="345"/>
    <n v="100"/>
    <n v="400"/>
    <n v="645"/>
    <s v="OK"/>
    <n v="434362.35"/>
    <n v="86384"/>
    <d v="2025-10-16T00:00:00"/>
    <n v="104"/>
    <s v="OK BUT BE CHECKING"/>
    <s v="ACTIVE"/>
    <n v="0"/>
  </r>
  <r>
    <s v="ITEM116-A"/>
    <x v="25"/>
    <x v="8"/>
    <x v="0"/>
    <s v="1736.73"/>
    <s v="3142.46"/>
    <x v="50"/>
    <n v="855"/>
    <n v="0"/>
    <n v="0"/>
    <n v="855"/>
    <s v="OK"/>
    <n v="1484904.15"/>
    <n v="0"/>
    <m/>
    <s v="Never Sold"/>
    <s v="OK BUT BE CHECKING"/>
    <s v="ACTIVE"/>
    <n v="0"/>
  </r>
  <r>
    <s v="ITEM117-A"/>
    <x v="21"/>
    <x v="6"/>
    <x v="0"/>
    <s v="344.81"/>
    <s v="458.13"/>
    <x v="28"/>
    <n v="195"/>
    <n v="0"/>
    <n v="18"/>
    <n v="213"/>
    <s v="OK"/>
    <n v="73444.53"/>
    <n v="0"/>
    <m/>
    <s v="Never Sold"/>
    <s v="OK BUT BE CHECKING"/>
    <s v="ACTIVE"/>
    <n v="0"/>
  </r>
  <r>
    <s v="ITEM118-A"/>
    <x v="35"/>
    <x v="0"/>
    <x v="3"/>
    <s v="1371.06"/>
    <s v="2335.39"/>
    <x v="19"/>
    <n v="885"/>
    <n v="0"/>
    <n v="44"/>
    <n v="929"/>
    <s v="OK"/>
    <n v="1273714.74"/>
    <n v="0"/>
    <m/>
    <s v="Never Sold"/>
    <s v="OK BUT BE CHECKING"/>
    <s v="ACTIVE"/>
    <n v="0"/>
  </r>
  <r>
    <s v="ITEM119-A"/>
    <x v="40"/>
    <x v="2"/>
    <x v="10"/>
    <s v="889.36"/>
    <s v="1412.33"/>
    <x v="67"/>
    <n v="555"/>
    <n v="9"/>
    <n v="18"/>
    <n v="564"/>
    <s v="OK"/>
    <n v="501599.04"/>
    <n v="12710.97"/>
    <d v="2025-04-21T00:00:00"/>
    <n v="282"/>
    <s v="OK BUT BE CHECKING"/>
    <s v="ACTIVE"/>
    <n v="0"/>
  </r>
  <r>
    <s v="ITEM120-A"/>
    <x v="43"/>
    <x v="4"/>
    <x v="9"/>
    <s v="612.46"/>
    <s v="956.82"/>
    <x v="8"/>
    <n v="645"/>
    <n v="0"/>
    <n v="0"/>
    <n v="645"/>
    <s v="OK"/>
    <n v="395036.7"/>
    <n v="0"/>
    <m/>
    <s v="Never Sold"/>
    <s v="OK BUT BE CHECKING"/>
    <s v="ACTIVE"/>
    <n v="0"/>
  </r>
  <r>
    <s v="ITEM121-A"/>
    <x v="22"/>
    <x v="3"/>
    <x v="8"/>
    <s v="1731.94"/>
    <s v="3379.01"/>
    <x v="28"/>
    <n v="195"/>
    <n v="0"/>
    <n v="0"/>
    <n v="195"/>
    <s v="OK"/>
    <n v="337728.3"/>
    <n v="0"/>
    <m/>
    <s v="Never Sold"/>
    <s v="OK BUT BE CHECKING"/>
    <s v="ACTIVE"/>
    <n v="0"/>
  </r>
  <r>
    <s v="ITEM122-A"/>
    <x v="9"/>
    <x v="6"/>
    <x v="6"/>
    <s v="1803.27"/>
    <s v="3013.85"/>
    <x v="20"/>
    <n v="750"/>
    <n v="0"/>
    <n v="6"/>
    <n v="756"/>
    <s v="OK"/>
    <n v="1363272.1199999999"/>
    <n v="0"/>
    <m/>
    <s v="Never Sold"/>
    <s v="OK BUT BE CHECKING"/>
    <s v="ACTIVE"/>
    <n v="0"/>
  </r>
  <r>
    <s v="ITEM123-A"/>
    <x v="3"/>
    <x v="0"/>
    <x v="6"/>
    <s v="176.85"/>
    <s v="227.12"/>
    <x v="68"/>
    <n v="1200"/>
    <n v="0"/>
    <n v="0"/>
    <n v="1200"/>
    <s v="OK"/>
    <n v="212220"/>
    <n v="0"/>
    <m/>
    <s v="Never Sold"/>
    <s v="OK BUT BE CHECKING"/>
    <s v="ACTIVE"/>
    <n v="0"/>
  </r>
  <r>
    <s v="ITEM124-A"/>
    <x v="13"/>
    <x v="0"/>
    <x v="11"/>
    <s v="98.25"/>
    <s v="164.96"/>
    <x v="49"/>
    <n v="1350"/>
    <n v="0"/>
    <n v="11"/>
    <n v="1361"/>
    <s v="OK"/>
    <n v="133718.25"/>
    <n v="0"/>
    <m/>
    <s v="Never Sold"/>
    <s v="OK BUT BE CHECKING"/>
    <s v="ACTIVE"/>
    <n v="0"/>
  </r>
  <r>
    <s v="ITEM125-A"/>
    <x v="41"/>
    <x v="9"/>
    <x v="7"/>
    <s v="328.14"/>
    <s v="549.71"/>
    <x v="69"/>
    <n v="1035"/>
    <n v="0"/>
    <n v="0"/>
    <n v="1035"/>
    <s v="OK"/>
    <n v="339624.89999999997"/>
    <n v="0"/>
    <m/>
    <s v="Never Sold"/>
    <s v="OK BUT BE CHECKING"/>
    <s v="ACTIVE"/>
    <n v="0"/>
  </r>
  <r>
    <s v="ITEM126-A"/>
    <x v="44"/>
    <x v="5"/>
    <x v="11"/>
    <s v="712.33"/>
    <s v="869.05"/>
    <x v="66"/>
    <n v="1380"/>
    <n v="10"/>
    <n v="0"/>
    <n v="1370"/>
    <s v="OK"/>
    <n v="975892.10000000009"/>
    <n v="8690.5"/>
    <d v="2025-03-23T00:00:00"/>
    <n v="311"/>
    <s v="OK BUT BE CHECKING"/>
    <s v="ACTIVE"/>
    <n v="0"/>
  </r>
  <r>
    <s v="ITEM127-A"/>
    <x v="6"/>
    <x v="1"/>
    <x v="2"/>
    <s v="1796.17"/>
    <s v="2063.15"/>
    <x v="70"/>
    <n v="435"/>
    <n v="0"/>
    <n v="0"/>
    <n v="435"/>
    <s v="OK"/>
    <n v="781333.95000000007"/>
    <n v="0"/>
    <m/>
    <s v="Never Sold"/>
    <s v="OK BUT BE CHECKING"/>
    <s v="ACTIVE"/>
    <n v="0"/>
  </r>
  <r>
    <s v="ITEM128-A"/>
    <x v="6"/>
    <x v="1"/>
    <x v="5"/>
    <s v="1267.94"/>
    <s v="2270.84"/>
    <x v="12"/>
    <n v="1260"/>
    <n v="0"/>
    <n v="12"/>
    <n v="1272"/>
    <s v="OK"/>
    <n v="1612819.6800000002"/>
    <n v="0"/>
    <m/>
    <s v="Never Sold"/>
    <s v="OK BUT BE CHECKING"/>
    <s v="ACTIVE"/>
    <n v="0"/>
  </r>
  <r>
    <s v="ITEM129-A"/>
    <x v="41"/>
    <x v="9"/>
    <x v="10"/>
    <s v="710.38"/>
    <s v="1320.49"/>
    <x v="71"/>
    <n v="1095"/>
    <n v="0"/>
    <n v="1"/>
    <n v="1096"/>
    <s v="OK"/>
    <n v="778576.48"/>
    <n v="0"/>
    <m/>
    <s v="Never Sold"/>
    <s v="OK BUT BE CHECKING"/>
    <s v="ACTIVE"/>
    <n v="0"/>
  </r>
  <r>
    <s v="ITEM130-A"/>
    <x v="45"/>
    <x v="9"/>
    <x v="9"/>
    <s v="650.46"/>
    <s v="1178.36"/>
    <x v="72"/>
    <n v="270"/>
    <n v="0"/>
    <n v="12"/>
    <n v="282"/>
    <s v="OK"/>
    <n v="183429.72"/>
    <n v="0"/>
    <m/>
    <s v="Never Sold"/>
    <s v="OK BUT BE CHECKING"/>
    <s v="ACTIVE"/>
    <n v="0"/>
  </r>
  <r>
    <s v="ITEM131-A"/>
    <x v="4"/>
    <x v="3"/>
    <x v="5"/>
    <s v="395.89"/>
    <s v="614.71"/>
    <x v="3"/>
    <n v="735"/>
    <n v="0"/>
    <n v="31"/>
    <n v="766"/>
    <s v="OK"/>
    <n v="303251.74"/>
    <n v="0"/>
    <m/>
    <s v="Never Sold"/>
    <s v="OK BUT BE CHECKING"/>
    <s v="ACTIVE"/>
    <n v="0"/>
  </r>
  <r>
    <s v="ITEM132-A"/>
    <x v="36"/>
    <x v="4"/>
    <x v="5"/>
    <s v="1060.45"/>
    <s v="1702.45"/>
    <x v="47"/>
    <n v="1440"/>
    <n v="0"/>
    <n v="0"/>
    <n v="1440"/>
    <s v="OK"/>
    <n v="1527048"/>
    <n v="0"/>
    <m/>
    <s v="Never Sold"/>
    <s v="OK BUT BE CHECKING"/>
    <s v="ACTIVE"/>
    <n v="0"/>
  </r>
  <r>
    <s v="ITEM133-A"/>
    <x v="35"/>
    <x v="0"/>
    <x v="1"/>
    <s v="643.43"/>
    <s v="1271.58"/>
    <x v="73"/>
    <n v="1170"/>
    <n v="0"/>
    <n v="0"/>
    <n v="1170"/>
    <s v="OK"/>
    <n v="752813.1"/>
    <n v="0"/>
    <m/>
    <s v="Never Sold"/>
    <s v="OK BUT BE CHECKING"/>
    <s v="ACTIVE"/>
    <n v="0"/>
  </r>
  <r>
    <s v="ITEM134-A"/>
    <x v="46"/>
    <x v="7"/>
    <x v="9"/>
    <s v="440.53"/>
    <s v="686.25"/>
    <x v="17"/>
    <n v="675"/>
    <n v="13"/>
    <n v="13"/>
    <n v="675"/>
    <s v="OK"/>
    <n v="297357.75"/>
    <n v="8921.25"/>
    <d v="2024-03-19T00:00:00"/>
    <n v="680"/>
    <s v="OK BUT BE CHECKING"/>
    <s v="ACTIVE"/>
    <n v="0"/>
  </r>
  <r>
    <s v="ITEM135-A"/>
    <x v="7"/>
    <x v="5"/>
    <x v="8"/>
    <s v="1351.42"/>
    <s v="1598.19"/>
    <x v="32"/>
    <n v="1275"/>
    <n v="0"/>
    <n v="26"/>
    <n v="1301"/>
    <s v="OK"/>
    <n v="1758197.4200000002"/>
    <n v="0"/>
    <m/>
    <s v="Never Sold"/>
    <s v="OK BUT BE CHECKING"/>
    <s v="ACTIVE"/>
    <n v="0"/>
  </r>
  <r>
    <s v="ITEM136-A"/>
    <x v="17"/>
    <x v="0"/>
    <x v="8"/>
    <s v="1145.27"/>
    <s v="1964.34"/>
    <x v="38"/>
    <n v="990"/>
    <n v="0"/>
    <n v="17"/>
    <n v="1007"/>
    <s v="OK"/>
    <n v="1153286.8899999999"/>
    <n v="0"/>
    <m/>
    <s v="Never Sold"/>
    <s v="OK BUT BE CHECKING"/>
    <s v="ACTIVE"/>
    <n v="0"/>
  </r>
  <r>
    <s v="ITEM137-A"/>
    <x v="47"/>
    <x v="2"/>
    <x v="3"/>
    <s v="1968.65"/>
    <s v="2381.8"/>
    <x v="30"/>
    <n v="1230"/>
    <n v="6"/>
    <n v="0"/>
    <n v="1224"/>
    <s v="OK"/>
    <n v="2409627.6"/>
    <n v="14290.800000000001"/>
    <d v="2024-12-14T00:00:00"/>
    <n v="410"/>
    <s v="OK BUT BE CHECKING"/>
    <s v="ACTIVE"/>
    <n v="0"/>
  </r>
  <r>
    <s v="ITEM138-A"/>
    <x v="45"/>
    <x v="9"/>
    <x v="11"/>
    <s v="249.46"/>
    <s v="405.93"/>
    <x v="11"/>
    <n v="585"/>
    <n v="0"/>
    <n v="3"/>
    <n v="588"/>
    <s v="OK"/>
    <n v="146682.48000000001"/>
    <n v="0"/>
    <m/>
    <s v="Never Sold"/>
    <s v="OK BUT BE CHECKING"/>
    <s v="ACTIVE"/>
    <n v="0"/>
  </r>
  <r>
    <s v="ITEM139-A"/>
    <x v="39"/>
    <x v="9"/>
    <x v="4"/>
    <s v="1015.35"/>
    <s v="1556.48"/>
    <x v="52"/>
    <n v="975"/>
    <n v="0"/>
    <n v="4"/>
    <n v="979"/>
    <s v="OK"/>
    <n v="994027.65"/>
    <n v="0"/>
    <m/>
    <s v="Never Sold"/>
    <s v="OK BUT BE CHECKING"/>
    <s v="ACTIVE"/>
    <n v="0"/>
  </r>
  <r>
    <s v="ITEM140-A"/>
    <x v="0"/>
    <x v="0"/>
    <x v="1"/>
    <s v="1173.48"/>
    <s v="1316.43"/>
    <x v="32"/>
    <n v="1275"/>
    <n v="9"/>
    <n v="0"/>
    <n v="1266"/>
    <s v="OK"/>
    <n v="1485625.68"/>
    <n v="11847.87"/>
    <d v="2025-06-17T00:00:00"/>
    <n v="225"/>
    <s v="OK BUT BE CHECKING"/>
    <s v="ACTIVE"/>
    <n v="0"/>
  </r>
  <r>
    <s v="ITEM141-A"/>
    <x v="10"/>
    <x v="5"/>
    <x v="10"/>
    <s v="309.75"/>
    <s v="557.61"/>
    <x v="7"/>
    <n v="810"/>
    <n v="182"/>
    <n v="7"/>
    <n v="635"/>
    <s v="OK"/>
    <n v="196691.25"/>
    <n v="101485.02"/>
    <d v="2025-12-07T00:00:00"/>
    <n v="52"/>
    <s v="OK BUT BE CHECKING"/>
    <s v="ACTIVE"/>
    <n v="0"/>
  </r>
  <r>
    <s v="ITEM142-A"/>
    <x v="48"/>
    <x v="2"/>
    <x v="0"/>
    <s v="1486.39"/>
    <s v="2583.89"/>
    <x v="74"/>
    <n v="1020"/>
    <n v="0"/>
    <n v="21"/>
    <n v="1041"/>
    <s v="OK"/>
    <n v="1547331.99"/>
    <n v="0"/>
    <m/>
    <s v="Never Sold"/>
    <s v="OK BUT BE CHECKING"/>
    <s v="ACTIVE"/>
    <n v="0"/>
  </r>
  <r>
    <s v="ITEM143-A"/>
    <x v="7"/>
    <x v="5"/>
    <x v="9"/>
    <s v="1989.14"/>
    <s v="3164.57"/>
    <x v="55"/>
    <n v="375"/>
    <n v="0"/>
    <n v="10"/>
    <n v="385"/>
    <s v="OK"/>
    <n v="765818.9"/>
    <n v="0"/>
    <m/>
    <s v="Never Sold"/>
    <s v="OK BUT BE CHECKING"/>
    <s v="ACTIVE"/>
    <n v="0"/>
  </r>
  <r>
    <s v="ITEM144-A"/>
    <x v="7"/>
    <x v="5"/>
    <x v="1"/>
    <s v="130.98"/>
    <s v="219.69"/>
    <x v="30"/>
    <n v="1230"/>
    <n v="0"/>
    <n v="1"/>
    <n v="1231"/>
    <s v="OK"/>
    <n v="161236.37999999998"/>
    <n v="0"/>
    <m/>
    <s v="Never Sold"/>
    <s v="OK BUT BE CHECKING"/>
    <s v="ACTIVE"/>
    <n v="0"/>
  </r>
  <r>
    <s v="ITEM145-A"/>
    <x v="17"/>
    <x v="0"/>
    <x v="8"/>
    <s v="1359.87"/>
    <s v="1566.69"/>
    <x v="10"/>
    <n v="960"/>
    <n v="18"/>
    <n v="26"/>
    <n v="968"/>
    <s v="OK"/>
    <n v="1316354.1599999999"/>
    <n v="28200.420000000002"/>
    <d v="2025-03-18T00:00:00"/>
    <n v="316"/>
    <s v="OK BUT BE CHECKING"/>
    <s v="ACTIVE"/>
    <n v="0"/>
  </r>
  <r>
    <s v="ITEM146-A"/>
    <x v="3"/>
    <x v="0"/>
    <x v="10"/>
    <s v="1452.2"/>
    <s v="2720.41"/>
    <x v="1"/>
    <n v="720"/>
    <n v="0"/>
    <n v="11"/>
    <n v="731"/>
    <s v="OK"/>
    <n v="1061558.2"/>
    <n v="0"/>
    <m/>
    <s v="Never Sold"/>
    <s v="OK BUT BE CHECKING"/>
    <s v="ACTIVE"/>
    <n v="0"/>
  </r>
  <r>
    <s v="ITEM147-A"/>
    <x v="47"/>
    <x v="2"/>
    <x v="8"/>
    <s v="775.41"/>
    <s v="1381.41"/>
    <x v="51"/>
    <n v="765"/>
    <n v="9"/>
    <n v="0"/>
    <n v="756"/>
    <s v="OK"/>
    <n v="586209.96"/>
    <n v="12432.69"/>
    <d v="2024-10-06T00:00:00"/>
    <n v="479"/>
    <s v="OK BUT BE CHECKING"/>
    <s v="ACTIVE"/>
    <n v="0"/>
  </r>
  <r>
    <s v="ITEM148-A"/>
    <x v="17"/>
    <x v="0"/>
    <x v="8"/>
    <s v="1417.31"/>
    <s v="2395.4"/>
    <x v="75"/>
    <n v="1290"/>
    <n v="0"/>
    <n v="0"/>
    <n v="1290"/>
    <s v="OK"/>
    <n v="1828329.9"/>
    <n v="0"/>
    <m/>
    <s v="Never Sold"/>
    <s v="OK BUT BE CHECKING"/>
    <s v="ACTIVE"/>
    <n v="0"/>
  </r>
  <r>
    <s v="ITEM149-A"/>
    <x v="21"/>
    <x v="6"/>
    <x v="0"/>
    <s v="1801.69"/>
    <s v="2159.55"/>
    <x v="67"/>
    <n v="555"/>
    <n v="0"/>
    <n v="0"/>
    <n v="555"/>
    <s v="OK"/>
    <n v="999937.95000000007"/>
    <n v="0"/>
    <m/>
    <s v="Never Sold"/>
    <s v="OK BUT BE CHECKING"/>
    <s v="ACTIVE"/>
    <n v="0"/>
  </r>
  <r>
    <s v="ITEM150-A"/>
    <x v="22"/>
    <x v="3"/>
    <x v="2"/>
    <s v="299.29"/>
    <s v="349.06"/>
    <x v="4"/>
    <n v="1215"/>
    <n v="0"/>
    <n v="0"/>
    <n v="1215"/>
    <s v="OK"/>
    <n v="363637.35000000003"/>
    <n v="0"/>
    <m/>
    <s v="Never Sold"/>
    <s v="OK BUT BE CHECKING"/>
    <s v="ACTIVE"/>
    <n v="0"/>
  </r>
  <r>
    <s v="ITEM151-A"/>
    <x v="14"/>
    <x v="7"/>
    <x v="6"/>
    <s v="1567.24"/>
    <s v="2166.32"/>
    <x v="62"/>
    <n v="510"/>
    <n v="0"/>
    <n v="12"/>
    <n v="522"/>
    <s v="OK"/>
    <n v="818099.28"/>
    <n v="0"/>
    <m/>
    <s v="Never Sold"/>
    <s v="OK BUT BE CHECKING"/>
    <s v="ACTIVE"/>
    <n v="0"/>
  </r>
  <r>
    <s v="ITEM152-A"/>
    <x v="49"/>
    <x v="2"/>
    <x v="10"/>
    <s v="1068.98"/>
    <s v="1688.32"/>
    <x v="35"/>
    <n v="465"/>
    <n v="0"/>
    <n v="11"/>
    <n v="476"/>
    <s v="OK"/>
    <n v="508834.48"/>
    <n v="0"/>
    <m/>
    <s v="Never Sold"/>
    <s v="OK BUT BE CHECKING"/>
    <s v="ACTIVE"/>
    <n v="0"/>
  </r>
  <r>
    <s v="ITEM153-A"/>
    <x v="26"/>
    <x v="9"/>
    <x v="1"/>
    <s v="506.25"/>
    <s v="569.4"/>
    <x v="65"/>
    <n v="570"/>
    <n v="0"/>
    <n v="11"/>
    <n v="581"/>
    <s v="OK"/>
    <n v="294131.25"/>
    <n v="0"/>
    <m/>
    <s v="Never Sold"/>
    <s v="OK BUT BE CHECKING"/>
    <s v="ACTIVE"/>
    <n v="0"/>
  </r>
  <r>
    <s v="ITEM154-A"/>
    <x v="34"/>
    <x v="8"/>
    <x v="6"/>
    <s v="556.68"/>
    <s v="1001.84"/>
    <x v="52"/>
    <n v="975"/>
    <n v="0"/>
    <n v="3"/>
    <n v="978"/>
    <s v="OK"/>
    <n v="544433.03999999992"/>
    <n v="0"/>
    <m/>
    <s v="Never Sold"/>
    <s v="OK BUT BE CHECKING"/>
    <s v="ACTIVE"/>
    <n v="0"/>
  </r>
  <r>
    <s v="ITEM155-A"/>
    <x v="1"/>
    <x v="1"/>
    <x v="11"/>
    <s v="1636.56"/>
    <s v="2991.32"/>
    <x v="32"/>
    <n v="1275"/>
    <n v="0"/>
    <n v="0"/>
    <n v="1275"/>
    <s v="OK"/>
    <n v="2086614"/>
    <n v="0"/>
    <m/>
    <s v="Never Sold"/>
    <s v="OK BUT BE CHECKING"/>
    <s v="ACTIVE"/>
    <n v="0"/>
  </r>
  <r>
    <s v="ITEM156-A"/>
    <x v="26"/>
    <x v="9"/>
    <x v="9"/>
    <s v="1019.63"/>
    <s v="1892.72"/>
    <x v="46"/>
    <n v="150"/>
    <n v="0"/>
    <n v="5"/>
    <n v="155"/>
    <s v="OK"/>
    <n v="158042.65"/>
    <n v="0"/>
    <m/>
    <s v="Never Sold"/>
    <s v="OK BUT BE CHECKING"/>
    <s v="ACTIVE"/>
    <n v="0"/>
  </r>
  <r>
    <s v="ITEM157-A"/>
    <x v="10"/>
    <x v="5"/>
    <x v="1"/>
    <s v="1472.3"/>
    <s v="2015.11"/>
    <x v="39"/>
    <n v="945"/>
    <n v="12"/>
    <n v="21"/>
    <n v="954"/>
    <s v="OK"/>
    <n v="1404574.2"/>
    <n v="24181.32"/>
    <d v="2024-09-28T00:00:00"/>
    <n v="487"/>
    <s v="OK BUT BE CHECKING"/>
    <s v="ACTIVE"/>
    <n v="0"/>
  </r>
  <r>
    <s v="ITEM158-A"/>
    <x v="50"/>
    <x v="4"/>
    <x v="8"/>
    <s v="1896.27"/>
    <s v="3407.56"/>
    <x v="35"/>
    <n v="465"/>
    <n v="0"/>
    <n v="5"/>
    <n v="470"/>
    <s v="OK"/>
    <n v="891246.9"/>
    <n v="0"/>
    <m/>
    <s v="Never Sold"/>
    <s v="OK BUT BE CHECKING"/>
    <s v="ACTIVE"/>
    <n v="0"/>
  </r>
  <r>
    <s v="ITEM159-A"/>
    <x v="38"/>
    <x v="7"/>
    <x v="10"/>
    <s v="755.54"/>
    <s v="1351.81"/>
    <x v="75"/>
    <n v="1290"/>
    <n v="0"/>
    <n v="36"/>
    <n v="1326"/>
    <s v="OK"/>
    <n v="1001846.0399999999"/>
    <n v="0"/>
    <m/>
    <s v="Never Sold"/>
    <s v="OK BUT BE CHECKING"/>
    <s v="ACTIVE"/>
    <n v="0"/>
  </r>
  <r>
    <s v="ITEM160-A"/>
    <x v="26"/>
    <x v="9"/>
    <x v="9"/>
    <s v="649.64"/>
    <s v="1185.92"/>
    <x v="53"/>
    <n v="795"/>
    <n v="50"/>
    <n v="0"/>
    <n v="745"/>
    <s v="OK"/>
    <n v="483981.8"/>
    <n v="59296"/>
    <d v="2024-10-11T00:00:00"/>
    <n v="474"/>
    <s v="OK BUT BE CHECKING"/>
    <s v="ACTIVE"/>
    <n v="0"/>
  </r>
  <r>
    <s v="ITEM161-A"/>
    <x v="15"/>
    <x v="5"/>
    <x v="10"/>
    <s v="557.53"/>
    <s v="904.64"/>
    <x v="37"/>
    <n v="255"/>
    <n v="0"/>
    <n v="2"/>
    <n v="257"/>
    <s v="OK"/>
    <n v="143285.21"/>
    <n v="0"/>
    <m/>
    <s v="Never Sold"/>
    <s v="OK BUT BE CHECKING"/>
    <s v="ACTIVE"/>
    <n v="0"/>
  </r>
  <r>
    <s v="ITEM162-A"/>
    <x v="44"/>
    <x v="5"/>
    <x v="1"/>
    <s v="724.45"/>
    <s v="822.0"/>
    <x v="76"/>
    <n v="915"/>
    <n v="130"/>
    <n v="19"/>
    <n v="804"/>
    <s v="OK"/>
    <n v="582457.80000000005"/>
    <n v="106860"/>
    <d v="2024-12-15T00:00:00"/>
    <n v="409"/>
    <s v="OK BUT BE CHECKING"/>
    <s v="ACTIVE"/>
    <n v="0"/>
  </r>
  <r>
    <s v="ITEM163-A"/>
    <x v="10"/>
    <x v="5"/>
    <x v="2"/>
    <s v="432.74"/>
    <s v="783.17"/>
    <x v="4"/>
    <n v="1215"/>
    <n v="0"/>
    <n v="4"/>
    <n v="1219"/>
    <s v="OK"/>
    <n v="527510.06000000006"/>
    <n v="0"/>
    <m/>
    <s v="Never Sold"/>
    <s v="OK BUT BE CHECKING"/>
    <s v="ACTIVE"/>
    <n v="0"/>
  </r>
  <r>
    <s v="ITEM164-A"/>
    <x v="42"/>
    <x v="6"/>
    <x v="6"/>
    <s v="1182.98"/>
    <s v="2122.61"/>
    <x v="4"/>
    <n v="1215"/>
    <n v="23"/>
    <n v="20"/>
    <n v="1212"/>
    <s v="OK"/>
    <n v="1433771.76"/>
    <n v="48820.030000000006"/>
    <d v="2025-01-09T00:00:00"/>
    <n v="384"/>
    <s v="OK BUT BE CHECKING"/>
    <s v="ACTIVE"/>
    <n v="0"/>
  </r>
  <r>
    <s v="ITEM165-A"/>
    <x v="17"/>
    <x v="0"/>
    <x v="9"/>
    <s v="642.04"/>
    <s v="1179.39"/>
    <x v="27"/>
    <n v="315"/>
    <n v="0"/>
    <n v="6"/>
    <n v="321"/>
    <s v="OK"/>
    <n v="206094.84"/>
    <n v="0"/>
    <m/>
    <s v="Never Sold"/>
    <s v="OK BUT BE CHECKING"/>
    <s v="ACTIVE"/>
    <n v="0"/>
  </r>
  <r>
    <s v="ITEM166-A"/>
    <x v="14"/>
    <x v="7"/>
    <x v="9"/>
    <s v="475.3"/>
    <s v="649.71"/>
    <x v="62"/>
    <n v="510"/>
    <n v="0"/>
    <n v="28"/>
    <n v="538"/>
    <s v="OK"/>
    <n v="255711.4"/>
    <n v="0"/>
    <m/>
    <s v="Never Sold"/>
    <s v="OK BUT BE CHECKING"/>
    <s v="ACTIVE"/>
    <n v="0"/>
  </r>
  <r>
    <s v="ITEM167-A"/>
    <x v="35"/>
    <x v="0"/>
    <x v="6"/>
    <s v="461.01"/>
    <s v="868.5"/>
    <x v="47"/>
    <n v="1440"/>
    <n v="0"/>
    <n v="27"/>
    <n v="1467"/>
    <s v="OK"/>
    <n v="676301.67"/>
    <n v="0"/>
    <m/>
    <s v="Never Sold"/>
    <s v="OK BUT BE CHECKING"/>
    <s v="ACTIVE"/>
    <n v="0"/>
  </r>
  <r>
    <s v="ITEM168-A"/>
    <x v="36"/>
    <x v="4"/>
    <x v="1"/>
    <s v="1548.11"/>
    <s v="2421.28"/>
    <x v="53"/>
    <n v="795"/>
    <n v="0"/>
    <n v="0"/>
    <n v="795"/>
    <s v="OK"/>
    <n v="1230747.45"/>
    <n v="0"/>
    <m/>
    <s v="Never Sold"/>
    <s v="OK BUT BE CHECKING"/>
    <s v="ACTIVE"/>
    <n v="0"/>
  </r>
  <r>
    <s v="ITEM169-A"/>
    <x v="29"/>
    <x v="2"/>
    <x v="0"/>
    <s v="499.16"/>
    <s v="925.16"/>
    <x v="77"/>
    <n v="615"/>
    <n v="0"/>
    <n v="3"/>
    <n v="618"/>
    <s v="OK"/>
    <n v="308480.88"/>
    <n v="0"/>
    <m/>
    <s v="Never Sold"/>
    <s v="OK BUT BE CHECKING"/>
    <s v="ACTIVE"/>
    <n v="0"/>
  </r>
  <r>
    <s v="ITEM170-A"/>
    <x v="44"/>
    <x v="5"/>
    <x v="4"/>
    <s v="1008.58"/>
    <s v="1408.56"/>
    <x v="5"/>
    <n v="1395"/>
    <n v="0"/>
    <n v="9"/>
    <n v="1404"/>
    <s v="OK"/>
    <n v="1416046.32"/>
    <n v="0"/>
    <m/>
    <s v="Never Sold"/>
    <s v="OK BUT BE CHECKING"/>
    <s v="ACTIVE"/>
    <n v="0"/>
  </r>
  <r>
    <s v="ITEM171-A"/>
    <x v="39"/>
    <x v="9"/>
    <x v="2"/>
    <s v="1041.64"/>
    <s v="1961.35"/>
    <x v="3"/>
    <n v="735"/>
    <n v="0"/>
    <n v="0"/>
    <n v="735"/>
    <s v="OK"/>
    <n v="765605.4"/>
    <n v="0"/>
    <m/>
    <s v="Never Sold"/>
    <s v="OK BUT BE CHECKING"/>
    <s v="ACTIVE"/>
    <n v="0"/>
  </r>
  <r>
    <s v="ITEM172-A"/>
    <x v="5"/>
    <x v="4"/>
    <x v="7"/>
    <s v="456.39"/>
    <s v="628.81"/>
    <x v="5"/>
    <n v="1395"/>
    <n v="0"/>
    <n v="0"/>
    <n v="1395"/>
    <s v="OK"/>
    <n v="636664.04999999993"/>
    <n v="0"/>
    <m/>
    <s v="Never Sold"/>
    <s v="OK BUT BE CHECKING"/>
    <s v="ACTIVE"/>
    <n v="0"/>
  </r>
  <r>
    <s v="ITEM173-A"/>
    <x v="30"/>
    <x v="8"/>
    <x v="0"/>
    <s v="598.67"/>
    <s v="1067.99"/>
    <x v="78"/>
    <n v="870"/>
    <n v="0"/>
    <n v="1"/>
    <n v="871"/>
    <s v="OK"/>
    <n v="521441.56999999995"/>
    <n v="0"/>
    <m/>
    <s v="Never Sold"/>
    <s v="OK BUT BE CHECKING"/>
    <s v="ACTIVE"/>
    <n v="0"/>
  </r>
  <r>
    <s v="ITEM174-A"/>
    <x v="27"/>
    <x v="8"/>
    <x v="8"/>
    <s v="1189.41"/>
    <s v="1654.57"/>
    <x v="53"/>
    <n v="795"/>
    <n v="15"/>
    <n v="8"/>
    <n v="788"/>
    <s v="OK"/>
    <n v="937255.08000000007"/>
    <n v="24818.55"/>
    <d v="2025-04-03T00:00:00"/>
    <n v="300"/>
    <s v="OK BUT BE CHECKING"/>
    <s v="ACTIVE"/>
    <n v="0"/>
  </r>
  <r>
    <s v="ITEM175-A"/>
    <x v="4"/>
    <x v="3"/>
    <x v="3"/>
    <s v="1677.26"/>
    <s v="2423.02"/>
    <x v="79"/>
    <n v="930"/>
    <n v="0"/>
    <n v="0"/>
    <n v="930"/>
    <s v="OK"/>
    <n v="1559851.8"/>
    <n v="0"/>
    <m/>
    <s v="Never Sold"/>
    <s v="OK BUT BE CHECKING"/>
    <s v="ACTIVE"/>
    <n v="0"/>
  </r>
  <r>
    <s v="ITEM176-A"/>
    <x v="46"/>
    <x v="7"/>
    <x v="5"/>
    <s v="1240.67"/>
    <s v="1417.65"/>
    <x v="66"/>
    <n v="1380"/>
    <n v="0"/>
    <n v="0"/>
    <n v="1380"/>
    <s v="OK"/>
    <n v="1712124.6"/>
    <n v="0"/>
    <m/>
    <s v="Never Sold"/>
    <s v="OK BUT BE CHECKING"/>
    <s v="ACTIVE"/>
    <n v="0"/>
  </r>
  <r>
    <s v="ITEM177-A"/>
    <x v="41"/>
    <x v="9"/>
    <x v="1"/>
    <s v="259.02"/>
    <s v="513.21"/>
    <x v="1"/>
    <n v="720"/>
    <n v="0"/>
    <n v="0"/>
    <n v="720"/>
    <s v="OK"/>
    <n v="186494.4"/>
    <n v="0"/>
    <m/>
    <s v="Never Sold"/>
    <s v="OK BUT BE CHECKING"/>
    <s v="ACTIVE"/>
    <n v="0"/>
  </r>
  <r>
    <s v="ITEM178-A"/>
    <x v="51"/>
    <x v="2"/>
    <x v="1"/>
    <s v="1956.84"/>
    <s v="3121.43"/>
    <x v="39"/>
    <n v="945"/>
    <n v="10"/>
    <n v="0"/>
    <n v="935"/>
    <s v="OK"/>
    <n v="1829645.4"/>
    <n v="31214.3"/>
    <d v="2024-05-28T00:00:00"/>
    <n v="610"/>
    <s v="OK BUT BE CHECKING"/>
    <s v="ACTIVE"/>
    <n v="0"/>
  </r>
  <r>
    <s v="ITEM179-A"/>
    <x v="30"/>
    <x v="8"/>
    <x v="0"/>
    <s v="1479.69"/>
    <s v="2251.15"/>
    <x v="51"/>
    <n v="765"/>
    <n v="0"/>
    <n v="4"/>
    <n v="769"/>
    <s v="OK"/>
    <n v="1137881.6100000001"/>
    <n v="0"/>
    <m/>
    <s v="Never Sold"/>
    <s v="OK BUT BE CHECKING"/>
    <s v="ACTIVE"/>
    <n v="0"/>
  </r>
  <r>
    <s v="ITEM180-A"/>
    <x v="6"/>
    <x v="1"/>
    <x v="10"/>
    <s v="851.43"/>
    <s v="937.81"/>
    <x v="9"/>
    <n v="1185"/>
    <n v="1"/>
    <n v="18"/>
    <n v="1202"/>
    <s v="OK"/>
    <n v="1023418.86"/>
    <n v="937.81"/>
    <d v="2024-11-13T00:00:00"/>
    <n v="441"/>
    <s v="OK BUT BE CHECKING"/>
    <s v="ACTIVE"/>
    <n v="0"/>
  </r>
  <r>
    <s v="ITEM181-A"/>
    <x v="1"/>
    <x v="1"/>
    <x v="8"/>
    <s v="1803.99"/>
    <s v="2867.27"/>
    <x v="56"/>
    <n v="1500"/>
    <n v="0"/>
    <n v="20"/>
    <n v="1520"/>
    <s v="OK"/>
    <n v="2742064.8"/>
    <n v="0"/>
    <m/>
    <s v="Never Sold"/>
    <s v="OK BUT BE CHECKING"/>
    <s v="ACTIVE"/>
    <n v="0"/>
  </r>
  <r>
    <s v="ITEM182-A"/>
    <x v="52"/>
    <x v="8"/>
    <x v="11"/>
    <s v="353.9"/>
    <s v="685.06"/>
    <x v="77"/>
    <n v="615"/>
    <n v="0"/>
    <n v="0"/>
    <n v="615"/>
    <s v="OK"/>
    <n v="217648.5"/>
    <n v="0"/>
    <m/>
    <s v="Never Sold"/>
    <s v="OK BUT BE CHECKING"/>
    <s v="ACTIVE"/>
    <n v="0"/>
  </r>
  <r>
    <s v="ITEM183-A"/>
    <x v="17"/>
    <x v="0"/>
    <x v="8"/>
    <s v="369.72"/>
    <s v="713.58"/>
    <x v="63"/>
    <n v="1365"/>
    <n v="15"/>
    <n v="11"/>
    <n v="1361"/>
    <s v="OK"/>
    <n v="503188.92000000004"/>
    <n v="10703.7"/>
    <d v="2025-07-05T00:00:00"/>
    <n v="207"/>
    <s v="OK BUT BE CHECKING"/>
    <s v="ACTIVE"/>
    <n v="0"/>
  </r>
  <r>
    <s v="ITEM184-A"/>
    <x v="53"/>
    <x v="2"/>
    <x v="3"/>
    <s v="1176.27"/>
    <s v="1507.3"/>
    <x v="80"/>
    <n v="630"/>
    <n v="0"/>
    <n v="3"/>
    <n v="633"/>
    <s v="OK"/>
    <n v="744578.91"/>
    <n v="0"/>
    <m/>
    <s v="Never Sold"/>
    <s v="OK BUT BE CHECKING"/>
    <s v="ACTIVE"/>
    <n v="0"/>
  </r>
  <r>
    <s v="ITEM185-A"/>
    <x v="2"/>
    <x v="2"/>
    <x v="3"/>
    <s v="1456.62"/>
    <s v="2887.33"/>
    <x v="73"/>
    <n v="1170"/>
    <n v="0"/>
    <n v="8"/>
    <n v="1178"/>
    <s v="OK"/>
    <n v="1715898.3599999999"/>
    <n v="0"/>
    <m/>
    <s v="Never Sold"/>
    <s v="OK BUT BE CHECKING"/>
    <s v="ACTIVE"/>
    <n v="0"/>
  </r>
  <r>
    <s v="ITEM186-A"/>
    <x v="38"/>
    <x v="7"/>
    <x v="2"/>
    <s v="865.08"/>
    <s v="1419.74"/>
    <x v="37"/>
    <n v="255"/>
    <n v="1"/>
    <n v="0"/>
    <n v="254"/>
    <s v="OK"/>
    <n v="219730.32"/>
    <n v="1419.74"/>
    <d v="2024-10-09T00:00:00"/>
    <n v="476"/>
    <s v="OK BUT BE CHECKING"/>
    <s v="ACTIVE"/>
    <n v="0"/>
  </r>
  <r>
    <s v="ITEM187-A"/>
    <x v="44"/>
    <x v="5"/>
    <x v="3"/>
    <s v="259.22"/>
    <s v="311.1"/>
    <x v="53"/>
    <n v="795"/>
    <n v="0"/>
    <n v="12"/>
    <n v="807"/>
    <s v="OK"/>
    <n v="209190.54"/>
    <n v="0"/>
    <m/>
    <s v="Never Sold"/>
    <s v="OK BUT BE CHECKING"/>
    <s v="ACTIVE"/>
    <n v="0"/>
  </r>
  <r>
    <s v="ITEM188-A"/>
    <x v="25"/>
    <x v="8"/>
    <x v="7"/>
    <s v="367.79"/>
    <s v="671.88"/>
    <x v="64"/>
    <n v="180"/>
    <n v="0"/>
    <n v="0"/>
    <n v="180"/>
    <s v="OK"/>
    <n v="66202.2"/>
    <n v="0"/>
    <m/>
    <s v="Never Sold"/>
    <s v="OK BUT BE CHECKING"/>
    <s v="ACTIVE"/>
    <n v="0"/>
  </r>
  <r>
    <s v="ITEM189-A"/>
    <x v="5"/>
    <x v="4"/>
    <x v="10"/>
    <s v="1832.13"/>
    <s v="3368.34"/>
    <x v="58"/>
    <n v="1110"/>
    <n v="190"/>
    <n v="0"/>
    <n v="920"/>
    <s v="OK"/>
    <n v="1685559.6"/>
    <n v="639984.6"/>
    <d v="2025-12-21T00:00:00"/>
    <n v="38"/>
    <s v="OK BUT BE CHECKING"/>
    <s v="ACTIVE"/>
    <n v="0"/>
  </r>
  <r>
    <s v="ITEM190-A"/>
    <x v="52"/>
    <x v="8"/>
    <x v="8"/>
    <s v="1445.39"/>
    <s v="1759.42"/>
    <x v="54"/>
    <n v="1080"/>
    <n v="0"/>
    <n v="2"/>
    <n v="1082"/>
    <s v="OK"/>
    <n v="1563911.9800000002"/>
    <n v="0"/>
    <m/>
    <s v="Never Sold"/>
    <s v="OK BUT BE CHECKING"/>
    <s v="ACTIVE"/>
    <n v="0"/>
  </r>
  <r>
    <s v="ITEM191-A"/>
    <x v="7"/>
    <x v="5"/>
    <x v="9"/>
    <s v="124.94"/>
    <s v="158.53"/>
    <x v="38"/>
    <n v="990"/>
    <n v="0"/>
    <n v="0"/>
    <n v="990"/>
    <s v="OK"/>
    <n v="123690.59999999999"/>
    <n v="0"/>
    <m/>
    <s v="Never Sold"/>
    <s v="OK BUT BE CHECKING"/>
    <s v="ACTIVE"/>
    <n v="0"/>
  </r>
  <r>
    <s v="ITEM192-A"/>
    <x v="15"/>
    <x v="5"/>
    <x v="5"/>
    <s v="1803.65"/>
    <s v="2902.31"/>
    <x v="43"/>
    <n v="1410"/>
    <n v="0"/>
    <n v="8"/>
    <n v="1418"/>
    <s v="OK"/>
    <n v="2557575.7000000002"/>
    <n v="0"/>
    <m/>
    <s v="Never Sold"/>
    <s v="OK BUT BE CHECKING"/>
    <s v="ACTIVE"/>
    <n v="0"/>
  </r>
  <r>
    <s v="ITEM193-A"/>
    <x v="23"/>
    <x v="4"/>
    <x v="5"/>
    <s v="1653.7"/>
    <s v="2968.99"/>
    <x v="69"/>
    <n v="1035"/>
    <n v="0"/>
    <n v="8"/>
    <n v="1043"/>
    <s v="OK"/>
    <n v="1724809.1"/>
    <n v="0"/>
    <m/>
    <s v="Never Sold"/>
    <s v="OK BUT BE CHECKING"/>
    <s v="ACTIVE"/>
    <n v="0"/>
  </r>
  <r>
    <s v="ITEM194-A"/>
    <x v="38"/>
    <x v="7"/>
    <x v="7"/>
    <s v="742.32"/>
    <s v="1301.85"/>
    <x v="81"/>
    <n v="1485"/>
    <n v="0"/>
    <n v="30"/>
    <n v="1515"/>
    <s v="OK"/>
    <n v="1124614.8"/>
    <n v="0"/>
    <m/>
    <s v="Never Sold"/>
    <s v="OK BUT BE CHECKING"/>
    <s v="ACTIVE"/>
    <n v="0"/>
  </r>
  <r>
    <s v="ITEM195-A"/>
    <x v="14"/>
    <x v="7"/>
    <x v="4"/>
    <s v="1916.28"/>
    <s v="3256.89"/>
    <x v="5"/>
    <n v="1395"/>
    <n v="8"/>
    <n v="23"/>
    <n v="1410"/>
    <s v="OK"/>
    <n v="2701954.8"/>
    <n v="26055.119999999999"/>
    <d v="2024-08-04T00:00:00"/>
    <n v="542"/>
    <s v="OK BUT BE CHECKING"/>
    <s v="ACTIVE"/>
    <n v="0"/>
  </r>
  <r>
    <s v="ITEM196-A"/>
    <x v="40"/>
    <x v="2"/>
    <x v="3"/>
    <s v="1059.96"/>
    <s v="1686.26"/>
    <x v="81"/>
    <n v="1485"/>
    <n v="0"/>
    <n v="4"/>
    <n v="1489"/>
    <s v="OK"/>
    <n v="1578280.44"/>
    <n v="0"/>
    <m/>
    <s v="Never Sold"/>
    <s v="OK BUT BE CHECKING"/>
    <s v="ACTIVE"/>
    <n v="0"/>
  </r>
  <r>
    <s v="ITEM197-A"/>
    <x v="43"/>
    <x v="4"/>
    <x v="1"/>
    <s v="1136.03"/>
    <s v="2107.31"/>
    <x v="65"/>
    <n v="570"/>
    <n v="0"/>
    <n v="2"/>
    <n v="572"/>
    <s v="OK"/>
    <n v="649809.16"/>
    <n v="0"/>
    <m/>
    <s v="Never Sold"/>
    <s v="OK BUT BE CHECKING"/>
    <s v="ACTIVE"/>
    <n v="0"/>
  </r>
  <r>
    <s v="ITEM198-A"/>
    <x v="50"/>
    <x v="4"/>
    <x v="2"/>
    <s v="1718.73"/>
    <s v="2021.74"/>
    <x v="64"/>
    <n v="180"/>
    <n v="4"/>
    <n v="4"/>
    <n v="180"/>
    <s v="OK"/>
    <n v="309371.40000000002"/>
    <n v="8086.96"/>
    <d v="2025-06-29T00:00:00"/>
    <n v="213"/>
    <s v="OK BUT BE CHECKING"/>
    <s v="ACTIVE"/>
    <n v="0"/>
  </r>
  <r>
    <s v="ITEM199-A"/>
    <x v="6"/>
    <x v="1"/>
    <x v="8"/>
    <s v="986.54"/>
    <s v="1446.34"/>
    <x v="17"/>
    <n v="675"/>
    <n v="0"/>
    <n v="3"/>
    <n v="678"/>
    <s v="OK"/>
    <n v="668874.12"/>
    <n v="0"/>
    <m/>
    <s v="Never Sold"/>
    <s v="OK BUT BE CHECKING"/>
    <s v="ACTIVE"/>
    <n v="0"/>
  </r>
  <r>
    <s v="ITEM200-A"/>
    <x v="24"/>
    <x v="3"/>
    <x v="3"/>
    <s v="1064.98"/>
    <s v="2095.04"/>
    <x v="53"/>
    <n v="795"/>
    <n v="200"/>
    <n v="0"/>
    <n v="595"/>
    <s v="OK"/>
    <n v="633663.1"/>
    <n v="419008"/>
    <d v="2024-12-23T00:00:00"/>
    <n v="401"/>
    <s v="OK BUT BE CHECKING"/>
    <s v="ACTIVE"/>
    <n v="0"/>
  </r>
  <r>
    <s v="ITEM201-A"/>
    <x v="33"/>
    <x v="7"/>
    <x v="11"/>
    <s v="1873.51"/>
    <s v="3047.44"/>
    <x v="37"/>
    <n v="255"/>
    <n v="0"/>
    <n v="0"/>
    <n v="255"/>
    <s v="OK"/>
    <n v="477745.05"/>
    <n v="0"/>
    <m/>
    <s v="Never Sold"/>
    <s v="OK BUT BE CHECKING"/>
    <s v="ACTIVE"/>
    <n v="0"/>
  </r>
  <r>
    <s v="ITEM202-A"/>
    <x v="33"/>
    <x v="7"/>
    <x v="10"/>
    <s v="106.55"/>
    <s v="189.98"/>
    <x v="8"/>
    <n v="645"/>
    <n v="0"/>
    <n v="4"/>
    <n v="649"/>
    <s v="OK"/>
    <n v="69150.95"/>
    <n v="0"/>
    <m/>
    <s v="Never Sold"/>
    <s v="OK BUT BE CHECKING"/>
    <s v="ACTIVE"/>
    <n v="0"/>
  </r>
  <r>
    <s v="ITEM203-A"/>
    <x v="9"/>
    <x v="6"/>
    <x v="10"/>
    <s v="1541.48"/>
    <s v="2920.66"/>
    <x v="57"/>
    <n v="390"/>
    <n v="6"/>
    <n v="4"/>
    <n v="388"/>
    <s v="OK"/>
    <n v="598094.24"/>
    <n v="17523.96"/>
    <d v="2024-07-30T00:00:00"/>
    <n v="547"/>
    <s v="OK BUT BE CHECKING"/>
    <s v="ACTIVE"/>
    <n v="0"/>
  </r>
  <r>
    <s v="ITEM204-A"/>
    <x v="54"/>
    <x v="6"/>
    <x v="0"/>
    <s v="1639.77"/>
    <s v="2282.14"/>
    <x v="82"/>
    <n v="405"/>
    <n v="0"/>
    <n v="13"/>
    <n v="418"/>
    <s v="OK"/>
    <n v="685423.86"/>
    <n v="0"/>
    <m/>
    <s v="Never Sold"/>
    <s v="OK BUT BE CHECKING"/>
    <s v="ACTIVE"/>
    <n v="0"/>
  </r>
  <r>
    <s v="ITEM205-A"/>
    <x v="26"/>
    <x v="9"/>
    <x v="3"/>
    <s v="352.76"/>
    <s v="496.46"/>
    <x v="55"/>
    <n v="375"/>
    <n v="13"/>
    <n v="13"/>
    <n v="375"/>
    <s v="OK"/>
    <n v="132285"/>
    <n v="6453.98"/>
    <d v="2024-12-30T00:00:00"/>
    <n v="394"/>
    <s v="OK BUT BE CHECKING"/>
    <s v="ACTIVE"/>
    <n v="0"/>
  </r>
  <r>
    <s v="ITEM206-A"/>
    <x v="8"/>
    <x v="5"/>
    <x v="8"/>
    <s v="1459.98"/>
    <s v="1979.7"/>
    <x v="15"/>
    <n v="825"/>
    <n v="0"/>
    <n v="11"/>
    <n v="836"/>
    <s v="OK"/>
    <n v="1220543.28"/>
    <n v="0"/>
    <m/>
    <s v="Never Sold"/>
    <s v="OK BUT BE CHECKING"/>
    <s v="ACTIVE"/>
    <n v="0"/>
  </r>
  <r>
    <s v="ITEM207-A"/>
    <x v="6"/>
    <x v="1"/>
    <x v="11"/>
    <s v="694.52"/>
    <s v="778.25"/>
    <x v="20"/>
    <n v="750"/>
    <n v="0"/>
    <n v="0"/>
    <n v="750"/>
    <s v="OK"/>
    <n v="520890"/>
    <n v="0"/>
    <m/>
    <s v="Never Sold"/>
    <s v="OK BUT BE CHECKING"/>
    <s v="ACTIVE"/>
    <n v="0"/>
  </r>
  <r>
    <s v="ITEM208-A"/>
    <x v="1"/>
    <x v="1"/>
    <x v="1"/>
    <s v="508.26"/>
    <s v="1010.68"/>
    <x v="45"/>
    <n v="1470"/>
    <n v="0"/>
    <n v="0"/>
    <n v="1470"/>
    <s v="OK"/>
    <n v="747142.2"/>
    <n v="0"/>
    <m/>
    <s v="Never Sold"/>
    <s v="OK BUT BE CHECKING"/>
    <s v="ACTIVE"/>
    <n v="0"/>
  </r>
  <r>
    <s v="ITEM209-A"/>
    <x v="39"/>
    <x v="9"/>
    <x v="5"/>
    <s v="885.03"/>
    <s v="1633.92"/>
    <x v="0"/>
    <n v="540"/>
    <n v="0"/>
    <n v="0"/>
    <n v="540"/>
    <s v="OK"/>
    <n v="477916.2"/>
    <n v="0"/>
    <m/>
    <s v="Never Sold"/>
    <s v="OK BUT BE CHECKING"/>
    <s v="ACTIVE"/>
    <n v="0"/>
  </r>
  <r>
    <s v="ITEM210-A"/>
    <x v="55"/>
    <x v="7"/>
    <x v="7"/>
    <s v="476.75"/>
    <s v="828.65"/>
    <x v="70"/>
    <n v="435"/>
    <n v="8"/>
    <n v="8"/>
    <n v="435"/>
    <s v="OK"/>
    <n v="207386.25"/>
    <n v="6629.2"/>
    <d v="2025-10-03T00:00:00"/>
    <n v="117"/>
    <s v="OK BUT BE CHECKING"/>
    <s v="ACTIVE"/>
    <n v="0"/>
  </r>
  <r>
    <s v="ITEM211-A"/>
    <x v="27"/>
    <x v="8"/>
    <x v="1"/>
    <s v="1685.14"/>
    <s v="2383.24"/>
    <x v="46"/>
    <n v="150"/>
    <n v="136"/>
    <n v="0"/>
    <n v="14"/>
    <s v="OK"/>
    <n v="23591.960000000003"/>
    <n v="324120.63999999996"/>
    <d v="2025-12-22T00:00:00"/>
    <n v="37"/>
    <s v="OK BUT BE CHECKING"/>
    <s v="ACTIVE"/>
    <n v="0"/>
  </r>
  <r>
    <s v="ITEM212-A"/>
    <x v="11"/>
    <x v="7"/>
    <x v="5"/>
    <s v="1191.96"/>
    <s v="1947.55"/>
    <x v="72"/>
    <n v="270"/>
    <n v="4"/>
    <n v="0"/>
    <n v="266"/>
    <s v="OK"/>
    <n v="317061.36"/>
    <n v="7790.2"/>
    <d v="2024-05-31T00:00:00"/>
    <n v="607"/>
    <s v="OK BUT BE CHECKING"/>
    <s v="ACTIVE"/>
    <n v="0"/>
  </r>
  <r>
    <s v="ITEM213-A"/>
    <x v="14"/>
    <x v="7"/>
    <x v="2"/>
    <s v="987.13"/>
    <s v="1832.87"/>
    <x v="63"/>
    <n v="1365"/>
    <n v="0"/>
    <n v="0"/>
    <n v="1365"/>
    <s v="OK"/>
    <n v="1347432.45"/>
    <n v="0"/>
    <m/>
    <s v="Never Sold"/>
    <s v="OK BUT BE CHECKING"/>
    <s v="ACTIVE"/>
    <n v="0"/>
  </r>
  <r>
    <s v="ITEM214-A"/>
    <x v="43"/>
    <x v="4"/>
    <x v="0"/>
    <s v="1406.27"/>
    <s v="2629.15"/>
    <x v="53"/>
    <n v="795"/>
    <n v="0"/>
    <n v="0"/>
    <n v="795"/>
    <s v="OK"/>
    <n v="1117984.6499999999"/>
    <n v="0"/>
    <m/>
    <s v="Never Sold"/>
    <s v="OK BUT BE CHECKING"/>
    <s v="ACTIVE"/>
    <n v="0"/>
  </r>
  <r>
    <s v="ITEM215-A"/>
    <x v="27"/>
    <x v="8"/>
    <x v="5"/>
    <s v="565.76"/>
    <s v="857.05"/>
    <x v="45"/>
    <n v="1470"/>
    <n v="0"/>
    <n v="8"/>
    <n v="1478"/>
    <s v="OK"/>
    <n v="836193.28000000003"/>
    <n v="0"/>
    <m/>
    <s v="Never Sold"/>
    <s v="OK BUT BE CHECKING"/>
    <s v="ACTIVE"/>
    <n v="0"/>
  </r>
  <r>
    <s v="ITEM216-A"/>
    <x v="8"/>
    <x v="5"/>
    <x v="4"/>
    <s v="614.69"/>
    <s v="681.31"/>
    <x v="50"/>
    <n v="855"/>
    <n v="0"/>
    <n v="9"/>
    <n v="864"/>
    <s v="OK"/>
    <n v="531092.16"/>
    <n v="0"/>
    <m/>
    <s v="Never Sold"/>
    <s v="OK BUT BE CHECKING"/>
    <s v="ACTIVE"/>
    <n v="0"/>
  </r>
  <r>
    <s v="ITEM217-A"/>
    <x v="56"/>
    <x v="2"/>
    <x v="10"/>
    <s v="514.58"/>
    <s v="817.06"/>
    <x v="40"/>
    <n v="840"/>
    <n v="3"/>
    <n v="29"/>
    <n v="866"/>
    <s v="OK"/>
    <n v="445626.28"/>
    <n v="2451.1799999999998"/>
    <d v="2024-12-04T00:00:00"/>
    <n v="420"/>
    <s v="OK BUT BE CHECKING"/>
    <s v="ACTIVE"/>
    <n v="0"/>
  </r>
  <r>
    <s v="ITEM218-A"/>
    <x v="57"/>
    <x v="7"/>
    <x v="2"/>
    <s v="576.2"/>
    <s v="771.37"/>
    <x v="83"/>
    <n v="900"/>
    <n v="0"/>
    <n v="0"/>
    <n v="900"/>
    <s v="OK"/>
    <n v="518580.00000000006"/>
    <n v="0"/>
    <m/>
    <s v="Never Sold"/>
    <s v="OK BUT BE CHECKING"/>
    <s v="ACTIVE"/>
    <n v="0"/>
  </r>
  <r>
    <s v="ITEM219-A"/>
    <x v="22"/>
    <x v="3"/>
    <x v="0"/>
    <s v="156.61"/>
    <s v="240.23"/>
    <x v="40"/>
    <n v="840"/>
    <n v="0"/>
    <n v="5"/>
    <n v="845"/>
    <s v="OK"/>
    <n v="132335.45000000001"/>
    <n v="0"/>
    <m/>
    <s v="Never Sold"/>
    <s v="OK BUT BE CHECKING"/>
    <s v="ACTIVE"/>
    <n v="0"/>
  </r>
  <r>
    <s v="ITEM220-A"/>
    <x v="26"/>
    <x v="9"/>
    <x v="1"/>
    <s v="1526.95"/>
    <s v="2028.18"/>
    <x v="75"/>
    <n v="1290"/>
    <n v="0"/>
    <n v="0"/>
    <n v="1290"/>
    <s v="OK"/>
    <n v="1969765.5"/>
    <n v="0"/>
    <m/>
    <s v="Never Sold"/>
    <s v="OK BUT BE CHECKING"/>
    <s v="ACTIVE"/>
    <n v="0"/>
  </r>
  <r>
    <s v="ITEM221-A"/>
    <x v="56"/>
    <x v="2"/>
    <x v="6"/>
    <s v="677.52"/>
    <s v="747.37"/>
    <x v="62"/>
    <n v="510"/>
    <n v="6"/>
    <n v="0"/>
    <n v="504"/>
    <s v="OK"/>
    <n v="341470.08"/>
    <n v="4484.22"/>
    <d v="2024-05-14T00:00:00"/>
    <n v="624"/>
    <s v="OK BUT BE CHECKING"/>
    <s v="ACTIVE"/>
    <n v="0"/>
  </r>
  <r>
    <s v="ITEM222-A"/>
    <x v="1"/>
    <x v="1"/>
    <x v="1"/>
    <s v="205.16"/>
    <s v="256.84"/>
    <x v="38"/>
    <n v="990"/>
    <n v="0"/>
    <n v="0"/>
    <n v="990"/>
    <s v="OK"/>
    <n v="203108.4"/>
    <n v="0"/>
    <m/>
    <s v="Never Sold"/>
    <s v="OK BUT BE CHECKING"/>
    <s v="ACTIVE"/>
    <n v="0"/>
  </r>
  <r>
    <s v="ITEM223-A"/>
    <x v="0"/>
    <x v="0"/>
    <x v="3"/>
    <s v="1247.14"/>
    <s v="1824.53"/>
    <x v="6"/>
    <n v="780"/>
    <n v="0"/>
    <n v="0"/>
    <n v="780"/>
    <s v="OK"/>
    <n v="972769.20000000007"/>
    <n v="0"/>
    <m/>
    <s v="Never Sold"/>
    <s v="OK BUT BE CHECKING"/>
    <s v="ACTIVE"/>
    <n v="0"/>
  </r>
  <r>
    <s v="ITEM224-A"/>
    <x v="42"/>
    <x v="6"/>
    <x v="0"/>
    <s v="881.42"/>
    <s v="1388.11"/>
    <x v="84"/>
    <n v="1305"/>
    <n v="0"/>
    <n v="0"/>
    <n v="1305"/>
    <s v="OK"/>
    <n v="1150253.0999999999"/>
    <n v="0"/>
    <m/>
    <s v="Never Sold"/>
    <s v="OK BUT BE CHECKING"/>
    <s v="ACTIVE"/>
    <n v="0"/>
  </r>
  <r>
    <s v="ITEM225-A"/>
    <x v="33"/>
    <x v="7"/>
    <x v="0"/>
    <s v="264.95"/>
    <s v="462.15"/>
    <x v="33"/>
    <n v="1065"/>
    <n v="0"/>
    <n v="7"/>
    <n v="1072"/>
    <s v="OK"/>
    <n v="284026.39999999997"/>
    <n v="0"/>
    <m/>
    <s v="Never Sold"/>
    <s v="OK BUT BE CHECKING"/>
    <s v="ACTIVE"/>
    <n v="0"/>
  </r>
  <r>
    <s v="ITEM226-A"/>
    <x v="42"/>
    <x v="6"/>
    <x v="4"/>
    <s v="1053.91"/>
    <s v="1808.9"/>
    <x v="74"/>
    <n v="1020"/>
    <n v="9"/>
    <n v="0"/>
    <n v="1011"/>
    <s v="OK"/>
    <n v="1065503.01"/>
    <n v="16280.1"/>
    <d v="2025-03-05T00:00:00"/>
    <n v="329"/>
    <s v="OK BUT BE CHECKING"/>
    <s v="ACTIVE"/>
    <n v="0"/>
  </r>
  <r>
    <s v="ITEM227-A"/>
    <x v="7"/>
    <x v="5"/>
    <x v="4"/>
    <s v="1337.64"/>
    <s v="2170.99"/>
    <x v="32"/>
    <n v="1275"/>
    <n v="0"/>
    <n v="0"/>
    <n v="1275"/>
    <s v="OK"/>
    <n v="1705491.0000000002"/>
    <n v="0"/>
    <m/>
    <s v="Never Sold"/>
    <s v="OK BUT BE CHECKING"/>
    <s v="ACTIVE"/>
    <n v="0"/>
  </r>
  <r>
    <s v="ITEM228-A"/>
    <x v="7"/>
    <x v="5"/>
    <x v="2"/>
    <s v="1323.84"/>
    <s v="1534.28"/>
    <x v="38"/>
    <n v="990"/>
    <n v="0"/>
    <n v="12"/>
    <n v="1002"/>
    <s v="OK"/>
    <n v="1326487.68"/>
    <n v="0"/>
    <m/>
    <s v="Never Sold"/>
    <s v="OK BUT BE CHECKING"/>
    <s v="ACTIVE"/>
    <n v="0"/>
  </r>
  <r>
    <s v="ITEM229-A"/>
    <x v="35"/>
    <x v="0"/>
    <x v="5"/>
    <s v="1786.09"/>
    <s v="2418.91"/>
    <x v="4"/>
    <n v="1215"/>
    <n v="4"/>
    <n v="0"/>
    <n v="1211"/>
    <s v="OK"/>
    <n v="2162954.9899999998"/>
    <n v="9675.64"/>
    <d v="2024-09-07T00:00:00"/>
    <n v="508"/>
    <s v="OK BUT BE CHECKING"/>
    <s v="ACTIVE"/>
    <n v="0"/>
  </r>
  <r>
    <s v="ITEM230-A"/>
    <x v="4"/>
    <x v="3"/>
    <x v="3"/>
    <s v="1113.26"/>
    <s v="1381.12"/>
    <x v="41"/>
    <n v="1050"/>
    <n v="147"/>
    <n v="0"/>
    <n v="903"/>
    <s v="OK"/>
    <n v="1005273.78"/>
    <n v="203024.63999999998"/>
    <d v="2024-12-26T00:00:00"/>
    <n v="398"/>
    <s v="OK BUT BE CHECKING"/>
    <s v="ACTIVE"/>
    <n v="0"/>
  </r>
  <r>
    <s v="ITEM231-A"/>
    <x v="26"/>
    <x v="9"/>
    <x v="8"/>
    <s v="167.41"/>
    <s v="283.06"/>
    <x v="79"/>
    <n v="930"/>
    <n v="0"/>
    <n v="8"/>
    <n v="938"/>
    <s v="OK"/>
    <n v="157030.57999999999"/>
    <n v="0"/>
    <m/>
    <s v="Never Sold"/>
    <s v="OK BUT BE CHECKING"/>
    <s v="ACTIVE"/>
    <n v="0"/>
  </r>
  <r>
    <s v="ITEM232-A"/>
    <x v="31"/>
    <x v="7"/>
    <x v="10"/>
    <s v="1011.75"/>
    <s v="1340.94"/>
    <x v="8"/>
    <n v="645"/>
    <n v="0"/>
    <n v="21"/>
    <n v="666"/>
    <s v="OK"/>
    <n v="673825.5"/>
    <n v="0"/>
    <m/>
    <s v="Never Sold"/>
    <s v="OK BUT BE CHECKING"/>
    <s v="ACTIVE"/>
    <n v="0"/>
  </r>
  <r>
    <s v="ITEM233-A"/>
    <x v="42"/>
    <x v="6"/>
    <x v="10"/>
    <s v="630.29"/>
    <s v="1128.47"/>
    <x v="80"/>
    <n v="630"/>
    <n v="5"/>
    <n v="0"/>
    <n v="625"/>
    <s v="OK"/>
    <n v="393931.25"/>
    <n v="5642.35"/>
    <d v="2024-08-17T00:00:00"/>
    <n v="529"/>
    <s v="OK BUT BE CHECKING"/>
    <s v="ACTIVE"/>
    <n v="0"/>
  </r>
  <r>
    <s v="ITEM234-A"/>
    <x v="4"/>
    <x v="3"/>
    <x v="8"/>
    <s v="833.0"/>
    <s v="1567.74"/>
    <x v="27"/>
    <n v="315"/>
    <n v="0"/>
    <n v="2"/>
    <n v="317"/>
    <s v="OK"/>
    <n v="264061"/>
    <n v="0"/>
    <m/>
    <s v="Never Sold"/>
    <s v="OK BUT BE CHECKING"/>
    <s v="ACTIVE"/>
    <n v="0"/>
  </r>
  <r>
    <s v="ITEM235-A"/>
    <x v="41"/>
    <x v="9"/>
    <x v="0"/>
    <s v="1887.18"/>
    <s v="3195.13"/>
    <x v="56"/>
    <n v="1500"/>
    <n v="0"/>
    <n v="0"/>
    <n v="1500"/>
    <s v="OK"/>
    <n v="2830770"/>
    <n v="0"/>
    <m/>
    <s v="Never Sold"/>
    <s v="OK BUT BE CHECKING"/>
    <s v="ACTIVE"/>
    <n v="0"/>
  </r>
  <r>
    <s v="ITEM236-A"/>
    <x v="30"/>
    <x v="8"/>
    <x v="6"/>
    <s v="1769.51"/>
    <s v="2372.45"/>
    <x v="77"/>
    <n v="615"/>
    <n v="0"/>
    <n v="12"/>
    <n v="627"/>
    <s v="OK"/>
    <n v="1109482.77"/>
    <n v="0"/>
    <m/>
    <s v="Never Sold"/>
    <s v="OK BUT BE CHECKING"/>
    <s v="ACTIVE"/>
    <n v="0"/>
  </r>
  <r>
    <s v="ITEM237-A"/>
    <x v="15"/>
    <x v="5"/>
    <x v="6"/>
    <s v="9.79"/>
    <s v="11.91"/>
    <x v="52"/>
    <n v="975"/>
    <n v="0"/>
    <n v="1"/>
    <n v="976"/>
    <s v="OK"/>
    <n v="9555.0399999999991"/>
    <n v="0"/>
    <m/>
    <s v="Never Sold"/>
    <s v="OK BUT BE CHECKING"/>
    <s v="ACTIVE"/>
    <n v="0"/>
  </r>
  <r>
    <s v="ITEM238-A"/>
    <x v="13"/>
    <x v="0"/>
    <x v="10"/>
    <s v="485.67"/>
    <s v="907.75"/>
    <x v="37"/>
    <n v="255"/>
    <n v="0"/>
    <n v="5"/>
    <n v="260"/>
    <s v="OK"/>
    <n v="126274.2"/>
    <n v="0"/>
    <m/>
    <s v="Never Sold"/>
    <s v="OK BUT BE CHECKING"/>
    <s v="ACTIVE"/>
    <n v="0"/>
  </r>
  <r>
    <s v="ITEM239-A"/>
    <x v="42"/>
    <x v="6"/>
    <x v="7"/>
    <s v="968.64"/>
    <s v="1370.19"/>
    <x v="43"/>
    <n v="1410"/>
    <n v="0"/>
    <n v="3"/>
    <n v="1413"/>
    <s v="OK"/>
    <n v="1368688.32"/>
    <n v="0"/>
    <m/>
    <s v="Never Sold"/>
    <s v="OK BUT BE CHECKING"/>
    <s v="ACTIVE"/>
    <n v="0"/>
  </r>
  <r>
    <s v="ITEM240-A"/>
    <x v="39"/>
    <x v="9"/>
    <x v="7"/>
    <s v="1387.29"/>
    <s v="2768.88"/>
    <x v="65"/>
    <n v="570"/>
    <n v="0"/>
    <n v="0"/>
    <n v="570"/>
    <s v="OK"/>
    <n v="790755.29999999993"/>
    <n v="0"/>
    <m/>
    <s v="Never Sold"/>
    <s v="OK BUT BE CHECKING"/>
    <s v="ACTIVE"/>
    <n v="0"/>
  </r>
  <r>
    <s v="ITEM241-A"/>
    <x v="14"/>
    <x v="7"/>
    <x v="2"/>
    <s v="580.93"/>
    <s v="683.41"/>
    <x v="45"/>
    <n v="1470"/>
    <n v="4"/>
    <n v="8"/>
    <n v="1474"/>
    <s v="OK"/>
    <n v="856290.82"/>
    <n v="2733.64"/>
    <d v="2024-11-07T00:00:00"/>
    <n v="447"/>
    <s v="OK BUT BE CHECKING"/>
    <s v="ACTIVE"/>
    <n v="0"/>
  </r>
  <r>
    <s v="ITEM242-A"/>
    <x v="6"/>
    <x v="1"/>
    <x v="3"/>
    <s v="903.46"/>
    <s v="1431.44"/>
    <x v="53"/>
    <n v="795"/>
    <n v="0"/>
    <n v="0"/>
    <n v="795"/>
    <s v="OK"/>
    <n v="718250.70000000007"/>
    <n v="0"/>
    <m/>
    <s v="Never Sold"/>
    <s v="OK BUT BE CHECKING"/>
    <s v="ACTIVE"/>
    <n v="0"/>
  </r>
  <r>
    <s v="ITEM243-A"/>
    <x v="14"/>
    <x v="7"/>
    <x v="4"/>
    <s v="651.64"/>
    <s v="1208.94"/>
    <x v="64"/>
    <n v="180"/>
    <n v="0"/>
    <n v="2"/>
    <n v="182"/>
    <s v="OK"/>
    <n v="118598.48"/>
    <n v="0"/>
    <m/>
    <s v="Never Sold"/>
    <s v="OK BUT BE CHECKING"/>
    <s v="ACTIVE"/>
    <n v="0"/>
  </r>
  <r>
    <s v="ITEM244-A"/>
    <x v="58"/>
    <x v="7"/>
    <x v="11"/>
    <s v="1748.51"/>
    <s v="1934.34"/>
    <x v="72"/>
    <n v="270"/>
    <n v="0"/>
    <n v="27"/>
    <n v="297"/>
    <s v="OK"/>
    <n v="519307.47"/>
    <n v="0"/>
    <m/>
    <s v="Never Sold"/>
    <s v="OK BUT BE CHECKING"/>
    <s v="ACTIVE"/>
    <n v="0"/>
  </r>
  <r>
    <s v="ITEM245-A"/>
    <x v="59"/>
    <x v="4"/>
    <x v="2"/>
    <s v="1524.7"/>
    <s v="1699.36"/>
    <x v="10"/>
    <n v="960"/>
    <n v="0"/>
    <n v="3"/>
    <n v="963"/>
    <s v="OK"/>
    <n v="1468286.1"/>
    <n v="0"/>
    <m/>
    <s v="Never Sold"/>
    <s v="OK BUT BE CHECKING"/>
    <s v="ACTIVE"/>
    <n v="0"/>
  </r>
  <r>
    <s v="ITEM246-A"/>
    <x v="42"/>
    <x v="6"/>
    <x v="0"/>
    <s v="96.32"/>
    <s v="178.19"/>
    <x v="6"/>
    <n v="780"/>
    <n v="0"/>
    <n v="10"/>
    <n v="790"/>
    <s v="OK"/>
    <n v="76092.799999999988"/>
    <n v="0"/>
    <m/>
    <s v="Never Sold"/>
    <s v="OK BUT BE CHECKING"/>
    <s v="ACTIVE"/>
    <n v="0"/>
  </r>
  <r>
    <s v="ITEM247-A"/>
    <x v="45"/>
    <x v="9"/>
    <x v="8"/>
    <s v="57.06"/>
    <s v="95.97"/>
    <x v="5"/>
    <n v="1395"/>
    <n v="0"/>
    <n v="17"/>
    <n v="1412"/>
    <s v="OK"/>
    <n v="80568.72"/>
    <n v="0"/>
    <m/>
    <s v="Never Sold"/>
    <s v="OK BUT BE CHECKING"/>
    <s v="ACTIVE"/>
    <n v="0"/>
  </r>
  <r>
    <s v="ITEM248-A"/>
    <x v="6"/>
    <x v="1"/>
    <x v="10"/>
    <s v="1214.41"/>
    <s v="1737.45"/>
    <x v="77"/>
    <n v="615"/>
    <n v="0"/>
    <n v="0"/>
    <n v="615"/>
    <s v="OK"/>
    <n v="746862.15"/>
    <n v="0"/>
    <m/>
    <s v="Never Sold"/>
    <s v="OK BUT BE CHECKING"/>
    <s v="ACTIVE"/>
    <n v="0"/>
  </r>
  <r>
    <s v="ITEM249-A"/>
    <x v="27"/>
    <x v="8"/>
    <x v="1"/>
    <s v="605.54"/>
    <s v="908.9"/>
    <x v="26"/>
    <n v="1125"/>
    <n v="0"/>
    <n v="1"/>
    <n v="1126"/>
    <s v="OK"/>
    <n v="681838.03999999992"/>
    <n v="0"/>
    <m/>
    <s v="Never Sold"/>
    <s v="OK BUT BE CHECKING"/>
    <s v="ACTIVE"/>
    <n v="0"/>
  </r>
  <r>
    <s v="ITEM250-A"/>
    <x v="25"/>
    <x v="8"/>
    <x v="4"/>
    <s v="1638.91"/>
    <s v="2234.32"/>
    <x v="13"/>
    <n v="450"/>
    <n v="0"/>
    <n v="62"/>
    <n v="512"/>
    <s v="OK"/>
    <n v="839121.92000000004"/>
    <n v="0"/>
    <m/>
    <s v="Never Sold"/>
    <s v="OK BUT BE CHECKING"/>
    <s v="ACTIVE"/>
    <n v="0"/>
  </r>
  <r>
    <s v="ITEM251-A"/>
    <x v="60"/>
    <x v="2"/>
    <x v="1"/>
    <s v="471.79"/>
    <s v="878.98"/>
    <x v="62"/>
    <n v="510"/>
    <n v="0"/>
    <n v="42"/>
    <n v="552"/>
    <s v="OK"/>
    <n v="260428.08000000002"/>
    <n v="0"/>
    <m/>
    <s v="Never Sold"/>
    <s v="OK BUT BE CHECKING"/>
    <s v="ACTIVE"/>
    <n v="0"/>
  </r>
  <r>
    <s v="ITEM252-A"/>
    <x v="17"/>
    <x v="0"/>
    <x v="9"/>
    <s v="685.9"/>
    <s v="846.22"/>
    <x v="62"/>
    <n v="510"/>
    <n v="0"/>
    <n v="0"/>
    <n v="510"/>
    <s v="OK"/>
    <n v="349809"/>
    <n v="0"/>
    <m/>
    <s v="Never Sold"/>
    <s v="OK BUT BE CHECKING"/>
    <s v="ACTIVE"/>
    <n v="0"/>
  </r>
  <r>
    <s v="ITEM253-A"/>
    <x v="6"/>
    <x v="1"/>
    <x v="2"/>
    <s v="1787.45"/>
    <s v="2488.37"/>
    <x v="55"/>
    <n v="375"/>
    <n v="0"/>
    <n v="16"/>
    <n v="391"/>
    <s v="OK"/>
    <n v="698892.95000000007"/>
    <n v="0"/>
    <m/>
    <s v="Never Sold"/>
    <s v="OK BUT BE CHECKING"/>
    <s v="ACTIVE"/>
    <n v="0"/>
  </r>
  <r>
    <s v="ITEM254-A"/>
    <x v="39"/>
    <x v="9"/>
    <x v="11"/>
    <s v="1587.47"/>
    <s v="2362.54"/>
    <x v="65"/>
    <n v="570"/>
    <n v="0"/>
    <n v="13"/>
    <n v="583"/>
    <s v="OK"/>
    <n v="925495.01"/>
    <n v="0"/>
    <m/>
    <s v="Never Sold"/>
    <s v="OK BUT BE CHECKING"/>
    <s v="ACTIVE"/>
    <n v="0"/>
  </r>
  <r>
    <s v="ITEM255-A"/>
    <x v="33"/>
    <x v="7"/>
    <x v="9"/>
    <s v="1459.35"/>
    <s v="2111.63"/>
    <x v="79"/>
    <n v="930"/>
    <n v="0"/>
    <n v="5"/>
    <n v="935"/>
    <s v="OK"/>
    <n v="1364492.25"/>
    <n v="0"/>
    <m/>
    <s v="Never Sold"/>
    <s v="OK BUT BE CHECKING"/>
    <s v="ACTIVE"/>
    <n v="0"/>
  </r>
  <r>
    <s v="ITEM256-A"/>
    <x v="19"/>
    <x v="2"/>
    <x v="4"/>
    <s v="1720.18"/>
    <s v="2797.87"/>
    <x v="81"/>
    <n v="1485"/>
    <n v="0"/>
    <n v="24"/>
    <n v="1509"/>
    <s v="OK"/>
    <n v="2595751.62"/>
    <n v="0"/>
    <m/>
    <s v="Never Sold"/>
    <s v="OK BUT BE CHECKING"/>
    <s v="ACTIVE"/>
    <n v="0"/>
  </r>
  <r>
    <s v="ITEM257-A"/>
    <x v="16"/>
    <x v="6"/>
    <x v="1"/>
    <s v="239.3"/>
    <s v="432.97"/>
    <x v="85"/>
    <n v="480"/>
    <n v="0"/>
    <n v="8"/>
    <n v="488"/>
    <s v="OK"/>
    <n v="116778.40000000001"/>
    <n v="0"/>
    <m/>
    <s v="Never Sold"/>
    <s v="OK BUT BE CHECKING"/>
    <s v="ACTIVE"/>
    <n v="0"/>
  </r>
  <r>
    <s v="ITEM258-A"/>
    <x v="41"/>
    <x v="9"/>
    <x v="7"/>
    <s v="1043.1"/>
    <s v="1601.69"/>
    <x v="27"/>
    <n v="315"/>
    <n v="7"/>
    <n v="0"/>
    <n v="308"/>
    <s v="OK"/>
    <n v="321274.8"/>
    <n v="11211.83"/>
    <d v="2024-06-04T00:00:00"/>
    <n v="603"/>
    <s v="OK BUT BE CHECKING"/>
    <s v="ACTIVE"/>
    <n v="0"/>
  </r>
  <r>
    <s v="ITEM259-A"/>
    <x v="30"/>
    <x v="8"/>
    <x v="1"/>
    <s v="1335.57"/>
    <s v="2041.49"/>
    <x v="33"/>
    <n v="1065"/>
    <n v="0"/>
    <n v="39"/>
    <n v="1104"/>
    <s v="OK"/>
    <n v="1474469.28"/>
    <n v="0"/>
    <m/>
    <s v="Never Sold"/>
    <s v="OK BUT BE CHECKING"/>
    <s v="ACTIVE"/>
    <n v="0"/>
  </r>
  <r>
    <s v="ITEM260-A"/>
    <x v="16"/>
    <x v="6"/>
    <x v="8"/>
    <s v="465.33"/>
    <s v="882.28"/>
    <x v="84"/>
    <n v="1305"/>
    <n v="0"/>
    <n v="0"/>
    <n v="1305"/>
    <s v="OK"/>
    <n v="607255.65"/>
    <n v="0"/>
    <m/>
    <s v="Never Sold"/>
    <s v="OK BUT BE CHECKING"/>
    <s v="ACTIVE"/>
    <n v="0"/>
  </r>
  <r>
    <s v="ITEM261-A"/>
    <x v="1"/>
    <x v="1"/>
    <x v="8"/>
    <s v="526.82"/>
    <s v="582.04"/>
    <x v="40"/>
    <n v="840"/>
    <n v="0"/>
    <n v="0"/>
    <n v="840"/>
    <s v="OK"/>
    <n v="442528.80000000005"/>
    <n v="0"/>
    <m/>
    <s v="Never Sold"/>
    <s v="OK BUT BE CHECKING"/>
    <s v="ACTIVE"/>
    <n v="0"/>
  </r>
  <r>
    <s v="ITEM262-A"/>
    <x v="0"/>
    <x v="0"/>
    <x v="2"/>
    <s v="1702.82"/>
    <s v="2284.38"/>
    <x v="26"/>
    <n v="1125"/>
    <n v="0"/>
    <n v="7"/>
    <n v="1132"/>
    <s v="OK"/>
    <n v="1927592.24"/>
    <n v="0"/>
    <m/>
    <s v="Never Sold"/>
    <s v="OK BUT BE CHECKING"/>
    <s v="ACTIVE"/>
    <n v="0"/>
  </r>
  <r>
    <s v="ITEM263-A"/>
    <x v="42"/>
    <x v="6"/>
    <x v="5"/>
    <s v="264.83"/>
    <s v="350.42"/>
    <x v="72"/>
    <n v="270"/>
    <n v="0"/>
    <n v="2"/>
    <n v="272"/>
    <s v="OK"/>
    <n v="72033.759999999995"/>
    <n v="0"/>
    <m/>
    <s v="Never Sold"/>
    <s v="OK BUT BE CHECKING"/>
    <s v="ACTIVE"/>
    <n v="0"/>
  </r>
  <r>
    <s v="ITEM264-A"/>
    <x v="43"/>
    <x v="4"/>
    <x v="9"/>
    <s v="962.39"/>
    <s v="1516.05"/>
    <x v="56"/>
    <n v="1500"/>
    <n v="0"/>
    <n v="0"/>
    <n v="1500"/>
    <s v="OK"/>
    <n v="1443585"/>
    <n v="0"/>
    <m/>
    <s v="Never Sold"/>
    <s v="OK BUT BE CHECKING"/>
    <s v="ACTIVE"/>
    <n v="0"/>
  </r>
  <r>
    <s v="ITEM265-A"/>
    <x v="32"/>
    <x v="3"/>
    <x v="1"/>
    <s v="1613.57"/>
    <s v="3152.21"/>
    <x v="68"/>
    <n v="1200"/>
    <n v="10"/>
    <n v="0"/>
    <n v="1190"/>
    <s v="OK"/>
    <n v="1920148.2999999998"/>
    <n v="31522.1"/>
    <d v="2024-08-20T00:00:00"/>
    <n v="526"/>
    <s v="OK BUT BE CHECKING"/>
    <s v="ACTIVE"/>
    <n v="0"/>
  </r>
  <r>
    <s v="ITEM266-A"/>
    <x v="50"/>
    <x v="4"/>
    <x v="3"/>
    <s v="1263.68"/>
    <s v="1676.36"/>
    <x v="61"/>
    <n v="330"/>
    <n v="0"/>
    <n v="0"/>
    <n v="330"/>
    <s v="OK"/>
    <n v="417014.4"/>
    <n v="0"/>
    <m/>
    <s v="Never Sold"/>
    <s v="OK BUT BE CHECKING"/>
    <s v="ACTIVE"/>
    <n v="0"/>
  </r>
  <r>
    <s v="ITEM267-A"/>
    <x v="40"/>
    <x v="2"/>
    <x v="6"/>
    <s v="389.18"/>
    <s v="516.76"/>
    <x v="6"/>
    <n v="780"/>
    <n v="0"/>
    <n v="0"/>
    <n v="780"/>
    <s v="OK"/>
    <n v="303560.40000000002"/>
    <n v="0"/>
    <m/>
    <s v="Never Sold"/>
    <s v="OK BUT BE CHECKING"/>
    <s v="ACTIVE"/>
    <n v="0"/>
  </r>
  <r>
    <s v="ITEM268-A"/>
    <x v="5"/>
    <x v="4"/>
    <x v="6"/>
    <s v="769.0"/>
    <s v="1390.61"/>
    <x v="17"/>
    <n v="675"/>
    <n v="0"/>
    <n v="0"/>
    <n v="675"/>
    <s v="OK"/>
    <n v="519075"/>
    <n v="0"/>
    <m/>
    <s v="Never Sold"/>
    <s v="OK BUT BE CHECKING"/>
    <s v="ACTIVE"/>
    <n v="0"/>
  </r>
  <r>
    <s v="ITEM269-A"/>
    <x v="45"/>
    <x v="9"/>
    <x v="5"/>
    <s v="130.96"/>
    <s v="200.65"/>
    <x v="26"/>
    <n v="1125"/>
    <n v="14"/>
    <n v="7"/>
    <n v="1118"/>
    <s v="OK"/>
    <n v="146413.28"/>
    <n v="2809.1"/>
    <d v="2025-11-07T00:00:00"/>
    <n v="82"/>
    <s v="OK BUT BE CHECKING"/>
    <s v="ACTIVE"/>
    <n v="0"/>
  </r>
  <r>
    <s v="ITEM270-A"/>
    <x v="51"/>
    <x v="2"/>
    <x v="6"/>
    <s v="47.82"/>
    <s v="81.09"/>
    <x v="40"/>
    <n v="840"/>
    <n v="0"/>
    <n v="30"/>
    <n v="870"/>
    <s v="OK"/>
    <n v="41603.4"/>
    <n v="0"/>
    <m/>
    <s v="Never Sold"/>
    <s v="OK BUT BE CHECKING"/>
    <s v="ACTIVE"/>
    <n v="0"/>
  </r>
  <r>
    <s v="ITEM271-A"/>
    <x v="5"/>
    <x v="4"/>
    <x v="0"/>
    <s v="1329.99"/>
    <s v="2533.47"/>
    <x v="25"/>
    <n v="300"/>
    <n v="38"/>
    <n v="16"/>
    <n v="278"/>
    <s v="OK"/>
    <n v="369737.22000000003"/>
    <n v="96271.859999999986"/>
    <d v="2024-12-18T00:00:00"/>
    <n v="406"/>
    <s v="OK BUT BE CHECKING"/>
    <s v="ACTIVE"/>
    <n v="0"/>
  </r>
  <r>
    <s v="ITEM272-A"/>
    <x v="25"/>
    <x v="8"/>
    <x v="9"/>
    <s v="1370.97"/>
    <s v="2336.81"/>
    <x v="86"/>
    <n v="1335"/>
    <n v="0"/>
    <n v="3"/>
    <n v="1338"/>
    <s v="OK"/>
    <n v="1834357.86"/>
    <n v="0"/>
    <m/>
    <s v="Never Sold"/>
    <s v="OK BUT BE CHECKING"/>
    <s v="ACTIVE"/>
    <n v="0"/>
  </r>
  <r>
    <s v="ITEM273-A"/>
    <x v="17"/>
    <x v="0"/>
    <x v="3"/>
    <s v="861.96"/>
    <s v="980.48"/>
    <x v="32"/>
    <n v="1275"/>
    <n v="16"/>
    <n v="0"/>
    <n v="1259"/>
    <s v="OK"/>
    <n v="1085207.6400000001"/>
    <n v="15687.68"/>
    <d v="2024-01-25T00:00:00"/>
    <n v="734"/>
    <s v="OK BUT BE CHECKING"/>
    <s v="ACTIVE"/>
    <n v="0"/>
  </r>
  <r>
    <s v="ITEM274-A"/>
    <x v="35"/>
    <x v="0"/>
    <x v="0"/>
    <s v="253.07"/>
    <s v="453.96"/>
    <x v="72"/>
    <n v="270"/>
    <n v="0"/>
    <n v="1"/>
    <n v="271"/>
    <s v="OK"/>
    <n v="68581.97"/>
    <n v="0"/>
    <m/>
    <s v="Never Sold"/>
    <s v="OK BUT BE CHECKING"/>
    <s v="ACTIVE"/>
    <n v="0"/>
  </r>
  <r>
    <s v="ITEM275-A"/>
    <x v="52"/>
    <x v="8"/>
    <x v="7"/>
    <s v="70.75"/>
    <s v="82.95"/>
    <x v="73"/>
    <n v="1170"/>
    <n v="0"/>
    <n v="3"/>
    <n v="1173"/>
    <s v="OK"/>
    <n v="82989.75"/>
    <n v="0"/>
    <m/>
    <s v="Never Sold"/>
    <s v="OK BUT BE CHECKING"/>
    <s v="ACTIVE"/>
    <n v="0"/>
  </r>
  <r>
    <s v="ITEM276-A"/>
    <x v="24"/>
    <x v="3"/>
    <x v="0"/>
    <s v="1022.43"/>
    <s v="1551.47"/>
    <x v="42"/>
    <n v="165"/>
    <n v="0"/>
    <n v="6"/>
    <n v="171"/>
    <s v="OK"/>
    <n v="174835.53"/>
    <n v="0"/>
    <m/>
    <s v="Never Sold"/>
    <s v="OK BUT BE CHECKING"/>
    <s v="ACTIVE"/>
    <n v="0"/>
  </r>
  <r>
    <s v="ITEM277-A"/>
    <x v="1"/>
    <x v="1"/>
    <x v="9"/>
    <s v="832.94"/>
    <s v="1074.8"/>
    <x v="16"/>
    <n v="210"/>
    <n v="0"/>
    <n v="7"/>
    <n v="217"/>
    <s v="OK"/>
    <n v="180747.98"/>
    <n v="0"/>
    <m/>
    <s v="Never Sold"/>
    <s v="OK BUT BE CHECKING"/>
    <s v="ACTIVE"/>
    <n v="0"/>
  </r>
  <r>
    <s v="ITEM278-A"/>
    <x v="50"/>
    <x v="4"/>
    <x v="5"/>
    <s v="236.78"/>
    <s v="339.6"/>
    <x v="65"/>
    <n v="570"/>
    <n v="205"/>
    <n v="0"/>
    <n v="365"/>
    <s v="OK"/>
    <n v="86424.7"/>
    <n v="69618"/>
    <d v="2025-12-11T00:00:00"/>
    <n v="48"/>
    <s v="OK BUT BE CHECKING"/>
    <s v="ACTIVE"/>
    <n v="0"/>
  </r>
  <r>
    <s v="ITEM279-A"/>
    <x v="4"/>
    <x v="3"/>
    <x v="0"/>
    <s v="555.64"/>
    <s v="772.08"/>
    <x v="73"/>
    <n v="1170"/>
    <n v="0"/>
    <n v="0"/>
    <n v="1170"/>
    <s v="OK"/>
    <n v="650098.79999999993"/>
    <n v="0"/>
    <m/>
    <s v="Never Sold"/>
    <s v="OK BUT BE CHECKING"/>
    <s v="ACTIVE"/>
    <n v="0"/>
  </r>
  <r>
    <s v="ITEM280-A"/>
    <x v="16"/>
    <x v="6"/>
    <x v="7"/>
    <s v="1574.68"/>
    <s v="2938.37"/>
    <x v="71"/>
    <n v="1095"/>
    <n v="0"/>
    <n v="1"/>
    <n v="1096"/>
    <s v="OK"/>
    <n v="1725849.28"/>
    <n v="0"/>
    <m/>
    <s v="Never Sold"/>
    <s v="OK BUT BE CHECKING"/>
    <s v="ACTIVE"/>
    <n v="0"/>
  </r>
  <r>
    <s v="ITEM281-A"/>
    <x v="1"/>
    <x v="1"/>
    <x v="9"/>
    <s v="1500.89"/>
    <s v="2759.4"/>
    <x v="62"/>
    <n v="510"/>
    <n v="0"/>
    <n v="0"/>
    <n v="510"/>
    <s v="OK"/>
    <n v="765453.9"/>
    <n v="0"/>
    <m/>
    <s v="Never Sold"/>
    <s v="OK BUT BE CHECKING"/>
    <s v="ACTIVE"/>
    <n v="0"/>
  </r>
  <r>
    <s v="ITEM282-A"/>
    <x v="61"/>
    <x v="2"/>
    <x v="0"/>
    <s v="281.72"/>
    <s v="510.96"/>
    <x v="10"/>
    <n v="960"/>
    <n v="0"/>
    <n v="11"/>
    <n v="971"/>
    <s v="OK"/>
    <n v="273550.12000000005"/>
    <n v="0"/>
    <m/>
    <s v="Never Sold"/>
    <s v="OK BUT BE CHECKING"/>
    <s v="ACTIVE"/>
    <n v="0"/>
  </r>
  <r>
    <s v="ITEM283-A"/>
    <x v="10"/>
    <x v="5"/>
    <x v="2"/>
    <s v="527.36"/>
    <s v="1044.66"/>
    <x v="3"/>
    <n v="735"/>
    <n v="0"/>
    <n v="6"/>
    <n v="741"/>
    <s v="OK"/>
    <n v="390773.76000000001"/>
    <n v="0"/>
    <m/>
    <s v="Never Sold"/>
    <s v="OK BUT BE CHECKING"/>
    <s v="ACTIVE"/>
    <n v="0"/>
  </r>
  <r>
    <s v="ITEM284-A"/>
    <x v="43"/>
    <x v="4"/>
    <x v="9"/>
    <s v="946.09"/>
    <s v="1520.32"/>
    <x v="66"/>
    <n v="1380"/>
    <n v="0"/>
    <n v="1"/>
    <n v="1381"/>
    <s v="OK"/>
    <n v="1306550.29"/>
    <n v="0"/>
    <m/>
    <s v="Never Sold"/>
    <s v="OK BUT BE CHECKING"/>
    <s v="ACTIVE"/>
    <n v="0"/>
  </r>
  <r>
    <s v="ITEM285-A"/>
    <x v="1"/>
    <x v="1"/>
    <x v="6"/>
    <s v="1808.18"/>
    <s v="3220.69"/>
    <x v="87"/>
    <n v="600"/>
    <n v="2"/>
    <n v="23"/>
    <n v="621"/>
    <s v="OK"/>
    <n v="1122879.78"/>
    <n v="6441.38"/>
    <d v="2024-03-14T00:00:00"/>
    <n v="685"/>
    <s v="OK BUT BE CHECKING"/>
    <s v="ACTIVE"/>
    <n v="0"/>
  </r>
  <r>
    <s v="ITEM286-A"/>
    <x v="26"/>
    <x v="9"/>
    <x v="2"/>
    <s v="176.88"/>
    <s v="245.25"/>
    <x v="70"/>
    <n v="435"/>
    <n v="0"/>
    <n v="13"/>
    <n v="448"/>
    <s v="OK"/>
    <n v="79242.239999999991"/>
    <n v="0"/>
    <m/>
    <s v="Never Sold"/>
    <s v="OK BUT BE CHECKING"/>
    <s v="ACTIVE"/>
    <n v="0"/>
  </r>
  <r>
    <s v="ITEM287-A"/>
    <x v="9"/>
    <x v="6"/>
    <x v="2"/>
    <s v="730.22"/>
    <s v="1002.88"/>
    <x v="66"/>
    <n v="1380"/>
    <n v="0"/>
    <n v="14"/>
    <n v="1394"/>
    <s v="OK"/>
    <n v="1017926.68"/>
    <n v="0"/>
    <m/>
    <s v="Never Sold"/>
    <s v="OK BUT BE CHECKING"/>
    <s v="ACTIVE"/>
    <n v="0"/>
  </r>
  <r>
    <s v="ITEM288-A"/>
    <x v="8"/>
    <x v="5"/>
    <x v="8"/>
    <s v="544.28"/>
    <s v="744.81"/>
    <x v="76"/>
    <n v="915"/>
    <n v="9"/>
    <n v="0"/>
    <n v="906"/>
    <s v="OK"/>
    <n v="493117.68"/>
    <n v="6703.2899999999991"/>
    <d v="2024-06-25T00:00:00"/>
    <n v="582"/>
    <s v="OK BUT BE CHECKING"/>
    <s v="ACTIVE"/>
    <n v="0"/>
  </r>
  <r>
    <s v="ITEM289-A"/>
    <x v="10"/>
    <x v="5"/>
    <x v="5"/>
    <s v="1864.07"/>
    <s v="2453.66"/>
    <x v="40"/>
    <n v="840"/>
    <n v="10"/>
    <n v="0"/>
    <n v="830"/>
    <s v="OK"/>
    <n v="1547178.0999999999"/>
    <n v="24536.6"/>
    <d v="2024-01-18T00:00:00"/>
    <n v="741"/>
    <s v="OK BUT BE CHECKING"/>
    <s v="ACTIVE"/>
    <n v="0"/>
  </r>
  <r>
    <s v="ITEM290-A"/>
    <x v="0"/>
    <x v="0"/>
    <x v="5"/>
    <s v="836.45"/>
    <s v="1639.21"/>
    <x v="51"/>
    <n v="765"/>
    <n v="0"/>
    <n v="18"/>
    <n v="783"/>
    <s v="OK"/>
    <n v="654940.35000000009"/>
    <n v="0"/>
    <m/>
    <s v="Never Sold"/>
    <s v="OK BUT BE CHECKING"/>
    <s v="ACTIVE"/>
    <n v="0"/>
  </r>
  <r>
    <s v="ITEM291-A"/>
    <x v="13"/>
    <x v="0"/>
    <x v="8"/>
    <s v="261.87"/>
    <s v="376.05"/>
    <x v="62"/>
    <n v="510"/>
    <n v="0"/>
    <n v="0"/>
    <n v="510"/>
    <s v="OK"/>
    <n v="133553.70000000001"/>
    <n v="0"/>
    <m/>
    <s v="Never Sold"/>
    <s v="OK BUT BE CHECKING"/>
    <s v="ACTIVE"/>
    <n v="0"/>
  </r>
  <r>
    <s v="ITEM292-A"/>
    <x v="30"/>
    <x v="8"/>
    <x v="1"/>
    <s v="894.25"/>
    <s v="1705.43"/>
    <x v="20"/>
    <n v="750"/>
    <n v="0"/>
    <n v="10"/>
    <n v="760"/>
    <s v="OK"/>
    <n v="679630"/>
    <n v="0"/>
    <m/>
    <s v="Never Sold"/>
    <s v="OK BUT BE CHECKING"/>
    <s v="ACTIVE"/>
    <n v="0"/>
  </r>
  <r>
    <s v="ITEM293-A"/>
    <x v="48"/>
    <x v="2"/>
    <x v="6"/>
    <s v="410.12"/>
    <s v="459.71"/>
    <x v="46"/>
    <n v="150"/>
    <n v="0"/>
    <n v="2"/>
    <n v="152"/>
    <s v="OK"/>
    <n v="62338.239999999998"/>
    <n v="0"/>
    <m/>
    <s v="Never Sold"/>
    <s v="OK BUT BE CHECKING"/>
    <s v="ACTIVE"/>
    <n v="0"/>
  </r>
  <r>
    <s v="ITEM294-A"/>
    <x v="35"/>
    <x v="0"/>
    <x v="5"/>
    <s v="444.38"/>
    <s v="811.76"/>
    <x v="87"/>
    <n v="600"/>
    <n v="7"/>
    <n v="1"/>
    <n v="594"/>
    <s v="OK"/>
    <n v="263961.71999999997"/>
    <n v="5682.32"/>
    <d v="2024-06-18T00:00:00"/>
    <n v="589"/>
    <s v="OK BUT BE CHECKING"/>
    <s v="ACTIVE"/>
    <n v="0"/>
  </r>
  <r>
    <s v="ITEM295-A"/>
    <x v="4"/>
    <x v="3"/>
    <x v="6"/>
    <s v="370.32"/>
    <s v="733.13"/>
    <x v="45"/>
    <n v="1470"/>
    <n v="0"/>
    <n v="50"/>
    <n v="1520"/>
    <s v="OK"/>
    <n v="562886.40000000002"/>
    <n v="0"/>
    <m/>
    <s v="Never Sold"/>
    <s v="OK BUT BE CHECKING"/>
    <s v="ACTIVE"/>
    <n v="0"/>
  </r>
  <r>
    <s v="ITEM296-A"/>
    <x v="33"/>
    <x v="7"/>
    <x v="10"/>
    <s v="228.13"/>
    <s v="376.66"/>
    <x v="49"/>
    <n v="1350"/>
    <n v="0"/>
    <n v="6"/>
    <n v="1356"/>
    <s v="OK"/>
    <n v="309344.27999999997"/>
    <n v="0"/>
    <m/>
    <s v="Never Sold"/>
    <s v="OK BUT BE CHECKING"/>
    <s v="ACTIVE"/>
    <n v="0"/>
  </r>
  <r>
    <s v="ITEM297-A"/>
    <x v="39"/>
    <x v="9"/>
    <x v="3"/>
    <s v="1668.07"/>
    <s v="2155.38"/>
    <x v="5"/>
    <n v="1395"/>
    <n v="0"/>
    <n v="30"/>
    <n v="1425"/>
    <s v="OK"/>
    <n v="2376999.75"/>
    <n v="0"/>
    <m/>
    <s v="Never Sold"/>
    <s v="OK BUT BE CHECKING"/>
    <s v="ACTIVE"/>
    <n v="0"/>
  </r>
  <r>
    <s v="ITEM298-A"/>
    <x v="50"/>
    <x v="4"/>
    <x v="2"/>
    <s v="945.44"/>
    <s v="1555.29"/>
    <x v="76"/>
    <n v="915"/>
    <n v="0"/>
    <n v="0"/>
    <n v="915"/>
    <s v="OK"/>
    <n v="865077.60000000009"/>
    <n v="0"/>
    <m/>
    <s v="Never Sold"/>
    <s v="OK BUT BE CHECKING"/>
    <s v="ACTIVE"/>
    <n v="0"/>
  </r>
  <r>
    <s v="ITEM299-A"/>
    <x v="58"/>
    <x v="7"/>
    <x v="3"/>
    <s v="1582.52"/>
    <s v="2104.48"/>
    <x v="40"/>
    <n v="840"/>
    <n v="224"/>
    <n v="10"/>
    <n v="626"/>
    <s v="OK"/>
    <n v="990657.52"/>
    <n v="471403.52000000002"/>
    <d v="2025-11-27T00:00:00"/>
    <n v="62"/>
    <s v="OK BUT BE CHECKING"/>
    <s v="ACTIVE"/>
    <n v="0"/>
  </r>
  <r>
    <s v="ITEM300-A"/>
    <x v="6"/>
    <x v="1"/>
    <x v="7"/>
    <s v="256.85"/>
    <s v="390.75"/>
    <x v="53"/>
    <n v="795"/>
    <n v="0"/>
    <n v="0"/>
    <n v="795"/>
    <s v="OK"/>
    <n v="204195.75000000003"/>
    <n v="0"/>
    <m/>
    <s v="Never Sold"/>
    <s v="OK BUT BE CHECKING"/>
    <s v="ACTIVE"/>
    <n v="0"/>
  </r>
  <r>
    <s v="ITEM301-A"/>
    <x v="32"/>
    <x v="3"/>
    <x v="0"/>
    <s v="1311.91"/>
    <s v="1845.26"/>
    <x v="77"/>
    <n v="615"/>
    <n v="0"/>
    <n v="0"/>
    <n v="615"/>
    <s v="OK"/>
    <n v="806824.65"/>
    <n v="0"/>
    <m/>
    <s v="Never Sold"/>
    <s v="OK BUT BE CHECKING"/>
    <s v="ACTIVE"/>
    <n v="0"/>
  </r>
  <r>
    <s v="ITEM302-A"/>
    <x v="36"/>
    <x v="4"/>
    <x v="3"/>
    <s v="103.12"/>
    <s v="175.86"/>
    <x v="8"/>
    <n v="645"/>
    <n v="0"/>
    <n v="5"/>
    <n v="650"/>
    <s v="OK"/>
    <n v="67028"/>
    <n v="0"/>
    <m/>
    <s v="Never Sold"/>
    <s v="OK BUT BE CHECKING"/>
    <s v="ACTIVE"/>
    <n v="0"/>
  </r>
  <r>
    <s v="ITEM303-A"/>
    <x v="22"/>
    <x v="3"/>
    <x v="0"/>
    <s v="1885.35"/>
    <s v="3037.35"/>
    <x v="13"/>
    <n v="450"/>
    <n v="0"/>
    <n v="14"/>
    <n v="464"/>
    <s v="OK"/>
    <n v="874802.39999999991"/>
    <n v="0"/>
    <m/>
    <s v="Never Sold"/>
    <s v="OK BUT BE CHECKING"/>
    <s v="ACTIVE"/>
    <n v="0"/>
  </r>
  <r>
    <s v="ITEM304-A"/>
    <x v="10"/>
    <x v="5"/>
    <x v="6"/>
    <s v="1638.34"/>
    <s v="2790.54"/>
    <x v="42"/>
    <n v="165"/>
    <n v="32"/>
    <n v="0"/>
    <n v="133"/>
    <s v="OK"/>
    <n v="217899.22"/>
    <n v="89297.279999999999"/>
    <d v="2025-03-27T00:00:00"/>
    <n v="307"/>
    <s v="OK BUT BE CHECKING"/>
    <s v="ACTIVE"/>
    <n v="0"/>
  </r>
  <r>
    <s v="ITEM305-A"/>
    <x v="1"/>
    <x v="1"/>
    <x v="9"/>
    <s v="1490.64"/>
    <s v="2123.31"/>
    <x v="23"/>
    <n v="240"/>
    <n v="0"/>
    <n v="0"/>
    <n v="240"/>
    <s v="OK"/>
    <n v="357753.60000000003"/>
    <n v="0"/>
    <m/>
    <s v="Never Sold"/>
    <s v="OK BUT BE CHECKING"/>
    <s v="ACTIVE"/>
    <n v="0"/>
  </r>
  <r>
    <s v="ITEM306-A"/>
    <x v="7"/>
    <x v="5"/>
    <x v="8"/>
    <s v="578.42"/>
    <s v="1092.52"/>
    <x v="41"/>
    <n v="1050"/>
    <n v="0"/>
    <n v="13"/>
    <n v="1063"/>
    <s v="OK"/>
    <n v="614860.46"/>
    <n v="0"/>
    <m/>
    <s v="Never Sold"/>
    <s v="OK BUT BE CHECKING"/>
    <s v="ACTIVE"/>
    <n v="0"/>
  </r>
  <r>
    <s v="ITEM307-A"/>
    <x v="62"/>
    <x v="2"/>
    <x v="10"/>
    <s v="1088.18"/>
    <s v="2031.2"/>
    <x v="44"/>
    <n v="360"/>
    <n v="7"/>
    <n v="33"/>
    <n v="386"/>
    <s v="OK"/>
    <n v="420037.48000000004"/>
    <n v="14218.4"/>
    <d v="2024-02-24T00:00:00"/>
    <n v="704"/>
    <s v="OK BUT BE CHECKING"/>
    <s v="ACTIVE"/>
    <n v="0"/>
  </r>
  <r>
    <s v="ITEM308-A"/>
    <x v="17"/>
    <x v="0"/>
    <x v="5"/>
    <s v="288.0"/>
    <s v="405.42"/>
    <x v="59"/>
    <n v="345"/>
    <n v="0"/>
    <n v="5"/>
    <n v="350"/>
    <s v="OK"/>
    <n v="100800"/>
    <n v="0"/>
    <m/>
    <s v="Never Sold"/>
    <s v="OK BUT BE CHECKING"/>
    <s v="ACTIVE"/>
    <n v="0"/>
  </r>
  <r>
    <s v="ITEM309-A"/>
    <x v="1"/>
    <x v="1"/>
    <x v="3"/>
    <s v="1810.9"/>
    <s v="3566.87"/>
    <x v="2"/>
    <n v="1320"/>
    <n v="0"/>
    <n v="13"/>
    <n v="1333"/>
    <s v="OK"/>
    <n v="2413929.7000000002"/>
    <n v="0"/>
    <m/>
    <s v="Never Sold"/>
    <s v="OK BUT BE CHECKING"/>
    <s v="ACTIVE"/>
    <n v="0"/>
  </r>
  <r>
    <s v="ITEM310-A"/>
    <x v="54"/>
    <x v="6"/>
    <x v="10"/>
    <s v="145.45"/>
    <s v="250.4"/>
    <x v="15"/>
    <n v="825"/>
    <n v="0"/>
    <n v="17"/>
    <n v="842"/>
    <s v="OK"/>
    <n v="122468.9"/>
    <n v="0"/>
    <m/>
    <s v="Never Sold"/>
    <s v="OK BUT BE CHECKING"/>
    <s v="ACTIVE"/>
    <n v="0"/>
  </r>
  <r>
    <s v="ITEM311-A"/>
    <x v="16"/>
    <x v="6"/>
    <x v="1"/>
    <s v="1852.09"/>
    <s v="2999.47"/>
    <x v="6"/>
    <n v="780"/>
    <n v="0"/>
    <n v="0"/>
    <n v="780"/>
    <s v="OK"/>
    <n v="1444630.2"/>
    <n v="0"/>
    <m/>
    <s v="Never Sold"/>
    <s v="OK BUT BE CHECKING"/>
    <s v="ACTIVE"/>
    <n v="0"/>
  </r>
  <r>
    <s v="ITEM312-A"/>
    <x v="5"/>
    <x v="4"/>
    <x v="6"/>
    <s v="1214.63"/>
    <s v="2393.22"/>
    <x v="56"/>
    <n v="1500"/>
    <n v="5"/>
    <n v="60"/>
    <n v="1555"/>
    <s v="OK"/>
    <n v="1888749.6500000001"/>
    <n v="11966.099999999999"/>
    <d v="2024-11-26T00:00:00"/>
    <n v="428"/>
    <s v="OK BUT BE CHECKING"/>
    <s v="ACTIVE"/>
    <n v="0"/>
  </r>
  <r>
    <s v="ITEM313-A"/>
    <x v="35"/>
    <x v="0"/>
    <x v="7"/>
    <s v="423.38"/>
    <s v="584.81"/>
    <x v="36"/>
    <n v="1005"/>
    <n v="0"/>
    <n v="0"/>
    <n v="1005"/>
    <s v="OK"/>
    <n v="425496.9"/>
    <n v="0"/>
    <m/>
    <s v="Never Sold"/>
    <s v="OK BUT BE CHECKING"/>
    <s v="ACTIVE"/>
    <n v="0"/>
  </r>
  <r>
    <s v="ITEM314-A"/>
    <x v="5"/>
    <x v="4"/>
    <x v="7"/>
    <s v="1895.13"/>
    <s v="2807.91"/>
    <x v="79"/>
    <n v="930"/>
    <n v="0"/>
    <n v="0"/>
    <n v="930"/>
    <s v="OK"/>
    <n v="1762470.9000000001"/>
    <n v="0"/>
    <m/>
    <s v="Never Sold"/>
    <s v="OK BUT BE CHECKING"/>
    <s v="ACTIVE"/>
    <n v="0"/>
  </r>
  <r>
    <s v="ITEM315-A"/>
    <x v="4"/>
    <x v="3"/>
    <x v="5"/>
    <s v="567.45"/>
    <s v="879.89"/>
    <x v="59"/>
    <n v="345"/>
    <n v="16"/>
    <n v="7"/>
    <n v="336"/>
    <s v="OK"/>
    <n v="190663.2"/>
    <n v="14078.24"/>
    <d v="2025-04-25T00:00:00"/>
    <n v="278"/>
    <s v="OK BUT BE CHECKING"/>
    <s v="ACTIVE"/>
    <n v="0"/>
  </r>
  <r>
    <s v="ITEM316-A"/>
    <x v="63"/>
    <x v="2"/>
    <x v="7"/>
    <s v="339.57"/>
    <s v="550.69"/>
    <x v="39"/>
    <n v="945"/>
    <n v="0"/>
    <n v="0"/>
    <n v="945"/>
    <s v="OK"/>
    <n v="320893.64999999997"/>
    <n v="0"/>
    <m/>
    <s v="Never Sold"/>
    <s v="OK BUT BE CHECKING"/>
    <s v="ACTIVE"/>
    <n v="0"/>
  </r>
  <r>
    <s v="ITEM317-A"/>
    <x v="32"/>
    <x v="3"/>
    <x v="11"/>
    <s v="1615.17"/>
    <s v="2479.05"/>
    <x v="57"/>
    <n v="390"/>
    <n v="0"/>
    <n v="36"/>
    <n v="426"/>
    <s v="OK"/>
    <n v="688062.42"/>
    <n v="0"/>
    <m/>
    <s v="Never Sold"/>
    <s v="OK BUT BE CHECKING"/>
    <s v="ACTIVE"/>
    <n v="0"/>
  </r>
  <r>
    <s v="ITEM318-A"/>
    <x v="32"/>
    <x v="3"/>
    <x v="6"/>
    <s v="1176.93"/>
    <s v="1411.5"/>
    <x v="25"/>
    <n v="300"/>
    <n v="0"/>
    <n v="0"/>
    <n v="300"/>
    <s v="OK"/>
    <n v="353079"/>
    <n v="0"/>
    <m/>
    <s v="Never Sold"/>
    <s v="OK BUT BE CHECKING"/>
    <s v="ACTIVE"/>
    <n v="0"/>
  </r>
  <r>
    <s v="ITEM319-A"/>
    <x v="1"/>
    <x v="1"/>
    <x v="5"/>
    <s v="46.67"/>
    <s v="80.69"/>
    <x v="65"/>
    <n v="570"/>
    <n v="2"/>
    <n v="1"/>
    <n v="569"/>
    <s v="OK"/>
    <n v="26555.23"/>
    <n v="161.38"/>
    <d v="2025-01-15T00:00:00"/>
    <n v="378"/>
    <s v="OK BUT BE CHECKING"/>
    <s v="ACTIVE"/>
    <n v="0"/>
  </r>
  <r>
    <s v="ITEM320-A"/>
    <x v="49"/>
    <x v="2"/>
    <x v="4"/>
    <s v="533.76"/>
    <s v="1003.07"/>
    <x v="15"/>
    <n v="825"/>
    <n v="0"/>
    <n v="10"/>
    <n v="835"/>
    <s v="OK"/>
    <n v="445689.59999999998"/>
    <n v="0"/>
    <m/>
    <s v="Never Sold"/>
    <s v="OK BUT BE CHECKING"/>
    <s v="ACTIVE"/>
    <n v="0"/>
  </r>
  <r>
    <s v="ITEM321-A"/>
    <x v="49"/>
    <x v="2"/>
    <x v="8"/>
    <s v="64.26"/>
    <s v="116.05"/>
    <x v="44"/>
    <n v="360"/>
    <n v="0"/>
    <n v="4"/>
    <n v="364"/>
    <s v="OK"/>
    <n v="23390.640000000003"/>
    <n v="0"/>
    <m/>
    <s v="Never Sold"/>
    <s v="OK BUT BE CHECKING"/>
    <s v="ACTIVE"/>
    <n v="0"/>
  </r>
  <r>
    <s v="ITEM322-A"/>
    <x v="7"/>
    <x v="5"/>
    <x v="4"/>
    <s v="529.35"/>
    <s v="604.65"/>
    <x v="6"/>
    <n v="780"/>
    <n v="0"/>
    <n v="0"/>
    <n v="780"/>
    <s v="OK"/>
    <n v="412893"/>
    <n v="0"/>
    <m/>
    <s v="Never Sold"/>
    <s v="OK BUT BE CHECKING"/>
    <s v="ACTIVE"/>
    <n v="0"/>
  </r>
  <r>
    <s v="ITEM323-A"/>
    <x v="17"/>
    <x v="0"/>
    <x v="3"/>
    <s v="1985.01"/>
    <s v="3217.69"/>
    <x v="17"/>
    <n v="675"/>
    <n v="0"/>
    <n v="5"/>
    <n v="680"/>
    <s v="OK"/>
    <n v="1349806.8"/>
    <n v="0"/>
    <m/>
    <s v="Never Sold"/>
    <s v="OK BUT BE CHECKING"/>
    <s v="ACTIVE"/>
    <n v="0"/>
  </r>
  <r>
    <s v="ITEM324-A"/>
    <x v="46"/>
    <x v="7"/>
    <x v="11"/>
    <s v="93.14"/>
    <s v="164.86"/>
    <x v="54"/>
    <n v="1080"/>
    <n v="0"/>
    <n v="24"/>
    <n v="1104"/>
    <s v="OK"/>
    <n v="102826.56"/>
    <n v="0"/>
    <m/>
    <s v="Never Sold"/>
    <s v="OK BUT BE CHECKING"/>
    <s v="ACTIVE"/>
    <n v="0"/>
  </r>
  <r>
    <s v="ITEM325-A"/>
    <x v="43"/>
    <x v="4"/>
    <x v="7"/>
    <s v="1221.72"/>
    <s v="1955.03"/>
    <x v="37"/>
    <n v="255"/>
    <n v="0"/>
    <n v="19"/>
    <n v="274"/>
    <s v="OK"/>
    <n v="334751.28000000003"/>
    <n v="0"/>
    <m/>
    <s v="Never Sold"/>
    <s v="OK BUT BE CHECKING"/>
    <s v="ACTIVE"/>
    <n v="0"/>
  </r>
  <r>
    <s v="ITEM326-A"/>
    <x v="6"/>
    <x v="1"/>
    <x v="7"/>
    <s v="1797.52"/>
    <s v="3396.07"/>
    <x v="35"/>
    <n v="465"/>
    <n v="201"/>
    <n v="0"/>
    <n v="264"/>
    <s v="OK"/>
    <n v="474545.27999999997"/>
    <n v="682610.07000000007"/>
    <d v="2024-11-09T00:00:00"/>
    <n v="445"/>
    <s v="OK BUT BE CHECKING"/>
    <s v="ACTIVE"/>
    <n v="0"/>
  </r>
  <r>
    <s v="ITEM327-A"/>
    <x v="22"/>
    <x v="3"/>
    <x v="8"/>
    <s v="1581.49"/>
    <s v="2905.69"/>
    <x v="30"/>
    <n v="1230"/>
    <n v="0"/>
    <n v="17"/>
    <n v="1247"/>
    <s v="OK"/>
    <n v="1972118.03"/>
    <n v="0"/>
    <m/>
    <s v="Never Sold"/>
    <s v="OK BUT BE CHECKING"/>
    <s v="ACTIVE"/>
    <n v="0"/>
  </r>
  <r>
    <s v="ITEM328-A"/>
    <x v="39"/>
    <x v="9"/>
    <x v="10"/>
    <s v="1013.39"/>
    <s v="1235.37"/>
    <x v="39"/>
    <n v="945"/>
    <n v="0"/>
    <n v="15"/>
    <n v="960"/>
    <s v="OK"/>
    <n v="972854.4"/>
    <n v="0"/>
    <m/>
    <s v="Never Sold"/>
    <s v="OK BUT BE CHECKING"/>
    <s v="ACTIVE"/>
    <n v="0"/>
  </r>
  <r>
    <s v="ITEM329-A"/>
    <x v="41"/>
    <x v="9"/>
    <x v="5"/>
    <s v="1466.62"/>
    <s v="2298.53"/>
    <x v="78"/>
    <n v="870"/>
    <n v="8"/>
    <n v="0"/>
    <n v="862"/>
    <s v="OK"/>
    <n v="1264226.44"/>
    <n v="18388.240000000002"/>
    <d v="2025-01-17T00:00:00"/>
    <n v="376"/>
    <s v="OK BUT BE CHECKING"/>
    <s v="ACTIVE"/>
    <n v="0"/>
  </r>
  <r>
    <s v="ITEM330-A"/>
    <x v="20"/>
    <x v="7"/>
    <x v="6"/>
    <s v="259.09"/>
    <s v="410.03"/>
    <x v="57"/>
    <n v="390"/>
    <n v="0"/>
    <n v="5"/>
    <n v="395"/>
    <s v="OK"/>
    <n v="102340.54999999999"/>
    <n v="0"/>
    <m/>
    <s v="Never Sold"/>
    <s v="OK BUT BE CHECKING"/>
    <s v="ACTIVE"/>
    <n v="0"/>
  </r>
  <r>
    <s v="ITEM331-A"/>
    <x v="59"/>
    <x v="4"/>
    <x v="11"/>
    <s v="1502.99"/>
    <s v="2669.36"/>
    <x v="51"/>
    <n v="765"/>
    <n v="0"/>
    <n v="21"/>
    <n v="786"/>
    <s v="OK"/>
    <n v="1181350.1399999999"/>
    <n v="0"/>
    <m/>
    <s v="Never Sold"/>
    <s v="OK BUT BE CHECKING"/>
    <s v="ACTIVE"/>
    <n v="0"/>
  </r>
  <r>
    <s v="ITEM332-A"/>
    <x v="10"/>
    <x v="5"/>
    <x v="4"/>
    <s v="1754.95"/>
    <s v="3438.72"/>
    <x v="83"/>
    <n v="900"/>
    <n v="0"/>
    <n v="5"/>
    <n v="905"/>
    <s v="OK"/>
    <n v="1588229.75"/>
    <n v="0"/>
    <m/>
    <s v="Never Sold"/>
    <s v="OK BUT BE CHECKING"/>
    <s v="ACTIVE"/>
    <n v="0"/>
  </r>
  <r>
    <s v="ITEM333-A"/>
    <x v="0"/>
    <x v="0"/>
    <x v="5"/>
    <s v="212.67"/>
    <s v="374.73"/>
    <x v="61"/>
    <n v="330"/>
    <n v="0"/>
    <n v="23"/>
    <n v="353"/>
    <s v="OK"/>
    <n v="75072.509999999995"/>
    <n v="0"/>
    <m/>
    <s v="Never Sold"/>
    <s v="OK BUT BE CHECKING"/>
    <s v="ACTIVE"/>
    <n v="0"/>
  </r>
  <r>
    <s v="ITEM334-A"/>
    <x v="6"/>
    <x v="1"/>
    <x v="10"/>
    <s v="187.04"/>
    <s v="325.99"/>
    <x v="57"/>
    <n v="390"/>
    <n v="0"/>
    <n v="0"/>
    <n v="390"/>
    <s v="OK"/>
    <n v="72945.599999999991"/>
    <n v="0"/>
    <m/>
    <s v="Never Sold"/>
    <s v="OK BUT BE CHECKING"/>
    <s v="ACTIVE"/>
    <n v="0"/>
  </r>
  <r>
    <s v="ITEM335-A"/>
    <x v="39"/>
    <x v="9"/>
    <x v="5"/>
    <s v="107.78"/>
    <s v="214.85"/>
    <x v="9"/>
    <n v="1185"/>
    <n v="0"/>
    <n v="14"/>
    <n v="1199"/>
    <s v="OK"/>
    <n v="129228.22"/>
    <n v="0"/>
    <m/>
    <s v="Never Sold"/>
    <s v="OK BUT BE CHECKING"/>
    <s v="ACTIVE"/>
    <n v="0"/>
  </r>
  <r>
    <s v="ITEM336-A"/>
    <x v="16"/>
    <x v="6"/>
    <x v="10"/>
    <s v="735.11"/>
    <s v="1121.64"/>
    <x v="77"/>
    <n v="615"/>
    <n v="0"/>
    <n v="18"/>
    <n v="633"/>
    <s v="OK"/>
    <n v="465324.63"/>
    <n v="0"/>
    <m/>
    <s v="Never Sold"/>
    <s v="OK BUT BE CHECKING"/>
    <s v="ACTIVE"/>
    <n v="0"/>
  </r>
  <r>
    <s v="ITEM337-A"/>
    <x v="26"/>
    <x v="9"/>
    <x v="1"/>
    <s v="513.96"/>
    <s v="759.92"/>
    <x v="50"/>
    <n v="855"/>
    <n v="180"/>
    <n v="12"/>
    <n v="687"/>
    <s v="OK"/>
    <n v="353090.52"/>
    <n v="136785.60000000001"/>
    <d v="2025-12-24T00:00:00"/>
    <n v="35"/>
    <s v="OK BUT BE CHECKING"/>
    <s v="ACTIVE"/>
    <n v="0"/>
  </r>
  <r>
    <s v="ITEM338-A"/>
    <x v="64"/>
    <x v="7"/>
    <x v="9"/>
    <s v="814.95"/>
    <s v="1390.41"/>
    <x v="80"/>
    <n v="630"/>
    <n v="0"/>
    <n v="0"/>
    <n v="630"/>
    <s v="OK"/>
    <n v="513418.5"/>
    <n v="0"/>
    <m/>
    <s v="Never Sold"/>
    <s v="OK BUT BE CHECKING"/>
    <s v="ACTIVE"/>
    <n v="0"/>
  </r>
  <r>
    <s v="ITEM339-A"/>
    <x v="29"/>
    <x v="2"/>
    <x v="10"/>
    <s v="397.73"/>
    <s v="512.41"/>
    <x v="81"/>
    <n v="1485"/>
    <n v="0"/>
    <n v="8"/>
    <n v="1493"/>
    <s v="OK"/>
    <n v="593810.89"/>
    <n v="0"/>
    <m/>
    <s v="Never Sold"/>
    <s v="OK BUT BE CHECKING"/>
    <s v="ACTIVE"/>
    <n v="0"/>
  </r>
  <r>
    <s v="ITEM340-A"/>
    <x v="46"/>
    <x v="7"/>
    <x v="11"/>
    <s v="1087.01"/>
    <s v="1824.34"/>
    <x v="31"/>
    <n v="1425"/>
    <n v="0"/>
    <n v="14"/>
    <n v="1439"/>
    <s v="OK"/>
    <n v="1564207.39"/>
    <n v="0"/>
    <m/>
    <s v="Never Sold"/>
    <s v="OK BUT BE CHECKING"/>
    <s v="ACTIVE"/>
    <n v="0"/>
  </r>
  <r>
    <s v="ITEM341-A"/>
    <x v="44"/>
    <x v="5"/>
    <x v="5"/>
    <s v="1259.95"/>
    <s v="1657.14"/>
    <x v="25"/>
    <n v="300"/>
    <n v="11"/>
    <n v="13"/>
    <n v="302"/>
    <s v="OK"/>
    <n v="380504.9"/>
    <n v="18228.54"/>
    <d v="2024-09-15T00:00:00"/>
    <n v="500"/>
    <s v="OK BUT BE CHECKING"/>
    <s v="ACTIVE"/>
    <n v="0"/>
  </r>
  <r>
    <s v="ITEM342-A"/>
    <x v="0"/>
    <x v="0"/>
    <x v="9"/>
    <s v="143.65"/>
    <s v="225.54"/>
    <x v="39"/>
    <n v="945"/>
    <n v="7"/>
    <n v="3"/>
    <n v="941"/>
    <s v="OK"/>
    <n v="135174.65"/>
    <n v="1578.78"/>
    <d v="2025-08-22T00:00:00"/>
    <n v="159"/>
    <s v="OK BUT BE CHECKING"/>
    <s v="ACTIVE"/>
    <n v="0"/>
  </r>
  <r>
    <s v="ITEM343-A"/>
    <x v="47"/>
    <x v="2"/>
    <x v="2"/>
    <s v="245.26"/>
    <s v="318.63"/>
    <x v="80"/>
    <n v="630"/>
    <n v="0"/>
    <n v="1"/>
    <n v="631"/>
    <s v="OK"/>
    <n v="154759.06"/>
    <n v="0"/>
    <m/>
    <s v="Never Sold"/>
    <s v="OK BUT BE CHECKING"/>
    <s v="ACTIVE"/>
    <n v="0"/>
  </r>
  <r>
    <s v="ITEM344-A"/>
    <x v="1"/>
    <x v="1"/>
    <x v="10"/>
    <s v="1392.22"/>
    <s v="1593.22"/>
    <x v="52"/>
    <n v="975"/>
    <n v="0"/>
    <n v="12"/>
    <n v="987"/>
    <s v="OK"/>
    <n v="1374121.1400000001"/>
    <n v="0"/>
    <m/>
    <s v="Never Sold"/>
    <s v="OK BUT BE CHECKING"/>
    <s v="ACTIVE"/>
    <n v="0"/>
  </r>
  <r>
    <s v="ITEM345-A"/>
    <x v="1"/>
    <x v="1"/>
    <x v="0"/>
    <s v="963.17"/>
    <s v="1522.78"/>
    <x v="55"/>
    <n v="375"/>
    <n v="0"/>
    <n v="1"/>
    <n v="376"/>
    <s v="OK"/>
    <n v="362151.92"/>
    <n v="0"/>
    <m/>
    <s v="Never Sold"/>
    <s v="OK BUT BE CHECKING"/>
    <s v="ACTIVE"/>
    <n v="0"/>
  </r>
  <r>
    <s v="ITEM346-A"/>
    <x v="41"/>
    <x v="9"/>
    <x v="4"/>
    <s v="1821.87"/>
    <s v="3232.68"/>
    <x v="32"/>
    <n v="1275"/>
    <n v="3"/>
    <n v="10"/>
    <n v="1282"/>
    <s v="OK"/>
    <n v="2335637.34"/>
    <n v="9698.0399999999991"/>
    <d v="2024-04-30T00:00:00"/>
    <n v="638"/>
    <s v="OK BUT BE CHECKING"/>
    <s v="ACTIVE"/>
    <n v="0"/>
  </r>
  <r>
    <s v="ITEM347-A"/>
    <x v="1"/>
    <x v="1"/>
    <x v="8"/>
    <s v="1666.92"/>
    <s v="2040.84"/>
    <x v="54"/>
    <n v="1080"/>
    <n v="0"/>
    <n v="0"/>
    <n v="1080"/>
    <s v="OK"/>
    <n v="1800273.6"/>
    <n v="0"/>
    <m/>
    <s v="Never Sold"/>
    <s v="OK BUT BE CHECKING"/>
    <s v="ACTIVE"/>
    <n v="0"/>
  </r>
  <r>
    <s v="ITEM348-A"/>
    <x v="62"/>
    <x v="2"/>
    <x v="4"/>
    <s v="960.08"/>
    <s v="1159.49"/>
    <x v="33"/>
    <n v="1065"/>
    <n v="204"/>
    <n v="33"/>
    <n v="894"/>
    <s v="OK"/>
    <n v="858311.52"/>
    <n v="236535.96"/>
    <d v="2024-12-09T00:00:00"/>
    <n v="415"/>
    <s v="OK BUT BE CHECKING"/>
    <s v="ACTIVE"/>
    <n v="0"/>
  </r>
  <r>
    <s v="ITEM349-A"/>
    <x v="53"/>
    <x v="2"/>
    <x v="0"/>
    <s v="1163.17"/>
    <s v="1680.01"/>
    <x v="36"/>
    <n v="1005"/>
    <n v="8"/>
    <n v="1"/>
    <n v="998"/>
    <s v="OK"/>
    <n v="1160843.6600000001"/>
    <n v="13440.08"/>
    <d v="2025-01-04T00:00:00"/>
    <n v="389"/>
    <s v="OK BUT BE CHECKING"/>
    <s v="ACTIVE"/>
    <n v="0"/>
  </r>
  <r>
    <s v="ITEM350-A"/>
    <x v="43"/>
    <x v="4"/>
    <x v="4"/>
    <s v="585.87"/>
    <s v="1090.08"/>
    <x v="50"/>
    <n v="855"/>
    <n v="0"/>
    <n v="19"/>
    <n v="874"/>
    <s v="OK"/>
    <n v="512050.38"/>
    <n v="0"/>
    <m/>
    <s v="Never Sold"/>
    <s v="OK BUT BE CHECKING"/>
    <s v="ACTIVE"/>
    <n v="0"/>
  </r>
  <r>
    <s v="ITEM351-A"/>
    <x v="45"/>
    <x v="9"/>
    <x v="9"/>
    <s v="155.66"/>
    <s v="257.41"/>
    <x v="62"/>
    <n v="510"/>
    <n v="0"/>
    <n v="0"/>
    <n v="510"/>
    <s v="OK"/>
    <n v="79386.599999999991"/>
    <n v="0"/>
    <m/>
    <s v="Never Sold"/>
    <s v="OK BUT BE CHECKING"/>
    <s v="ACTIVE"/>
    <n v="0"/>
  </r>
  <r>
    <s v="ITEM352-A"/>
    <x v="1"/>
    <x v="1"/>
    <x v="7"/>
    <s v="66.95"/>
    <s v="87.25"/>
    <x v="12"/>
    <n v="1260"/>
    <n v="0"/>
    <n v="0"/>
    <n v="1260"/>
    <s v="OK"/>
    <n v="84357"/>
    <n v="0"/>
    <m/>
    <s v="Never Sold"/>
    <s v="OK BUT BE CHECKING"/>
    <s v="ACTIVE"/>
    <n v="0"/>
  </r>
  <r>
    <s v="ITEM353-A"/>
    <x v="15"/>
    <x v="5"/>
    <x v="4"/>
    <s v="957.13"/>
    <s v="1514.04"/>
    <x v="11"/>
    <n v="585"/>
    <n v="0"/>
    <n v="4"/>
    <n v="589"/>
    <s v="OK"/>
    <n v="563749.56999999995"/>
    <n v="0"/>
    <m/>
    <s v="Never Sold"/>
    <s v="OK BUT BE CHECKING"/>
    <s v="ACTIVE"/>
    <n v="0"/>
  </r>
  <r>
    <s v="ITEM354-A"/>
    <x v="65"/>
    <x v="2"/>
    <x v="2"/>
    <s v="904.43"/>
    <s v="1154.06"/>
    <x v="16"/>
    <n v="210"/>
    <n v="0"/>
    <n v="52"/>
    <n v="262"/>
    <s v="OK"/>
    <n v="236960.65999999997"/>
    <n v="0"/>
    <m/>
    <s v="Never Sold"/>
    <s v="OK BUT BE CHECKING"/>
    <s v="ACTIVE"/>
    <n v="0"/>
  </r>
  <r>
    <s v="ITEM355-A"/>
    <x v="10"/>
    <x v="5"/>
    <x v="2"/>
    <s v="606.09"/>
    <s v="817.48"/>
    <x v="82"/>
    <n v="405"/>
    <n v="0"/>
    <n v="0"/>
    <n v="405"/>
    <s v="OK"/>
    <n v="245466.45"/>
    <n v="0"/>
    <m/>
    <s v="Never Sold"/>
    <s v="OK BUT BE CHECKING"/>
    <s v="ACTIVE"/>
    <n v="0"/>
  </r>
  <r>
    <s v="ITEM356-A"/>
    <x v="30"/>
    <x v="8"/>
    <x v="10"/>
    <s v="1085.23"/>
    <s v="1666.82"/>
    <x v="8"/>
    <n v="645"/>
    <n v="0"/>
    <n v="0"/>
    <n v="645"/>
    <s v="OK"/>
    <n v="699973.35"/>
    <n v="0"/>
    <m/>
    <s v="Never Sold"/>
    <s v="OK BUT BE CHECKING"/>
    <s v="ACTIVE"/>
    <n v="0"/>
  </r>
  <r>
    <s v="ITEM357-A"/>
    <x v="39"/>
    <x v="9"/>
    <x v="4"/>
    <s v="107.37"/>
    <s v="130.41"/>
    <x v="66"/>
    <n v="1380"/>
    <n v="0"/>
    <n v="0"/>
    <n v="1380"/>
    <s v="OK"/>
    <n v="148170.6"/>
    <n v="0"/>
    <m/>
    <s v="Never Sold"/>
    <s v="OK BUT BE CHECKING"/>
    <s v="ACTIVE"/>
    <n v="0"/>
  </r>
  <r>
    <s v="ITEM358-A"/>
    <x v="44"/>
    <x v="5"/>
    <x v="7"/>
    <s v="663.63"/>
    <s v="1301.68"/>
    <x v="81"/>
    <n v="1485"/>
    <n v="12"/>
    <n v="4"/>
    <n v="1477"/>
    <s v="OK"/>
    <n v="980181.51"/>
    <n v="15620.16"/>
    <d v="2025-11-01T00:00:00"/>
    <n v="88"/>
    <s v="OK BUT BE CHECKING"/>
    <s v="ACTIVE"/>
    <n v="0"/>
  </r>
  <r>
    <s v="ITEM359-A"/>
    <x v="6"/>
    <x v="1"/>
    <x v="11"/>
    <s v="1774.77"/>
    <s v="2786.06"/>
    <x v="73"/>
    <n v="1170"/>
    <n v="0"/>
    <n v="18"/>
    <n v="1188"/>
    <s v="OK"/>
    <n v="2108426.7599999998"/>
    <n v="0"/>
    <m/>
    <s v="Never Sold"/>
    <s v="OK BUT BE CHECKING"/>
    <s v="ACTIVE"/>
    <n v="0"/>
  </r>
  <r>
    <s v="ITEM360-A"/>
    <x v="36"/>
    <x v="4"/>
    <x v="11"/>
    <s v="1910.56"/>
    <s v="3235.79"/>
    <x v="57"/>
    <n v="390"/>
    <n v="0"/>
    <n v="7"/>
    <n v="397"/>
    <s v="OK"/>
    <n v="758492.32"/>
    <n v="0"/>
    <m/>
    <s v="Never Sold"/>
    <s v="OK BUT BE CHECKING"/>
    <s v="ACTIVE"/>
    <n v="0"/>
  </r>
  <r>
    <s v="ITEM361-A"/>
    <x v="32"/>
    <x v="3"/>
    <x v="7"/>
    <s v="1319.13"/>
    <s v="1631.43"/>
    <x v="5"/>
    <n v="1395"/>
    <n v="8"/>
    <n v="3"/>
    <n v="1390"/>
    <s v="OK"/>
    <n v="1833590.7000000002"/>
    <n v="13051.44"/>
    <d v="2024-09-02T00:00:00"/>
    <n v="513"/>
    <s v="OK BUT BE CHECKING"/>
    <s v="ACTIVE"/>
    <n v="0"/>
  </r>
  <r>
    <s v="ITEM362-A"/>
    <x v="46"/>
    <x v="7"/>
    <x v="5"/>
    <s v="66.27"/>
    <s v="121.01"/>
    <x v="10"/>
    <n v="960"/>
    <n v="0"/>
    <n v="2"/>
    <n v="962"/>
    <s v="OK"/>
    <n v="63751.74"/>
    <n v="0"/>
    <m/>
    <s v="Never Sold"/>
    <s v="OK BUT BE CHECKING"/>
    <s v="ACTIVE"/>
    <n v="0"/>
  </r>
  <r>
    <s v="ITEM363-A"/>
    <x v="4"/>
    <x v="3"/>
    <x v="8"/>
    <s v="1134.3"/>
    <s v="1471.32"/>
    <x v="76"/>
    <n v="915"/>
    <n v="0"/>
    <n v="5"/>
    <n v="920"/>
    <s v="OK"/>
    <n v="1043556"/>
    <n v="0"/>
    <m/>
    <s v="Never Sold"/>
    <s v="OK BUT BE CHECKING"/>
    <s v="ACTIVE"/>
    <n v="0"/>
  </r>
  <r>
    <s v="ITEM364-A"/>
    <x v="15"/>
    <x v="5"/>
    <x v="3"/>
    <s v="1099.67"/>
    <s v="1301.5"/>
    <x v="69"/>
    <n v="1035"/>
    <n v="0"/>
    <n v="11"/>
    <n v="1046"/>
    <s v="OK"/>
    <n v="1150254.82"/>
    <n v="0"/>
    <m/>
    <s v="Never Sold"/>
    <s v="OK BUT BE CHECKING"/>
    <s v="ACTIVE"/>
    <n v="0"/>
  </r>
  <r>
    <s v="ITEM365-A"/>
    <x v="50"/>
    <x v="4"/>
    <x v="9"/>
    <s v="142.8"/>
    <s v="201.97"/>
    <x v="24"/>
    <n v="225"/>
    <n v="0"/>
    <n v="0"/>
    <n v="225"/>
    <s v="OK"/>
    <n v="32130.000000000004"/>
    <n v="0"/>
    <m/>
    <s v="Never Sold"/>
    <s v="OK BUT BE CHECKING"/>
    <s v="ACTIVE"/>
    <n v="0"/>
  </r>
  <r>
    <s v="ITEM366-A"/>
    <x v="58"/>
    <x v="7"/>
    <x v="9"/>
    <s v="404.75"/>
    <s v="779.55"/>
    <x v="63"/>
    <n v="1365"/>
    <n v="0"/>
    <n v="11"/>
    <n v="1376"/>
    <s v="OK"/>
    <n v="556936"/>
    <n v="0"/>
    <m/>
    <s v="Never Sold"/>
    <s v="OK BUT BE CHECKING"/>
    <s v="ACTIVE"/>
    <n v="0"/>
  </r>
  <r>
    <s v="ITEM367-A"/>
    <x v="27"/>
    <x v="8"/>
    <x v="4"/>
    <s v="1264.18"/>
    <s v="2403.04"/>
    <x v="73"/>
    <n v="1170"/>
    <n v="177"/>
    <n v="0"/>
    <n v="993"/>
    <s v="OK"/>
    <n v="1255330.74"/>
    <n v="425338.08"/>
    <d v="2025-12-03T00:00:00"/>
    <n v="56"/>
    <s v="OK BUT BE CHECKING"/>
    <s v="ACTIVE"/>
    <n v="0"/>
  </r>
  <r>
    <s v="ITEM368-A"/>
    <x v="20"/>
    <x v="7"/>
    <x v="3"/>
    <s v="813.45"/>
    <s v="1493.22"/>
    <x v="46"/>
    <n v="150"/>
    <n v="11"/>
    <n v="5"/>
    <n v="144"/>
    <s v="OK"/>
    <n v="117136.8"/>
    <n v="16425.420000000002"/>
    <d v="2025-03-02T00:00:00"/>
    <n v="332"/>
    <s v="OK BUT BE CHECKING"/>
    <s v="ACTIVE"/>
    <n v="0"/>
  </r>
  <r>
    <s v="ITEM369-A"/>
    <x v="27"/>
    <x v="8"/>
    <x v="8"/>
    <s v="1010.03"/>
    <s v="1675.98"/>
    <x v="3"/>
    <n v="735"/>
    <n v="0"/>
    <n v="0"/>
    <n v="735"/>
    <s v="OK"/>
    <n v="742372.04999999993"/>
    <n v="0"/>
    <m/>
    <s v="Never Sold"/>
    <s v="OK BUT BE CHECKING"/>
    <s v="ACTIVE"/>
    <n v="0"/>
  </r>
  <r>
    <s v="ITEM370-A"/>
    <x v="39"/>
    <x v="9"/>
    <x v="10"/>
    <s v="482.91"/>
    <s v="882.61"/>
    <x v="58"/>
    <n v="1110"/>
    <n v="0"/>
    <n v="0"/>
    <n v="1110"/>
    <s v="OK"/>
    <n v="536030.1"/>
    <n v="0"/>
    <m/>
    <s v="Never Sold"/>
    <s v="OK BUT BE CHECKING"/>
    <s v="ACTIVE"/>
    <n v="0"/>
  </r>
  <r>
    <s v="ITEM371-A"/>
    <x v="0"/>
    <x v="0"/>
    <x v="8"/>
    <s v="1328.8"/>
    <s v="2042.76"/>
    <x v="36"/>
    <n v="1005"/>
    <n v="0"/>
    <n v="11"/>
    <n v="1016"/>
    <s v="OK"/>
    <n v="1350060.8"/>
    <n v="0"/>
    <m/>
    <s v="Never Sold"/>
    <s v="OK BUT BE CHECKING"/>
    <s v="ACTIVE"/>
    <n v="0"/>
  </r>
  <r>
    <s v="ITEM372-A"/>
    <x v="25"/>
    <x v="8"/>
    <x v="8"/>
    <s v="531.53"/>
    <s v="679.71"/>
    <x v="88"/>
    <n v="660"/>
    <n v="0"/>
    <n v="18"/>
    <n v="678"/>
    <s v="OK"/>
    <n v="360377.33999999997"/>
    <n v="0"/>
    <m/>
    <s v="Never Sold"/>
    <s v="OK BUT BE CHECKING"/>
    <s v="ACTIVE"/>
    <n v="0"/>
  </r>
  <r>
    <s v="ITEM373-A"/>
    <x v="32"/>
    <x v="3"/>
    <x v="4"/>
    <s v="1926.21"/>
    <s v="2537.0"/>
    <x v="25"/>
    <n v="300"/>
    <n v="0"/>
    <n v="0"/>
    <n v="300"/>
    <s v="OK"/>
    <n v="577863"/>
    <n v="0"/>
    <m/>
    <s v="Never Sold"/>
    <s v="OK BUT BE CHECKING"/>
    <s v="ACTIVE"/>
    <n v="0"/>
  </r>
  <r>
    <s v="ITEM374-A"/>
    <x v="17"/>
    <x v="0"/>
    <x v="2"/>
    <s v="992.09"/>
    <s v="1953.45"/>
    <x v="50"/>
    <n v="855"/>
    <n v="0"/>
    <n v="2"/>
    <n v="857"/>
    <s v="OK"/>
    <n v="850221.13"/>
    <n v="0"/>
    <m/>
    <s v="Never Sold"/>
    <s v="OK BUT BE CHECKING"/>
    <s v="ACTIVE"/>
    <n v="0"/>
  </r>
  <r>
    <s v="ITEM375-A"/>
    <x v="6"/>
    <x v="1"/>
    <x v="10"/>
    <s v="1575.38"/>
    <s v="2928.06"/>
    <x v="75"/>
    <n v="1290"/>
    <n v="0"/>
    <n v="7"/>
    <n v="1297"/>
    <s v="OK"/>
    <n v="2043267.86"/>
    <n v="0"/>
    <m/>
    <s v="Never Sold"/>
    <s v="OK BUT BE CHECKING"/>
    <s v="ACTIVE"/>
    <n v="0"/>
  </r>
  <r>
    <s v="ITEM376-A"/>
    <x v="41"/>
    <x v="9"/>
    <x v="7"/>
    <s v="504.35"/>
    <s v="983.29"/>
    <x v="34"/>
    <n v="1140"/>
    <n v="2"/>
    <n v="0"/>
    <n v="1138"/>
    <s v="OK"/>
    <n v="573950.30000000005"/>
    <n v="1966.58"/>
    <d v="2024-07-22T00:00:00"/>
    <n v="555"/>
    <s v="OK BUT BE CHECKING"/>
    <s v="ACTIVE"/>
    <n v="0"/>
  </r>
  <r>
    <s v="ITEM377-A"/>
    <x v="53"/>
    <x v="2"/>
    <x v="10"/>
    <s v="158.41"/>
    <s v="210.86"/>
    <x v="69"/>
    <n v="1035"/>
    <n v="0"/>
    <n v="14"/>
    <n v="1049"/>
    <s v="OK"/>
    <n v="166172.09"/>
    <n v="0"/>
    <m/>
    <s v="Never Sold"/>
    <s v="OK BUT BE CHECKING"/>
    <s v="ACTIVE"/>
    <n v="0"/>
  </r>
  <r>
    <s v="ITEM378-A"/>
    <x v="35"/>
    <x v="0"/>
    <x v="1"/>
    <s v="1633.95"/>
    <s v="2288.15"/>
    <x v="78"/>
    <n v="870"/>
    <n v="0"/>
    <n v="7"/>
    <n v="877"/>
    <s v="OK"/>
    <n v="1432974.1500000001"/>
    <n v="0"/>
    <m/>
    <s v="Never Sold"/>
    <s v="OK BUT BE CHECKING"/>
    <s v="ACTIVE"/>
    <n v="0"/>
  </r>
  <r>
    <s v="ITEM379-A"/>
    <x v="1"/>
    <x v="1"/>
    <x v="1"/>
    <s v="1456.42"/>
    <s v="2067.54"/>
    <x v="75"/>
    <n v="1290"/>
    <n v="0"/>
    <n v="0"/>
    <n v="1290"/>
    <s v="OK"/>
    <n v="1878781.8"/>
    <n v="0"/>
    <m/>
    <s v="Never Sold"/>
    <s v="OK BUT BE CHECKING"/>
    <s v="ACTIVE"/>
    <n v="0"/>
  </r>
  <r>
    <s v="ITEM380-A"/>
    <x v="18"/>
    <x v="7"/>
    <x v="2"/>
    <s v="1470.07"/>
    <s v="1825.56"/>
    <x v="30"/>
    <n v="1230"/>
    <n v="0"/>
    <n v="1"/>
    <n v="1231"/>
    <s v="OK"/>
    <n v="1809656.17"/>
    <n v="0"/>
    <m/>
    <s v="Never Sold"/>
    <s v="OK BUT BE CHECKING"/>
    <s v="ACTIVE"/>
    <n v="0"/>
  </r>
  <r>
    <s v="ITEM381-A"/>
    <x v="1"/>
    <x v="1"/>
    <x v="0"/>
    <s v="141.25"/>
    <s v="161.7"/>
    <x v="73"/>
    <n v="1170"/>
    <n v="6"/>
    <n v="1"/>
    <n v="1165"/>
    <s v="OK"/>
    <n v="164556.25"/>
    <n v="970.19999999999993"/>
    <d v="2024-06-12T00:00:00"/>
    <n v="595"/>
    <s v="OK BUT BE CHECKING"/>
    <s v="ACTIVE"/>
    <n v="0"/>
  </r>
  <r>
    <s v="ITEM382-A"/>
    <x v="6"/>
    <x v="1"/>
    <x v="8"/>
    <s v="1975.75"/>
    <s v="3638.82"/>
    <x v="7"/>
    <n v="810"/>
    <n v="0"/>
    <n v="12"/>
    <n v="822"/>
    <s v="OK"/>
    <n v="1624066.5"/>
    <n v="0"/>
    <m/>
    <s v="Never Sold"/>
    <s v="OK BUT BE CHECKING"/>
    <s v="ACTIVE"/>
    <n v="0"/>
  </r>
  <r>
    <s v="ITEM383-A"/>
    <x v="64"/>
    <x v="7"/>
    <x v="8"/>
    <s v="787.56"/>
    <s v="959.8"/>
    <x v="45"/>
    <n v="1470"/>
    <n v="0"/>
    <n v="7"/>
    <n v="1477"/>
    <s v="OK"/>
    <n v="1163226.1199999999"/>
    <n v="0"/>
    <m/>
    <s v="Never Sold"/>
    <s v="OK BUT BE CHECKING"/>
    <s v="ACTIVE"/>
    <n v="0"/>
  </r>
  <r>
    <s v="ITEM384-A"/>
    <x v="43"/>
    <x v="4"/>
    <x v="7"/>
    <s v="1898.78"/>
    <s v="2604.48"/>
    <x v="1"/>
    <n v="720"/>
    <n v="12"/>
    <n v="0"/>
    <n v="708"/>
    <s v="OK"/>
    <n v="1344336.24"/>
    <n v="31253.760000000002"/>
    <d v="2025-08-01T00:00:00"/>
    <n v="180"/>
    <s v="OK BUT BE CHECKING"/>
    <s v="ACTIVE"/>
    <n v="0"/>
  </r>
  <r>
    <s v="ITEM385-A"/>
    <x v="1"/>
    <x v="1"/>
    <x v="11"/>
    <s v="1842.3"/>
    <s v="3266.81"/>
    <x v="71"/>
    <n v="1095"/>
    <n v="0"/>
    <n v="0"/>
    <n v="1095"/>
    <s v="OK"/>
    <n v="2017318.5"/>
    <n v="0"/>
    <m/>
    <s v="Never Sold"/>
    <s v="OK BUT BE CHECKING"/>
    <s v="ACTIVE"/>
    <n v="0"/>
  </r>
  <r>
    <s v="ITEM386-A"/>
    <x v="59"/>
    <x v="4"/>
    <x v="11"/>
    <s v="1782.14"/>
    <s v="3059.39"/>
    <x v="48"/>
    <n v="690"/>
    <n v="0"/>
    <n v="4"/>
    <n v="694"/>
    <s v="OK"/>
    <n v="1236805.1600000001"/>
    <n v="0"/>
    <m/>
    <s v="Never Sold"/>
    <s v="OK BUT BE CHECKING"/>
    <s v="ACTIVE"/>
    <n v="0"/>
  </r>
  <r>
    <s v="ITEM387-A"/>
    <x v="21"/>
    <x v="6"/>
    <x v="11"/>
    <s v="750.1"/>
    <s v="1398.04"/>
    <x v="15"/>
    <n v="825"/>
    <n v="0"/>
    <n v="0"/>
    <n v="825"/>
    <s v="OK"/>
    <n v="618832.5"/>
    <n v="0"/>
    <m/>
    <s v="Never Sold"/>
    <s v="OK BUT BE CHECKING"/>
    <s v="ACTIVE"/>
    <n v="0"/>
  </r>
  <r>
    <s v="ITEM388-A"/>
    <x v="24"/>
    <x v="3"/>
    <x v="10"/>
    <s v="503.27"/>
    <s v="873.7"/>
    <x v="6"/>
    <n v="780"/>
    <n v="0"/>
    <n v="0"/>
    <n v="780"/>
    <s v="OK"/>
    <n v="392550.6"/>
    <n v="0"/>
    <m/>
    <s v="Never Sold"/>
    <s v="OK BUT BE CHECKING"/>
    <s v="ACTIVE"/>
    <n v="0"/>
  </r>
  <r>
    <s v="ITEM389-A"/>
    <x v="7"/>
    <x v="5"/>
    <x v="10"/>
    <s v="435.76"/>
    <s v="574.94"/>
    <x v="33"/>
    <n v="1065"/>
    <n v="0"/>
    <n v="11"/>
    <n v="1076"/>
    <s v="OK"/>
    <n v="468877.76"/>
    <n v="0"/>
    <m/>
    <s v="Never Sold"/>
    <s v="OK BUT BE CHECKING"/>
    <s v="ACTIVE"/>
    <n v="0"/>
  </r>
  <r>
    <s v="ITEM390-A"/>
    <x v="41"/>
    <x v="9"/>
    <x v="7"/>
    <s v="1145.14"/>
    <s v="2203.12"/>
    <x v="9"/>
    <n v="1185"/>
    <n v="0"/>
    <n v="0"/>
    <n v="1185"/>
    <s v="OK"/>
    <n v="1356990.9000000001"/>
    <n v="0"/>
    <m/>
    <s v="Never Sold"/>
    <s v="OK BUT BE CHECKING"/>
    <s v="ACTIVE"/>
    <n v="0"/>
  </r>
  <r>
    <s v="ITEM391-A"/>
    <x v="28"/>
    <x v="2"/>
    <x v="1"/>
    <s v="745.81"/>
    <s v="1422.42"/>
    <x v="36"/>
    <n v="1005"/>
    <n v="0"/>
    <n v="50"/>
    <n v="1055"/>
    <s v="OK"/>
    <n v="786829.54999999993"/>
    <n v="0"/>
    <m/>
    <s v="Never Sold"/>
    <s v="OK BUT BE CHECKING"/>
    <s v="ACTIVE"/>
    <n v="0"/>
  </r>
  <r>
    <s v="ITEM392-A"/>
    <x v="57"/>
    <x v="7"/>
    <x v="0"/>
    <s v="1406.2"/>
    <s v="2147.38"/>
    <x v="84"/>
    <n v="1305"/>
    <n v="0"/>
    <n v="12"/>
    <n v="1317"/>
    <s v="OK"/>
    <n v="1851965.4000000001"/>
    <n v="0"/>
    <m/>
    <s v="Never Sold"/>
    <s v="OK BUT BE CHECKING"/>
    <s v="ACTIVE"/>
    <n v="0"/>
  </r>
  <r>
    <s v="ITEM393-A"/>
    <x v="32"/>
    <x v="3"/>
    <x v="4"/>
    <s v="499.76"/>
    <s v="624.95"/>
    <x v="65"/>
    <n v="570"/>
    <n v="0"/>
    <n v="2"/>
    <n v="572"/>
    <s v="OK"/>
    <n v="285862.71999999997"/>
    <n v="0"/>
    <m/>
    <s v="Never Sold"/>
    <s v="OK BUT BE CHECKING"/>
    <s v="ACTIVE"/>
    <n v="0"/>
  </r>
  <r>
    <s v="ITEM394-A"/>
    <x v="55"/>
    <x v="7"/>
    <x v="10"/>
    <s v="196.26"/>
    <s v="387.92"/>
    <x v="17"/>
    <n v="675"/>
    <n v="0"/>
    <n v="5"/>
    <n v="680"/>
    <s v="OK"/>
    <n v="133456.79999999999"/>
    <n v="0"/>
    <m/>
    <s v="Never Sold"/>
    <s v="OK BUT BE CHECKING"/>
    <s v="ACTIVE"/>
    <n v="0"/>
  </r>
  <r>
    <s v="ITEM395-A"/>
    <x v="50"/>
    <x v="4"/>
    <x v="11"/>
    <s v="234.34"/>
    <s v="454.76"/>
    <x v="2"/>
    <n v="1320"/>
    <n v="0"/>
    <n v="0"/>
    <n v="1320"/>
    <s v="OK"/>
    <n v="309328.8"/>
    <n v="0"/>
    <m/>
    <s v="Never Sold"/>
    <s v="OK BUT BE CHECKING"/>
    <s v="ACTIVE"/>
    <n v="0"/>
  </r>
  <r>
    <s v="ITEM396-A"/>
    <x v="39"/>
    <x v="9"/>
    <x v="6"/>
    <s v="359.03"/>
    <s v="442.73"/>
    <x v="55"/>
    <n v="375"/>
    <n v="0"/>
    <n v="40"/>
    <n v="415"/>
    <s v="OK"/>
    <n v="148997.44999999998"/>
    <n v="0"/>
    <m/>
    <s v="Never Sold"/>
    <s v="OK BUT BE CHECKING"/>
    <s v="ACTIVE"/>
    <n v="0"/>
  </r>
  <r>
    <s v="ITEM397-A"/>
    <x v="64"/>
    <x v="7"/>
    <x v="1"/>
    <s v="490.85"/>
    <s v="660.58"/>
    <x v="57"/>
    <n v="390"/>
    <n v="31"/>
    <n v="4"/>
    <n v="363"/>
    <s v="OK"/>
    <n v="178178.55000000002"/>
    <n v="20477.98"/>
    <d v="2025-12-08T00:00:00"/>
    <n v="51"/>
    <s v="OK BUT BE CHECKING"/>
    <s v="ACTIVE"/>
    <n v="0"/>
  </r>
  <r>
    <s v="ITEM398-A"/>
    <x v="22"/>
    <x v="3"/>
    <x v="5"/>
    <s v="16.54"/>
    <s v="29.84"/>
    <x v="69"/>
    <n v="1035"/>
    <n v="0"/>
    <n v="0"/>
    <n v="1035"/>
    <s v="OK"/>
    <n v="17118.899999999998"/>
    <n v="0"/>
    <m/>
    <s v="Never Sold"/>
    <s v="OK BUT BE CHECKING"/>
    <s v="ACTIVE"/>
    <n v="0"/>
  </r>
  <r>
    <s v="ITEM399-A"/>
    <x v="24"/>
    <x v="3"/>
    <x v="7"/>
    <s v="472.41"/>
    <s v="877.58"/>
    <x v="64"/>
    <n v="180"/>
    <n v="0"/>
    <n v="0"/>
    <n v="180"/>
    <s v="OK"/>
    <n v="85033.8"/>
    <n v="0"/>
    <m/>
    <s v="Never Sold"/>
    <s v="OK BUT BE CHECKING"/>
    <s v="ACTIVE"/>
    <n v="0"/>
  </r>
  <r>
    <s v="ITEM400-A"/>
    <x v="41"/>
    <x v="9"/>
    <x v="7"/>
    <s v="709.88"/>
    <s v="1018.39"/>
    <x v="1"/>
    <n v="720"/>
    <n v="0"/>
    <n v="3"/>
    <n v="723"/>
    <s v="OK"/>
    <n v="513243.24"/>
    <n v="0"/>
    <m/>
    <s v="Never Sold"/>
    <s v="OK BUT BE CHECKING"/>
    <s v="ACTIVE"/>
    <n v="0"/>
  </r>
  <r>
    <s v="ITEM401-A"/>
    <x v="26"/>
    <x v="9"/>
    <x v="3"/>
    <s v="933.66"/>
    <s v="1245.6"/>
    <x v="45"/>
    <n v="1470"/>
    <n v="0"/>
    <n v="0"/>
    <n v="1470"/>
    <s v="OK"/>
    <n v="1372480.2"/>
    <n v="0"/>
    <m/>
    <s v="Never Sold"/>
    <s v="OK BUT BE CHECKING"/>
    <s v="ACTIVE"/>
    <n v="0"/>
  </r>
  <r>
    <s v="ITEM402-A"/>
    <x v="1"/>
    <x v="1"/>
    <x v="8"/>
    <s v="1190.62"/>
    <s v="1416.78"/>
    <x v="83"/>
    <n v="900"/>
    <n v="0"/>
    <n v="1"/>
    <n v="901"/>
    <s v="OK"/>
    <n v="1072748.6199999999"/>
    <n v="0"/>
    <m/>
    <s v="Never Sold"/>
    <s v="OK BUT BE CHECKING"/>
    <s v="ACTIVE"/>
    <n v="0"/>
  </r>
  <r>
    <s v="ITEM403-A"/>
    <x v="1"/>
    <x v="1"/>
    <x v="10"/>
    <s v="1845.48"/>
    <s v="2314.67"/>
    <x v="75"/>
    <n v="1290"/>
    <n v="0"/>
    <n v="0"/>
    <n v="1290"/>
    <s v="OK"/>
    <n v="2380669.2000000002"/>
    <n v="0"/>
    <m/>
    <s v="Never Sold"/>
    <s v="OK BUT BE CHECKING"/>
    <s v="ACTIVE"/>
    <n v="0"/>
  </r>
  <r>
    <s v="ITEM404-A"/>
    <x v="39"/>
    <x v="9"/>
    <x v="8"/>
    <s v="397.39"/>
    <s v="761.49"/>
    <x v="47"/>
    <n v="1440"/>
    <n v="0"/>
    <n v="0"/>
    <n v="1440"/>
    <s v="OK"/>
    <n v="572241.6"/>
    <n v="0"/>
    <m/>
    <s v="Never Sold"/>
    <s v="OK BUT BE CHECKING"/>
    <s v="ACTIVE"/>
    <n v="0"/>
  </r>
  <r>
    <s v="ITEM405-A"/>
    <x v="1"/>
    <x v="1"/>
    <x v="2"/>
    <s v="1685.79"/>
    <s v="2492.34"/>
    <x v="8"/>
    <n v="645"/>
    <n v="0"/>
    <n v="0"/>
    <n v="645"/>
    <s v="OK"/>
    <n v="1087334.55"/>
    <n v="0"/>
    <m/>
    <s v="Never Sold"/>
    <s v="OK BUT BE CHECKING"/>
    <s v="ACTIVE"/>
    <n v="0"/>
  </r>
  <r>
    <s v="ITEM406-A"/>
    <x v="3"/>
    <x v="0"/>
    <x v="5"/>
    <s v="1855.05"/>
    <s v="3590.05"/>
    <x v="72"/>
    <n v="270"/>
    <n v="7"/>
    <n v="18"/>
    <n v="281"/>
    <s v="OK"/>
    <n v="521269.05"/>
    <n v="25130.350000000002"/>
    <d v="2024-08-08T00:00:00"/>
    <n v="538"/>
    <s v="OK BUT BE CHECKING"/>
    <s v="ACTIVE"/>
    <n v="0"/>
  </r>
  <r>
    <s v="ITEM407-A"/>
    <x v="18"/>
    <x v="7"/>
    <x v="10"/>
    <s v="1797.64"/>
    <s v="3445.78"/>
    <x v="39"/>
    <n v="945"/>
    <n v="0"/>
    <n v="38"/>
    <n v="983"/>
    <s v="OK"/>
    <n v="1767080.12"/>
    <n v="0"/>
    <m/>
    <s v="Never Sold"/>
    <s v="OK BUT BE CHECKING"/>
    <s v="ACTIVE"/>
    <n v="0"/>
  </r>
  <r>
    <s v="ITEM408-A"/>
    <x v="36"/>
    <x v="4"/>
    <x v="3"/>
    <s v="953.81"/>
    <s v="1555.8"/>
    <x v="50"/>
    <n v="855"/>
    <n v="15"/>
    <n v="48"/>
    <n v="888"/>
    <s v="OK"/>
    <n v="846983.27999999991"/>
    <n v="23337"/>
    <d v="2025-07-30T00:00:00"/>
    <n v="182"/>
    <s v="OK BUT BE CHECKING"/>
    <s v="ACTIVE"/>
    <n v="0"/>
  </r>
  <r>
    <s v="ITEM409-A"/>
    <x v="6"/>
    <x v="1"/>
    <x v="2"/>
    <s v="653.88"/>
    <s v="1186.68"/>
    <x v="84"/>
    <n v="1305"/>
    <n v="0"/>
    <n v="4"/>
    <n v="1309"/>
    <s v="OK"/>
    <n v="855928.92"/>
    <n v="0"/>
    <m/>
    <s v="Never Sold"/>
    <s v="OK BUT BE CHECKING"/>
    <s v="ACTIVE"/>
    <n v="0"/>
  </r>
  <r>
    <s v="ITEM410-A"/>
    <x v="3"/>
    <x v="0"/>
    <x v="9"/>
    <s v="1367.55"/>
    <s v="1760.28"/>
    <x v="55"/>
    <n v="375"/>
    <n v="7"/>
    <n v="0"/>
    <n v="368"/>
    <s v="OK"/>
    <n v="503258.39999999997"/>
    <n v="12321.96"/>
    <d v="2024-10-22T00:00:00"/>
    <n v="463"/>
    <s v="OK BUT BE CHECKING"/>
    <s v="ACTIVE"/>
    <n v="0"/>
  </r>
  <r>
    <s v="ITEM411-A"/>
    <x v="10"/>
    <x v="5"/>
    <x v="6"/>
    <s v="698.18"/>
    <s v="1141.16"/>
    <x v="37"/>
    <n v="255"/>
    <n v="0"/>
    <n v="0"/>
    <n v="255"/>
    <s v="OK"/>
    <n v="178035.9"/>
    <n v="0"/>
    <m/>
    <s v="Never Sold"/>
    <s v="OK BUT BE CHECKING"/>
    <s v="ACTIVE"/>
    <n v="0"/>
  </r>
  <r>
    <s v="ITEM412-A"/>
    <x v="1"/>
    <x v="1"/>
    <x v="7"/>
    <s v="1939.48"/>
    <s v="2980.1"/>
    <x v="86"/>
    <n v="1335"/>
    <n v="0"/>
    <n v="4"/>
    <n v="1339"/>
    <s v="OK"/>
    <n v="2596963.7200000002"/>
    <n v="0"/>
    <m/>
    <s v="Never Sold"/>
    <s v="OK BUT BE CHECKING"/>
    <s v="ACTIVE"/>
    <n v="0"/>
  </r>
  <r>
    <s v="ITEM413-A"/>
    <x v="4"/>
    <x v="3"/>
    <x v="2"/>
    <s v="1739.15"/>
    <s v="2802.56"/>
    <x v="2"/>
    <n v="1320"/>
    <n v="0"/>
    <n v="0"/>
    <n v="1320"/>
    <s v="OK"/>
    <n v="2295678"/>
    <n v="0"/>
    <m/>
    <s v="Never Sold"/>
    <s v="OK BUT BE CHECKING"/>
    <s v="ACTIVE"/>
    <n v="0"/>
  </r>
  <r>
    <s v="ITEM414-A"/>
    <x v="39"/>
    <x v="9"/>
    <x v="1"/>
    <s v="695.01"/>
    <s v="1343.15"/>
    <x v="82"/>
    <n v="405"/>
    <n v="0"/>
    <n v="15"/>
    <n v="420"/>
    <s v="OK"/>
    <n v="291904.2"/>
    <n v="0"/>
    <m/>
    <s v="Never Sold"/>
    <s v="OK BUT BE CHECKING"/>
    <s v="ACTIVE"/>
    <n v="0"/>
  </r>
  <r>
    <s v="ITEM415-A"/>
    <x v="6"/>
    <x v="1"/>
    <x v="1"/>
    <s v="402.13"/>
    <s v="513.96"/>
    <x v="18"/>
    <n v="705"/>
    <n v="162"/>
    <n v="9"/>
    <n v="552"/>
    <s v="OK"/>
    <n v="221975.76"/>
    <n v="83261.52"/>
    <d v="2025-12-17T00:00:00"/>
    <n v="42"/>
    <s v="OK BUT BE CHECKING"/>
    <s v="ACTIVE"/>
    <n v="0"/>
  </r>
  <r>
    <s v="ITEM416-A"/>
    <x v="45"/>
    <x v="9"/>
    <x v="2"/>
    <s v="362.38"/>
    <s v="423.61"/>
    <x v="78"/>
    <n v="870"/>
    <n v="12"/>
    <n v="0"/>
    <n v="858"/>
    <s v="OK"/>
    <n v="310922.03999999998"/>
    <n v="5083.32"/>
    <d v="2025-10-18T00:00:00"/>
    <n v="102"/>
    <s v="OK BUT BE CHECKING"/>
    <s v="ACTIVE"/>
    <n v="0"/>
  </r>
  <r>
    <s v="ITEM417-A"/>
    <x v="24"/>
    <x v="3"/>
    <x v="0"/>
    <s v="1978.9"/>
    <s v="2284.0"/>
    <x v="18"/>
    <n v="705"/>
    <n v="0"/>
    <n v="5"/>
    <n v="710"/>
    <s v="OK"/>
    <n v="1405019"/>
    <n v="0"/>
    <m/>
    <s v="Never Sold"/>
    <s v="OK BUT BE CHECKING"/>
    <s v="ACTIVE"/>
    <n v="0"/>
  </r>
  <r>
    <s v="ITEM418-A"/>
    <x v="38"/>
    <x v="7"/>
    <x v="9"/>
    <s v="941.59"/>
    <s v="1691.22"/>
    <x v="23"/>
    <n v="240"/>
    <n v="0"/>
    <n v="18"/>
    <n v="258"/>
    <s v="OK"/>
    <n v="242930.22"/>
    <n v="0"/>
    <m/>
    <s v="Never Sold"/>
    <s v="OK BUT BE CHECKING"/>
    <s v="ACTIVE"/>
    <n v="0"/>
  </r>
  <r>
    <s v="ITEM419-A"/>
    <x v="9"/>
    <x v="6"/>
    <x v="10"/>
    <s v="1202.61"/>
    <s v="2386.6"/>
    <x v="4"/>
    <n v="1215"/>
    <n v="0"/>
    <n v="0"/>
    <n v="1215"/>
    <s v="OK"/>
    <n v="1461171.15"/>
    <n v="0"/>
    <m/>
    <s v="Never Sold"/>
    <s v="OK BUT BE CHECKING"/>
    <s v="ACTIVE"/>
    <n v="0"/>
  </r>
  <r>
    <s v="ITEM420-A"/>
    <x v="4"/>
    <x v="3"/>
    <x v="9"/>
    <s v="672.61"/>
    <s v="975.21"/>
    <x v="60"/>
    <n v="285"/>
    <n v="0"/>
    <n v="0"/>
    <n v="285"/>
    <s v="OK"/>
    <n v="191693.85"/>
    <n v="0"/>
    <m/>
    <s v="Never Sold"/>
    <s v="OK BUT BE CHECKING"/>
    <s v="ACTIVE"/>
    <n v="0"/>
  </r>
  <r>
    <s v="ITEM421-A"/>
    <x v="1"/>
    <x v="1"/>
    <x v="5"/>
    <s v="93.98"/>
    <s v="152.32"/>
    <x v="60"/>
    <n v="285"/>
    <n v="0"/>
    <n v="9"/>
    <n v="294"/>
    <s v="OK"/>
    <n v="27630.120000000003"/>
    <n v="0"/>
    <m/>
    <s v="Never Sold"/>
    <s v="OK BUT BE CHECKING"/>
    <s v="ACTIVE"/>
    <n v="0"/>
  </r>
  <r>
    <s v="ITEM422-A"/>
    <x v="6"/>
    <x v="1"/>
    <x v="0"/>
    <s v="658.49"/>
    <s v="862.33"/>
    <x v="40"/>
    <n v="840"/>
    <n v="3"/>
    <n v="0"/>
    <n v="837"/>
    <s v="OK"/>
    <n v="551156.13"/>
    <n v="2586.9900000000002"/>
    <d v="2025-06-13T00:00:00"/>
    <n v="229"/>
    <s v="OK BUT BE CHECKING"/>
    <s v="ACTIVE"/>
    <n v="0"/>
  </r>
  <r>
    <s v="ITEM423-A"/>
    <x v="27"/>
    <x v="8"/>
    <x v="0"/>
    <s v="1493.78"/>
    <s v="1703.88"/>
    <x v="21"/>
    <n v="420"/>
    <n v="0"/>
    <n v="1"/>
    <n v="421"/>
    <s v="OK"/>
    <n v="628881.38"/>
    <n v="0"/>
    <m/>
    <s v="Never Sold"/>
    <s v="OK BUT BE CHECKING"/>
    <s v="ACTIVE"/>
    <n v="0"/>
  </r>
  <r>
    <s v="ITEM424-A"/>
    <x v="21"/>
    <x v="6"/>
    <x v="3"/>
    <s v="1786.2"/>
    <s v="3317.57"/>
    <x v="13"/>
    <n v="450"/>
    <n v="0"/>
    <n v="3"/>
    <n v="453"/>
    <s v="OK"/>
    <n v="809148.6"/>
    <n v="0"/>
    <m/>
    <s v="Never Sold"/>
    <s v="OK BUT BE CHECKING"/>
    <s v="ACTIVE"/>
    <n v="0"/>
  </r>
  <r>
    <s v="ITEM425-A"/>
    <x v="4"/>
    <x v="3"/>
    <x v="8"/>
    <s v="754.71"/>
    <s v="1392.84"/>
    <x v="51"/>
    <n v="765"/>
    <n v="13"/>
    <n v="10"/>
    <n v="762"/>
    <s v="OK"/>
    <n v="575089.02"/>
    <n v="18106.919999999998"/>
    <d v="2025-09-27T00:00:00"/>
    <n v="123"/>
    <s v="OK BUT BE CHECKING"/>
    <s v="ACTIVE"/>
    <n v="0"/>
  </r>
  <r>
    <s v="ITEM426-A"/>
    <x v="1"/>
    <x v="1"/>
    <x v="6"/>
    <s v="1050.14"/>
    <s v="1714.51"/>
    <x v="74"/>
    <n v="1020"/>
    <n v="0"/>
    <n v="12"/>
    <n v="1032"/>
    <s v="OK"/>
    <n v="1083744.4800000002"/>
    <n v="0"/>
    <m/>
    <s v="Never Sold"/>
    <s v="OK BUT BE CHECKING"/>
    <s v="ACTIVE"/>
    <n v="0"/>
  </r>
  <r>
    <s v="ITEM427-A"/>
    <x v="46"/>
    <x v="7"/>
    <x v="11"/>
    <s v="1219.17"/>
    <s v="1812.01"/>
    <x v="62"/>
    <n v="510"/>
    <n v="0"/>
    <n v="0"/>
    <n v="510"/>
    <s v="OK"/>
    <n v="621776.70000000007"/>
    <n v="0"/>
    <m/>
    <s v="Never Sold"/>
    <s v="OK BUT BE CHECKING"/>
    <s v="ACTIVE"/>
    <n v="0"/>
  </r>
  <r>
    <s v="ITEM428-A"/>
    <x v="22"/>
    <x v="3"/>
    <x v="9"/>
    <s v="1537.24"/>
    <s v="1895.28"/>
    <x v="22"/>
    <n v="495"/>
    <n v="0"/>
    <n v="3"/>
    <n v="498"/>
    <s v="OK"/>
    <n v="765545.52"/>
    <n v="0"/>
    <m/>
    <s v="Never Sold"/>
    <s v="OK BUT BE CHECKING"/>
    <s v="ACTIVE"/>
    <n v="0"/>
  </r>
  <r>
    <s v="ITEM429-A"/>
    <x v="32"/>
    <x v="3"/>
    <x v="4"/>
    <s v="923.14"/>
    <s v="1814.89"/>
    <x v="86"/>
    <n v="1335"/>
    <n v="6"/>
    <n v="0"/>
    <n v="1329"/>
    <s v="OK"/>
    <n v="1226853.06"/>
    <n v="10889.34"/>
    <d v="2024-10-15T00:00:00"/>
    <n v="470"/>
    <s v="OK BUT BE CHECKING"/>
    <s v="ACTIVE"/>
    <n v="0"/>
  </r>
  <r>
    <s v="ITEM430-A"/>
    <x v="6"/>
    <x v="1"/>
    <x v="11"/>
    <s v="379.99"/>
    <s v="729.75"/>
    <x v="70"/>
    <n v="435"/>
    <n v="0"/>
    <n v="6"/>
    <n v="441"/>
    <s v="OK"/>
    <n v="167575.59"/>
    <n v="0"/>
    <m/>
    <s v="Never Sold"/>
    <s v="OK BUT BE CHECKING"/>
    <s v="ACTIVE"/>
    <n v="0"/>
  </r>
  <r>
    <s v="ITEM431-A"/>
    <x v="6"/>
    <x v="1"/>
    <x v="7"/>
    <s v="720.33"/>
    <s v="905.76"/>
    <x v="77"/>
    <n v="615"/>
    <n v="0"/>
    <n v="4"/>
    <n v="619"/>
    <s v="OK"/>
    <n v="445884.27"/>
    <n v="0"/>
    <m/>
    <s v="Never Sold"/>
    <s v="OK BUT BE CHECKING"/>
    <s v="ACTIVE"/>
    <n v="0"/>
  </r>
  <r>
    <s v="ITEM432-A"/>
    <x v="66"/>
    <x v="2"/>
    <x v="6"/>
    <s v="1312.99"/>
    <s v="1451.33"/>
    <x v="20"/>
    <n v="750"/>
    <n v="11"/>
    <n v="6"/>
    <n v="745"/>
    <s v="OK"/>
    <n v="978177.55"/>
    <n v="15964.63"/>
    <d v="2025-08-05T00:00:00"/>
    <n v="176"/>
    <s v="OK BUT BE CHECKING"/>
    <s v="ACTIVE"/>
    <n v="0"/>
  </r>
  <r>
    <s v="ITEM433-A"/>
    <x v="60"/>
    <x v="2"/>
    <x v="11"/>
    <s v="581.54"/>
    <s v="878.52"/>
    <x v="55"/>
    <n v="375"/>
    <n v="0"/>
    <n v="0"/>
    <n v="375"/>
    <s v="OK"/>
    <n v="218077.5"/>
    <n v="0"/>
    <m/>
    <s v="Never Sold"/>
    <s v="OK BUT BE CHECKING"/>
    <s v="ACTIVE"/>
    <n v="0"/>
  </r>
  <r>
    <s v="ITEM434-A"/>
    <x v="13"/>
    <x v="0"/>
    <x v="4"/>
    <s v="363.35"/>
    <s v="703.74"/>
    <x v="63"/>
    <n v="1365"/>
    <n v="0"/>
    <n v="39"/>
    <n v="1404"/>
    <s v="OK"/>
    <n v="510143.4"/>
    <n v="0"/>
    <m/>
    <s v="Never Sold"/>
    <s v="OK BUT BE CHECKING"/>
    <s v="ACTIVE"/>
    <n v="0"/>
  </r>
  <r>
    <s v="ITEM435-A"/>
    <x v="45"/>
    <x v="9"/>
    <x v="4"/>
    <s v="542.86"/>
    <s v="1018.45"/>
    <x v="55"/>
    <n v="375"/>
    <n v="0"/>
    <n v="14"/>
    <n v="389"/>
    <s v="OK"/>
    <n v="211172.54"/>
    <n v="0"/>
    <m/>
    <s v="Never Sold"/>
    <s v="OK BUT BE CHECKING"/>
    <s v="ACTIVE"/>
    <n v="0"/>
  </r>
  <r>
    <s v="ITEM436-A"/>
    <x v="39"/>
    <x v="9"/>
    <x v="1"/>
    <s v="1640.74"/>
    <s v="2140.1"/>
    <x v="47"/>
    <n v="1440"/>
    <n v="141"/>
    <n v="0"/>
    <n v="1299"/>
    <s v="OK"/>
    <n v="2131321.2600000002"/>
    <n v="301754.09999999998"/>
    <d v="2024-12-07T00:00:00"/>
    <n v="417"/>
    <s v="OK BUT BE CHECKING"/>
    <s v="ACTIVE"/>
    <n v="0"/>
  </r>
  <r>
    <s v="ITEM437-A"/>
    <x v="15"/>
    <x v="5"/>
    <x v="6"/>
    <s v="1524.06"/>
    <s v="2042.84"/>
    <x v="2"/>
    <n v="1320"/>
    <n v="0"/>
    <n v="2"/>
    <n v="1322"/>
    <s v="OK"/>
    <n v="2014807.3199999998"/>
    <n v="0"/>
    <m/>
    <s v="Never Sold"/>
    <s v="OK BUT BE CHECKING"/>
    <s v="ACTIVE"/>
    <n v="0"/>
  </r>
  <r>
    <s v="ITEM438-A"/>
    <x v="32"/>
    <x v="3"/>
    <x v="1"/>
    <s v="1229.0"/>
    <s v="2344.92"/>
    <x v="23"/>
    <n v="240"/>
    <n v="0"/>
    <n v="6"/>
    <n v="246"/>
    <s v="OK"/>
    <n v="302334"/>
    <n v="0"/>
    <m/>
    <s v="Never Sold"/>
    <s v="OK BUT BE CHECKING"/>
    <s v="ACTIVE"/>
    <n v="0"/>
  </r>
  <r>
    <s v="ITEM439-A"/>
    <x v="26"/>
    <x v="9"/>
    <x v="4"/>
    <s v="876.83"/>
    <s v="1105.21"/>
    <x v="49"/>
    <n v="1350"/>
    <n v="0"/>
    <n v="2"/>
    <n v="1352"/>
    <s v="OK"/>
    <n v="1185474.1600000001"/>
    <n v="0"/>
    <m/>
    <s v="Never Sold"/>
    <s v="OK BUT BE CHECKING"/>
    <s v="ACTIVE"/>
    <n v="0"/>
  </r>
  <r>
    <s v="ITEM440-A"/>
    <x v="50"/>
    <x v="4"/>
    <x v="0"/>
    <s v="1698.99"/>
    <s v="3023.1"/>
    <x v="0"/>
    <n v="540"/>
    <n v="0"/>
    <n v="9"/>
    <n v="549"/>
    <s v="OK"/>
    <n v="932745.51"/>
    <n v="0"/>
    <m/>
    <s v="Never Sold"/>
    <s v="OK BUT BE CHECKING"/>
    <s v="ACTIVE"/>
    <n v="0"/>
  </r>
  <r>
    <s v="ITEM441-A"/>
    <x v="1"/>
    <x v="1"/>
    <x v="7"/>
    <s v="1910.38"/>
    <s v="3350.42"/>
    <x v="40"/>
    <n v="840"/>
    <n v="0"/>
    <n v="17"/>
    <n v="857"/>
    <s v="OK"/>
    <n v="1637195.6600000001"/>
    <n v="0"/>
    <m/>
    <s v="Never Sold"/>
    <s v="OK BUT BE CHECKING"/>
    <s v="ACTIVE"/>
    <n v="0"/>
  </r>
  <r>
    <s v="ITEM442-A"/>
    <x v="26"/>
    <x v="9"/>
    <x v="6"/>
    <s v="1420.61"/>
    <s v="1626.44"/>
    <x v="81"/>
    <n v="1485"/>
    <n v="0"/>
    <n v="0"/>
    <n v="1485"/>
    <s v="OK"/>
    <n v="2109605.8499999996"/>
    <n v="0"/>
    <m/>
    <s v="Never Sold"/>
    <s v="OK BUT BE CHECKING"/>
    <s v="ACTIVE"/>
    <n v="0"/>
  </r>
  <r>
    <s v="ITEM443-A"/>
    <x v="7"/>
    <x v="5"/>
    <x v="3"/>
    <s v="1983.66"/>
    <s v="2582.74"/>
    <x v="23"/>
    <n v="240"/>
    <n v="0"/>
    <n v="0"/>
    <n v="240"/>
    <s v="OK"/>
    <n v="476078.4"/>
    <n v="0"/>
    <m/>
    <s v="Never Sold"/>
    <s v="OK BUT BE CHECKING"/>
    <s v="ACTIVE"/>
    <n v="0"/>
  </r>
  <r>
    <s v="ITEM444-A"/>
    <x v="24"/>
    <x v="3"/>
    <x v="3"/>
    <s v="911.28"/>
    <s v="1486.67"/>
    <x v="10"/>
    <n v="960"/>
    <n v="0"/>
    <n v="0"/>
    <n v="960"/>
    <s v="OK"/>
    <n v="874828.79999999993"/>
    <n v="0"/>
    <m/>
    <s v="Never Sold"/>
    <s v="OK BUT BE CHECKING"/>
    <s v="ACTIVE"/>
    <n v="0"/>
  </r>
  <r>
    <s v="ITEM445-A"/>
    <x v="67"/>
    <x v="2"/>
    <x v="8"/>
    <s v="493.63"/>
    <s v="777.06"/>
    <x v="30"/>
    <n v="1230"/>
    <n v="0"/>
    <n v="0"/>
    <n v="1230"/>
    <s v="OK"/>
    <n v="607164.9"/>
    <n v="0"/>
    <m/>
    <s v="Never Sold"/>
    <s v="OK BUT BE CHECKING"/>
    <s v="ACTIVE"/>
    <n v="0"/>
  </r>
  <r>
    <s v="ITEM446-A"/>
    <x v="43"/>
    <x v="4"/>
    <x v="6"/>
    <s v="82.84"/>
    <s v="125.43"/>
    <x v="58"/>
    <n v="1110"/>
    <n v="5"/>
    <n v="0"/>
    <n v="1105"/>
    <s v="OK"/>
    <n v="91538.2"/>
    <n v="627.15000000000009"/>
    <d v="2025-10-24T00:00:00"/>
    <n v="96"/>
    <s v="OK BUT BE CHECKING"/>
    <s v="ACTIVE"/>
    <n v="0"/>
  </r>
  <r>
    <s v="ITEM447-A"/>
    <x v="41"/>
    <x v="9"/>
    <x v="4"/>
    <s v="1356.4"/>
    <s v="2565.86"/>
    <x v="16"/>
    <n v="210"/>
    <n v="10"/>
    <n v="8"/>
    <n v="208"/>
    <s v="OK"/>
    <n v="282131.20000000001"/>
    <n v="25658.600000000002"/>
    <d v="2024-11-28T00:00:00"/>
    <n v="426"/>
    <s v="OK BUT BE CHECKING"/>
    <s v="ACTIVE"/>
    <n v="0"/>
  </r>
  <r>
    <s v="ITEM448-A"/>
    <x v="68"/>
    <x v="2"/>
    <x v="9"/>
    <s v="1137.15"/>
    <s v="1285.15"/>
    <x v="84"/>
    <n v="1305"/>
    <n v="0"/>
    <n v="15"/>
    <n v="1320"/>
    <s v="OK"/>
    <n v="1501038.0000000002"/>
    <n v="0"/>
    <m/>
    <s v="Never Sold"/>
    <s v="OK BUT BE CHECKING"/>
    <s v="ACTIVE"/>
    <n v="0"/>
  </r>
  <r>
    <s v="ITEM449-A"/>
    <x v="7"/>
    <x v="5"/>
    <x v="6"/>
    <s v="784.98"/>
    <s v="1205.31"/>
    <x v="34"/>
    <n v="1140"/>
    <n v="0"/>
    <n v="12"/>
    <n v="1152"/>
    <s v="OK"/>
    <n v="904296.95999999996"/>
    <n v="0"/>
    <m/>
    <s v="Never Sold"/>
    <s v="OK BUT BE CHECKING"/>
    <s v="ACTIVE"/>
    <n v="0"/>
  </r>
  <r>
    <s v="ITEM450-A"/>
    <x v="6"/>
    <x v="1"/>
    <x v="10"/>
    <s v="1230.7"/>
    <s v="1818.68"/>
    <x v="23"/>
    <n v="240"/>
    <n v="0"/>
    <n v="6"/>
    <n v="246"/>
    <s v="OK"/>
    <n v="302752.2"/>
    <n v="0"/>
    <m/>
    <s v="Never Sold"/>
    <s v="OK BUT BE CHECKING"/>
    <s v="ACTIVE"/>
    <n v="0"/>
  </r>
  <r>
    <s v="ITEM451-A"/>
    <x v="50"/>
    <x v="4"/>
    <x v="4"/>
    <s v="466.18"/>
    <s v="554.17"/>
    <x v="38"/>
    <n v="990"/>
    <n v="0"/>
    <n v="15"/>
    <n v="1005"/>
    <s v="OK"/>
    <n v="468510.9"/>
    <n v="0"/>
    <m/>
    <s v="Never Sold"/>
    <s v="OK BUT BE CHECKING"/>
    <s v="ACTIVE"/>
    <n v="0"/>
  </r>
  <r>
    <s v="ITEM452-A"/>
    <x v="58"/>
    <x v="7"/>
    <x v="10"/>
    <s v="1551.49"/>
    <s v="2791.95"/>
    <x v="79"/>
    <n v="930"/>
    <n v="9"/>
    <n v="8"/>
    <n v="929"/>
    <s v="OK"/>
    <n v="1441334.21"/>
    <n v="25127.55"/>
    <d v="2024-10-20T00:00:00"/>
    <n v="465"/>
    <s v="OK BUT BE CHECKING"/>
    <s v="ACTIVE"/>
    <n v="0"/>
  </r>
  <r>
    <s v="ITEM453-A"/>
    <x v="9"/>
    <x v="6"/>
    <x v="5"/>
    <s v="972.21"/>
    <s v="1269.68"/>
    <x v="17"/>
    <n v="675"/>
    <n v="0"/>
    <n v="16"/>
    <n v="691"/>
    <s v="OK"/>
    <n v="671797.11"/>
    <n v="0"/>
    <m/>
    <s v="Never Sold"/>
    <s v="OK BUT BE CHECKING"/>
    <s v="ACTIVE"/>
    <n v="0"/>
  </r>
  <r>
    <s v="ITEM454-A"/>
    <x v="12"/>
    <x v="4"/>
    <x v="1"/>
    <s v="1565.54"/>
    <s v="2584.21"/>
    <x v="45"/>
    <n v="1470"/>
    <n v="0"/>
    <n v="11"/>
    <n v="1481"/>
    <s v="OK"/>
    <n v="2318564.7399999998"/>
    <n v="0"/>
    <m/>
    <s v="Never Sold"/>
    <s v="OK BUT BE CHECKING"/>
    <s v="ACTIVE"/>
    <n v="0"/>
  </r>
  <r>
    <s v="ITEM455-A"/>
    <x v="0"/>
    <x v="0"/>
    <x v="7"/>
    <s v="1256.42"/>
    <s v="2154.37"/>
    <x v="38"/>
    <n v="990"/>
    <n v="0"/>
    <n v="5"/>
    <n v="995"/>
    <s v="OK"/>
    <n v="1250137.9000000001"/>
    <n v="0"/>
    <m/>
    <s v="Never Sold"/>
    <s v="OK BUT BE CHECKING"/>
    <s v="ACTIVE"/>
    <n v="0"/>
  </r>
  <r>
    <s v="ITEM456-A"/>
    <x v="9"/>
    <x v="6"/>
    <x v="8"/>
    <s v="1688.23"/>
    <s v="1989.19"/>
    <x v="40"/>
    <n v="840"/>
    <n v="0"/>
    <n v="0"/>
    <n v="840"/>
    <s v="OK"/>
    <n v="1418113.2"/>
    <n v="0"/>
    <m/>
    <s v="Never Sold"/>
    <s v="OK BUT BE CHECKING"/>
    <s v="ACTIVE"/>
    <n v="0"/>
  </r>
  <r>
    <s v="ITEM457-A"/>
    <x v="42"/>
    <x v="6"/>
    <x v="2"/>
    <s v="1697.74"/>
    <s v="2726.71"/>
    <x v="60"/>
    <n v="285"/>
    <n v="0"/>
    <n v="15"/>
    <n v="300"/>
    <s v="OK"/>
    <n v="509322"/>
    <n v="0"/>
    <m/>
    <s v="Never Sold"/>
    <s v="OK BUT BE CHECKING"/>
    <s v="ACTIVE"/>
    <n v="0"/>
  </r>
  <r>
    <s v="ITEM458-A"/>
    <x v="39"/>
    <x v="9"/>
    <x v="2"/>
    <s v="566.55"/>
    <s v="1070.0"/>
    <x v="0"/>
    <n v="540"/>
    <n v="0"/>
    <n v="0"/>
    <n v="540"/>
    <s v="OK"/>
    <n v="305937"/>
    <n v="0"/>
    <m/>
    <s v="Never Sold"/>
    <s v="OK BUT BE CHECKING"/>
    <s v="ACTIVE"/>
    <n v="0"/>
  </r>
  <r>
    <s v="ITEM459-A"/>
    <x v="39"/>
    <x v="9"/>
    <x v="0"/>
    <s v="11.87"/>
    <s v="15.03"/>
    <x v="33"/>
    <n v="1065"/>
    <n v="0"/>
    <n v="0"/>
    <n v="1065"/>
    <s v="OK"/>
    <n v="12641.55"/>
    <n v="0"/>
    <m/>
    <s v="Never Sold"/>
    <s v="OK BUT BE CHECKING"/>
    <s v="ACTIVE"/>
    <n v="0"/>
  </r>
  <r>
    <s v="ITEM460-A"/>
    <x v="16"/>
    <x v="6"/>
    <x v="9"/>
    <s v="365.96"/>
    <s v="691.39"/>
    <x v="9"/>
    <n v="1185"/>
    <n v="0"/>
    <n v="11"/>
    <n v="1196"/>
    <s v="OK"/>
    <n v="437688.16"/>
    <n v="0"/>
    <m/>
    <s v="Never Sold"/>
    <s v="OK BUT BE CHECKING"/>
    <s v="ACTIVE"/>
    <n v="0"/>
  </r>
  <r>
    <s v="ITEM461-A"/>
    <x v="27"/>
    <x v="8"/>
    <x v="4"/>
    <s v="1347.7"/>
    <s v="2417.15"/>
    <x v="22"/>
    <n v="495"/>
    <n v="0"/>
    <n v="0"/>
    <n v="495"/>
    <s v="OK"/>
    <n v="667111.5"/>
    <n v="0"/>
    <m/>
    <s v="Never Sold"/>
    <s v="OK BUT BE CHECKING"/>
    <s v="ACTIVE"/>
    <n v="0"/>
  </r>
  <r>
    <s v="ITEM462-A"/>
    <x v="33"/>
    <x v="7"/>
    <x v="6"/>
    <s v="1252.68"/>
    <s v="1809.11"/>
    <x v="1"/>
    <n v="720"/>
    <n v="0"/>
    <n v="25"/>
    <n v="745"/>
    <s v="OK"/>
    <n v="933246.60000000009"/>
    <n v="0"/>
    <m/>
    <s v="Never Sold"/>
    <s v="OK BUT BE CHECKING"/>
    <s v="ACTIVE"/>
    <n v="0"/>
  </r>
  <r>
    <s v="ITEM463-A"/>
    <x v="5"/>
    <x v="4"/>
    <x v="6"/>
    <s v="1575.83"/>
    <s v="3050.51"/>
    <x v="32"/>
    <n v="1275"/>
    <n v="170"/>
    <n v="7"/>
    <n v="1112"/>
    <s v="OK"/>
    <n v="1752322.96"/>
    <n v="518586.7"/>
    <d v="2025-12-19T00:00:00"/>
    <n v="40"/>
    <s v="OK BUT BE CHECKING"/>
    <s v="ACTIVE"/>
    <n v="0"/>
  </r>
  <r>
    <s v="ITEM464-A"/>
    <x v="6"/>
    <x v="1"/>
    <x v="1"/>
    <s v="1706.24"/>
    <s v="2020.34"/>
    <x v="55"/>
    <n v="375"/>
    <n v="0"/>
    <n v="0"/>
    <n v="375"/>
    <s v="OK"/>
    <n v="639840"/>
    <n v="0"/>
    <m/>
    <s v="Never Sold"/>
    <s v="OK BUT BE CHECKING"/>
    <s v="ACTIVE"/>
    <n v="0"/>
  </r>
  <r>
    <s v="ITEM465-A"/>
    <x v="0"/>
    <x v="0"/>
    <x v="5"/>
    <s v="474.18"/>
    <s v="728.35"/>
    <x v="11"/>
    <n v="585"/>
    <n v="11"/>
    <n v="3"/>
    <n v="577"/>
    <s v="OK"/>
    <n v="273601.86"/>
    <n v="8011.85"/>
    <d v="2025-08-16T00:00:00"/>
    <n v="165"/>
    <s v="OK BUT BE CHECKING"/>
    <s v="ACTIVE"/>
    <n v="0"/>
  </r>
  <r>
    <s v="ITEM466-A"/>
    <x v="4"/>
    <x v="3"/>
    <x v="1"/>
    <s v="1709.71"/>
    <s v="3230.05"/>
    <x v="50"/>
    <n v="855"/>
    <n v="2"/>
    <n v="7"/>
    <n v="860"/>
    <s v="OK"/>
    <n v="1470350.6"/>
    <n v="6460.1"/>
    <d v="2024-08-13T00:00:00"/>
    <n v="533"/>
    <s v="OK BUT BE CHECKING"/>
    <s v="ACTIVE"/>
    <n v="0"/>
  </r>
  <r>
    <s v="ITEM467-A"/>
    <x v="1"/>
    <x v="1"/>
    <x v="5"/>
    <s v="558.47"/>
    <s v="684.6"/>
    <x v="64"/>
    <n v="180"/>
    <n v="0"/>
    <n v="0"/>
    <n v="180"/>
    <s v="OK"/>
    <n v="100524.6"/>
    <n v="0"/>
    <m/>
    <s v="Never Sold"/>
    <s v="OK BUT BE CHECKING"/>
    <s v="ACTIVE"/>
    <n v="0"/>
  </r>
  <r>
    <s v="ITEM468-A"/>
    <x v="10"/>
    <x v="5"/>
    <x v="3"/>
    <s v="343.56"/>
    <s v="442.43"/>
    <x v="61"/>
    <n v="330"/>
    <n v="0"/>
    <n v="2"/>
    <n v="332"/>
    <s v="OK"/>
    <n v="114061.92"/>
    <n v="0"/>
    <m/>
    <s v="Never Sold"/>
    <s v="OK BUT BE CHECKING"/>
    <s v="ACTIVE"/>
    <n v="0"/>
  </r>
  <r>
    <s v="ITEM469-A"/>
    <x v="22"/>
    <x v="3"/>
    <x v="8"/>
    <s v="635.83"/>
    <s v="882.62"/>
    <x v="33"/>
    <n v="1065"/>
    <n v="0"/>
    <n v="2"/>
    <n v="1067"/>
    <s v="OK"/>
    <n v="678430.61"/>
    <n v="0"/>
    <m/>
    <s v="Never Sold"/>
    <s v="OK BUT BE CHECKING"/>
    <s v="ACTIVE"/>
    <n v="0"/>
  </r>
  <r>
    <s v="ITEM470-A"/>
    <x v="26"/>
    <x v="9"/>
    <x v="5"/>
    <s v="1011.53"/>
    <s v="1523.11"/>
    <x v="83"/>
    <n v="900"/>
    <n v="0"/>
    <n v="2"/>
    <n v="902"/>
    <s v="OK"/>
    <n v="912400.05999999994"/>
    <n v="0"/>
    <m/>
    <s v="Never Sold"/>
    <s v="OK BUT BE CHECKING"/>
    <s v="ACTIVE"/>
    <n v="0"/>
  </r>
  <r>
    <s v="ITEM471-A"/>
    <x v="10"/>
    <x v="5"/>
    <x v="3"/>
    <s v="1985.99"/>
    <s v="3578.83"/>
    <x v="29"/>
    <n v="1155"/>
    <n v="4"/>
    <n v="18"/>
    <n v="1169"/>
    <s v="OK"/>
    <n v="2321622.31"/>
    <n v="14315.32"/>
    <d v="2024-09-19T00:00:00"/>
    <n v="496"/>
    <s v="OK BUT BE CHECKING"/>
    <s v="ACTIVE"/>
    <n v="0"/>
  </r>
  <r>
    <s v="ITEM472-A"/>
    <x v="8"/>
    <x v="5"/>
    <x v="2"/>
    <s v="246.65"/>
    <s v="444.69"/>
    <x v="76"/>
    <n v="915"/>
    <n v="16"/>
    <n v="12"/>
    <n v="911"/>
    <s v="OK"/>
    <n v="224698.15"/>
    <n v="7115.04"/>
    <d v="2024-12-20T00:00:00"/>
    <n v="404"/>
    <s v="OK BUT BE CHECKING"/>
    <s v="ACTIVE"/>
    <n v="0"/>
  </r>
  <r>
    <s v="ITEM473-A"/>
    <x v="41"/>
    <x v="9"/>
    <x v="1"/>
    <s v="1679.31"/>
    <s v="2729.35"/>
    <x v="34"/>
    <n v="1140"/>
    <n v="14"/>
    <n v="18"/>
    <n v="1144"/>
    <s v="OK"/>
    <n v="1921130.64"/>
    <n v="38210.9"/>
    <d v="2025-05-20T00:00:00"/>
    <n v="253"/>
    <s v="OK BUT BE CHECKING"/>
    <s v="ACTIVE"/>
    <n v="0"/>
  </r>
  <r>
    <s v="ITEM474-A"/>
    <x v="22"/>
    <x v="3"/>
    <x v="0"/>
    <s v="546.43"/>
    <s v="1075.88"/>
    <x v="56"/>
    <n v="1500"/>
    <n v="192"/>
    <n v="4"/>
    <n v="1312"/>
    <s v="OK"/>
    <n v="716916.15999999992"/>
    <n v="206568.96000000002"/>
    <d v="2024-12-18T00:00:00"/>
    <n v="406"/>
    <s v="OK BUT BE CHECKING"/>
    <s v="ACTIVE"/>
    <n v="0"/>
  </r>
  <r>
    <s v="ITEM475-A"/>
    <x v="1"/>
    <x v="1"/>
    <x v="9"/>
    <s v="793.09"/>
    <s v="1098.73"/>
    <x v="19"/>
    <n v="885"/>
    <n v="0"/>
    <n v="0"/>
    <n v="885"/>
    <s v="OK"/>
    <n v="701884.65"/>
    <n v="0"/>
    <m/>
    <s v="Never Sold"/>
    <s v="OK BUT BE CHECKING"/>
    <s v="ACTIVE"/>
    <n v="0"/>
  </r>
  <r>
    <s v="ITEM476-A"/>
    <x v="1"/>
    <x v="1"/>
    <x v="8"/>
    <s v="1767.68"/>
    <s v="2131.8"/>
    <x v="75"/>
    <n v="1290"/>
    <n v="0"/>
    <n v="30"/>
    <n v="1320"/>
    <s v="OK"/>
    <n v="2333337.6000000001"/>
    <n v="0"/>
    <m/>
    <s v="Never Sold"/>
    <s v="OK BUT BE CHECKING"/>
    <s v="ACTIVE"/>
    <n v="0"/>
  </r>
  <r>
    <s v="ITEM477-A"/>
    <x v="16"/>
    <x v="6"/>
    <x v="8"/>
    <s v="1417.4"/>
    <s v="1724.81"/>
    <x v="11"/>
    <n v="585"/>
    <n v="0"/>
    <n v="24"/>
    <n v="609"/>
    <s v="OK"/>
    <n v="863196.60000000009"/>
    <n v="0"/>
    <m/>
    <s v="Never Sold"/>
    <s v="OK BUT BE CHECKING"/>
    <s v="ACTIVE"/>
    <n v="0"/>
  </r>
  <r>
    <s v="ITEM478-A"/>
    <x v="61"/>
    <x v="2"/>
    <x v="5"/>
    <s v="377.94"/>
    <s v="609.26"/>
    <x v="47"/>
    <n v="1440"/>
    <n v="17"/>
    <n v="4"/>
    <n v="1427"/>
    <s v="OK"/>
    <n v="539320.38"/>
    <n v="10357.42"/>
    <d v="2025-06-07T00:00:00"/>
    <n v="235"/>
    <s v="OK BUT BE CHECKING"/>
    <s v="ACTIVE"/>
    <n v="0"/>
  </r>
  <r>
    <s v="ITEM479-A"/>
    <x v="27"/>
    <x v="8"/>
    <x v="9"/>
    <s v="964.12"/>
    <s v="1471.46"/>
    <x v="12"/>
    <n v="1260"/>
    <n v="0"/>
    <n v="0"/>
    <n v="1260"/>
    <s v="OK"/>
    <n v="1214791.2"/>
    <n v="0"/>
    <m/>
    <s v="Never Sold"/>
    <s v="OK BUT BE CHECKING"/>
    <s v="ACTIVE"/>
    <n v="0"/>
  </r>
  <r>
    <s v="ITEM480-A"/>
    <x v="24"/>
    <x v="3"/>
    <x v="5"/>
    <s v="459.34"/>
    <s v="585.78"/>
    <x v="50"/>
    <n v="855"/>
    <n v="0"/>
    <n v="6"/>
    <n v="861"/>
    <s v="OK"/>
    <n v="395491.74"/>
    <n v="0"/>
    <m/>
    <s v="Never Sold"/>
    <s v="OK BUT BE CHECKING"/>
    <s v="ACTIVE"/>
    <n v="0"/>
  </r>
  <r>
    <s v="ITEM481-A"/>
    <x v="17"/>
    <x v="0"/>
    <x v="3"/>
    <s v="210.65"/>
    <s v="365.13"/>
    <x v="41"/>
    <n v="1050"/>
    <n v="0"/>
    <n v="21"/>
    <n v="1071"/>
    <s v="OK"/>
    <n v="225606.15"/>
    <n v="0"/>
    <m/>
    <s v="Never Sold"/>
    <s v="OK BUT BE CHECKING"/>
    <s v="ACTIVE"/>
    <n v="0"/>
  </r>
  <r>
    <s v="ITEM482-A"/>
    <x v="1"/>
    <x v="1"/>
    <x v="3"/>
    <s v="1837.58"/>
    <s v="2955.53"/>
    <x v="73"/>
    <n v="1170"/>
    <n v="0"/>
    <n v="3"/>
    <n v="1173"/>
    <s v="OK"/>
    <n v="2155481.34"/>
    <n v="0"/>
    <m/>
    <s v="Never Sold"/>
    <s v="OK BUT BE CHECKING"/>
    <s v="ACTIVE"/>
    <n v="0"/>
  </r>
  <r>
    <s v="ITEM483-A"/>
    <x v="41"/>
    <x v="9"/>
    <x v="10"/>
    <s v="385.64"/>
    <s v="700.07"/>
    <x v="72"/>
    <n v="270"/>
    <n v="0"/>
    <n v="1"/>
    <n v="271"/>
    <s v="OK"/>
    <n v="104508.44"/>
    <n v="0"/>
    <m/>
    <s v="Never Sold"/>
    <s v="OK BUT BE CHECKING"/>
    <s v="ACTIVE"/>
    <n v="0"/>
  </r>
  <r>
    <s v="ITEM484-A"/>
    <x v="39"/>
    <x v="9"/>
    <x v="1"/>
    <s v="467.78"/>
    <s v="568.47"/>
    <x v="29"/>
    <n v="1155"/>
    <n v="0"/>
    <n v="0"/>
    <n v="1155"/>
    <s v="OK"/>
    <n v="540285.9"/>
    <n v="0"/>
    <m/>
    <s v="Never Sold"/>
    <s v="OK BUT BE CHECKING"/>
    <s v="ACTIVE"/>
    <n v="0"/>
  </r>
  <r>
    <s v="ITEM485-A"/>
    <x v="25"/>
    <x v="8"/>
    <x v="5"/>
    <s v="1325.96"/>
    <s v="2485.23"/>
    <x v="57"/>
    <n v="390"/>
    <n v="169"/>
    <n v="23"/>
    <n v="244"/>
    <s v="OK"/>
    <n v="323534.24"/>
    <n v="420003.87"/>
    <d v="2025-12-10T00:00:00"/>
    <n v="49"/>
    <s v="OK BUT BE CHECKING"/>
    <s v="ACTIVE"/>
    <n v="0"/>
  </r>
  <r>
    <s v="ITEM486-A"/>
    <x v="17"/>
    <x v="0"/>
    <x v="7"/>
    <s v="1227.31"/>
    <s v="1815.33"/>
    <x v="0"/>
    <n v="540"/>
    <n v="0"/>
    <n v="1"/>
    <n v="541"/>
    <s v="OK"/>
    <n v="663974.71"/>
    <n v="0"/>
    <m/>
    <s v="Never Sold"/>
    <s v="OK BUT BE CHECKING"/>
    <s v="ACTIVE"/>
    <n v="0"/>
  </r>
  <r>
    <s v="ITEM487-A"/>
    <x v="50"/>
    <x v="4"/>
    <x v="0"/>
    <s v="1952.87"/>
    <s v="2290.97"/>
    <x v="21"/>
    <n v="420"/>
    <n v="5"/>
    <n v="5"/>
    <n v="420"/>
    <s v="OK"/>
    <n v="820205.39999999991"/>
    <n v="11454.849999999999"/>
    <d v="2024-10-01T00:00:00"/>
    <n v="484"/>
    <s v="OK BUT BE CHECKING"/>
    <s v="ACTIVE"/>
    <n v="0"/>
  </r>
  <r>
    <s v="ITEM488-A"/>
    <x v="3"/>
    <x v="0"/>
    <x v="0"/>
    <s v="1582.72"/>
    <s v="2484.51"/>
    <x v="17"/>
    <n v="675"/>
    <n v="0"/>
    <n v="0"/>
    <n v="675"/>
    <s v="OK"/>
    <n v="1068336"/>
    <n v="0"/>
    <m/>
    <s v="Never Sold"/>
    <s v="OK BUT BE CHECKING"/>
    <s v="ACTIVE"/>
    <n v="0"/>
  </r>
  <r>
    <s v="ITEM489-A"/>
    <x v="26"/>
    <x v="9"/>
    <x v="7"/>
    <s v="522.75"/>
    <s v="855.27"/>
    <x v="51"/>
    <n v="765"/>
    <n v="0"/>
    <n v="0"/>
    <n v="765"/>
    <s v="OK"/>
    <n v="399903.75"/>
    <n v="0"/>
    <m/>
    <s v="Never Sold"/>
    <s v="OK BUT BE CHECKING"/>
    <s v="ACTIVE"/>
    <n v="0"/>
  </r>
  <r>
    <s v="ITEM490-A"/>
    <x v="34"/>
    <x v="8"/>
    <x v="9"/>
    <s v="439.74"/>
    <s v="733.5"/>
    <x v="44"/>
    <n v="360"/>
    <n v="0"/>
    <n v="0"/>
    <n v="360"/>
    <s v="OK"/>
    <n v="158306.4"/>
    <n v="0"/>
    <m/>
    <s v="Never Sold"/>
    <s v="OK BUT BE CHECKING"/>
    <s v="ACTIVE"/>
    <n v="0"/>
  </r>
  <r>
    <s v="ITEM491-A"/>
    <x v="0"/>
    <x v="0"/>
    <x v="4"/>
    <s v="1695.7"/>
    <s v="2309.07"/>
    <x v="40"/>
    <n v="840"/>
    <n v="5"/>
    <n v="0"/>
    <n v="835"/>
    <s v="OK"/>
    <n v="1415909.5"/>
    <n v="11545.35"/>
    <d v="2024-09-23T00:00:00"/>
    <n v="492"/>
    <s v="OK BUT BE CHECKING"/>
    <s v="ACTIVE"/>
    <n v="0"/>
  </r>
  <r>
    <s v="ITEM492-A"/>
    <x v="6"/>
    <x v="1"/>
    <x v="7"/>
    <s v="1884.06"/>
    <s v="2202.75"/>
    <x v="55"/>
    <n v="375"/>
    <n v="0"/>
    <n v="0"/>
    <n v="375"/>
    <s v="OK"/>
    <n v="706522.5"/>
    <n v="0"/>
    <m/>
    <s v="Never Sold"/>
    <s v="OK BUT BE CHECKING"/>
    <s v="ACTIVE"/>
    <n v="0"/>
  </r>
  <r>
    <s v="ITEM493-A"/>
    <x v="1"/>
    <x v="1"/>
    <x v="9"/>
    <s v="862.38"/>
    <s v="1668.23"/>
    <x v="62"/>
    <n v="510"/>
    <n v="0"/>
    <n v="16"/>
    <n v="526"/>
    <s v="OK"/>
    <n v="453611.88"/>
    <n v="0"/>
    <m/>
    <s v="Never Sold"/>
    <s v="OK BUT BE CHECKING"/>
    <s v="ACTIVE"/>
    <n v="0"/>
  </r>
  <r>
    <s v="ITEM494-A"/>
    <x v="18"/>
    <x v="7"/>
    <x v="4"/>
    <s v="959.68"/>
    <s v="1905.47"/>
    <x v="57"/>
    <n v="390"/>
    <n v="0"/>
    <n v="2"/>
    <n v="392"/>
    <s v="OK"/>
    <n v="376194.56"/>
    <n v="0"/>
    <m/>
    <s v="Never Sold"/>
    <s v="OK BUT BE CHECKING"/>
    <s v="ACTIVE"/>
    <n v="0"/>
  </r>
  <r>
    <s v="ITEM495-A"/>
    <x v="69"/>
    <x v="2"/>
    <x v="6"/>
    <s v="531.09"/>
    <s v="762.36"/>
    <x v="49"/>
    <n v="1350"/>
    <n v="0"/>
    <n v="1"/>
    <n v="1351"/>
    <s v="OK"/>
    <n v="717502.59000000008"/>
    <n v="0"/>
    <m/>
    <s v="Never Sold"/>
    <s v="OK BUT BE CHECKING"/>
    <s v="ACTIVE"/>
    <n v="0"/>
  </r>
  <r>
    <s v="ITEM496-A"/>
    <x v="12"/>
    <x v="4"/>
    <x v="6"/>
    <s v="767.37"/>
    <s v="1409.31"/>
    <x v="11"/>
    <n v="585"/>
    <n v="0"/>
    <n v="8"/>
    <n v="593"/>
    <s v="OK"/>
    <n v="455050.41"/>
    <n v="0"/>
    <m/>
    <s v="Never Sold"/>
    <s v="OK BUT BE CHECKING"/>
    <s v="ACTIVE"/>
    <n v="0"/>
  </r>
  <r>
    <s v="ITEM497-A"/>
    <x v="8"/>
    <x v="5"/>
    <x v="1"/>
    <s v="450.61"/>
    <s v="846.37"/>
    <x v="76"/>
    <n v="915"/>
    <n v="0"/>
    <n v="1"/>
    <n v="916"/>
    <s v="OK"/>
    <n v="412758.76"/>
    <n v="0"/>
    <m/>
    <s v="Never Sold"/>
    <s v="OK BUT BE CHECKING"/>
    <s v="ACTIVE"/>
    <n v="0"/>
  </r>
  <r>
    <s v="ITEM498-A"/>
    <x v="10"/>
    <x v="5"/>
    <x v="4"/>
    <s v="1635.25"/>
    <s v="2582.81"/>
    <x v="34"/>
    <n v="1140"/>
    <n v="0"/>
    <n v="1"/>
    <n v="1141"/>
    <s v="OK"/>
    <n v="1865820.25"/>
    <n v="0"/>
    <m/>
    <s v="Never Sold"/>
    <s v="OK BUT BE CHECKING"/>
    <s v="ACTIVE"/>
    <n v="0"/>
  </r>
  <r>
    <s v="ITEM499-A"/>
    <x v="6"/>
    <x v="1"/>
    <x v="8"/>
    <s v="1975.88"/>
    <s v="3244.56"/>
    <x v="17"/>
    <n v="675"/>
    <n v="0"/>
    <n v="6"/>
    <n v="681"/>
    <s v="OK"/>
    <n v="1345574.28"/>
    <n v="0"/>
    <m/>
    <s v="Never Sold"/>
    <s v="OK BUT BE CHECKING"/>
    <s v="ACTIVE"/>
    <n v="0"/>
  </r>
  <r>
    <s v="ITEM500-A"/>
    <x v="7"/>
    <x v="5"/>
    <x v="8"/>
    <s v="1196.76"/>
    <s v="1357.08"/>
    <x v="68"/>
    <n v="1200"/>
    <n v="0"/>
    <n v="16"/>
    <n v="1216"/>
    <s v="OK"/>
    <n v="1455260.16"/>
    <n v="0"/>
    <m/>
    <s v="Never Sold"/>
    <s v="OK BUT BE CHECKING"/>
    <s v="ACTIVE"/>
    <n v="0"/>
  </r>
  <r>
    <s v="ITEM501-A"/>
    <x v="60"/>
    <x v="2"/>
    <x v="1"/>
    <s v="1718.53"/>
    <s v="3436.96"/>
    <x v="86"/>
    <n v="1335"/>
    <n v="0"/>
    <n v="0"/>
    <n v="1335"/>
    <s v="OK"/>
    <n v="2294237.5499999998"/>
    <n v="0"/>
    <m/>
    <s v="Never Sold"/>
    <s v="OK BUT BE CHECKING"/>
    <s v="ACTIVE"/>
    <n v="0"/>
  </r>
  <r>
    <s v="ITEM502-A"/>
    <x v="21"/>
    <x v="6"/>
    <x v="3"/>
    <s v="424.97"/>
    <s v="628.26"/>
    <x v="76"/>
    <n v="915"/>
    <n v="0"/>
    <n v="1"/>
    <n v="916"/>
    <s v="OK"/>
    <n v="389272.52"/>
    <n v="0"/>
    <m/>
    <s v="Never Sold"/>
    <s v="OK BUT BE CHECKING"/>
    <s v="ACTIVE"/>
    <n v="0"/>
  </r>
  <r>
    <s v="ITEM503-A"/>
    <x v="25"/>
    <x v="8"/>
    <x v="7"/>
    <s v="1666.26"/>
    <s v="2102.5"/>
    <x v="13"/>
    <n v="450"/>
    <n v="0"/>
    <n v="15"/>
    <n v="465"/>
    <s v="OK"/>
    <n v="774810.9"/>
    <n v="0"/>
    <m/>
    <s v="Never Sold"/>
    <s v="OK BUT BE CHECKING"/>
    <s v="ACTIVE"/>
    <n v="0"/>
  </r>
  <r>
    <s v="ITEM504-A"/>
    <x v="7"/>
    <x v="5"/>
    <x v="1"/>
    <s v="1698.15"/>
    <s v="2721.11"/>
    <x v="76"/>
    <n v="915"/>
    <n v="124"/>
    <n v="1"/>
    <n v="792"/>
    <s v="OK"/>
    <n v="1344934.8"/>
    <n v="337417.64"/>
    <d v="2024-12-16T00:00:00"/>
    <n v="408"/>
    <s v="OK BUT BE CHECKING"/>
    <s v="ACTIVE"/>
    <n v="0"/>
  </r>
  <r>
    <s v="ITEM505-A"/>
    <x v="23"/>
    <x v="4"/>
    <x v="9"/>
    <s v="1692.59"/>
    <s v="3278.94"/>
    <x v="69"/>
    <n v="1035"/>
    <n v="0"/>
    <n v="0"/>
    <n v="1035"/>
    <s v="OK"/>
    <n v="1751830.65"/>
    <n v="0"/>
    <m/>
    <s v="Never Sold"/>
    <s v="OK BUT BE CHECKING"/>
    <s v="ACTIVE"/>
    <n v="0"/>
  </r>
  <r>
    <s v="ITEM506-A"/>
    <x v="40"/>
    <x v="2"/>
    <x v="9"/>
    <s v="501.55"/>
    <s v="847.52"/>
    <x v="51"/>
    <n v="765"/>
    <n v="9"/>
    <n v="5"/>
    <n v="761"/>
    <s v="OK"/>
    <n v="381679.55"/>
    <n v="7627.68"/>
    <d v="2025-09-09T00:00:00"/>
    <n v="141"/>
    <s v="OK BUT BE CHECKING"/>
    <s v="ACTIVE"/>
    <n v="0"/>
  </r>
  <r>
    <s v="ITEM507-A"/>
    <x v="44"/>
    <x v="5"/>
    <x v="3"/>
    <s v="1066.95"/>
    <s v="1968.14"/>
    <x v="8"/>
    <n v="645"/>
    <n v="0"/>
    <n v="0"/>
    <n v="645"/>
    <s v="OK"/>
    <n v="688182.75"/>
    <n v="0"/>
    <m/>
    <s v="Never Sold"/>
    <s v="OK BUT BE CHECKING"/>
    <s v="ACTIVE"/>
    <n v="0"/>
  </r>
  <r>
    <s v="ITEM508-A"/>
    <x v="70"/>
    <x v="2"/>
    <x v="1"/>
    <s v="1557.7"/>
    <s v="2621.2"/>
    <x v="72"/>
    <n v="270"/>
    <n v="0"/>
    <n v="3"/>
    <n v="273"/>
    <s v="OK"/>
    <n v="425252.10000000003"/>
    <n v="0"/>
    <m/>
    <s v="Never Sold"/>
    <s v="OK BUT BE CHECKING"/>
    <s v="ACTIVE"/>
    <n v="0"/>
  </r>
  <r>
    <s v="ITEM509-A"/>
    <x v="52"/>
    <x v="8"/>
    <x v="11"/>
    <s v="1293.76"/>
    <s v="1972.61"/>
    <x v="0"/>
    <n v="540"/>
    <n v="0"/>
    <n v="12"/>
    <n v="552"/>
    <s v="OK"/>
    <n v="714155.52000000002"/>
    <n v="0"/>
    <m/>
    <s v="Never Sold"/>
    <s v="OK BUT BE CHECKING"/>
    <s v="ACTIVE"/>
    <n v="0"/>
  </r>
  <r>
    <s v="ITEM510-A"/>
    <x v="16"/>
    <x v="6"/>
    <x v="4"/>
    <s v="494.2"/>
    <s v="557.82"/>
    <x v="86"/>
    <n v="1335"/>
    <n v="0"/>
    <n v="20"/>
    <n v="1355"/>
    <s v="OK"/>
    <n v="669641"/>
    <n v="0"/>
    <m/>
    <s v="Never Sold"/>
    <s v="OK BUT BE CHECKING"/>
    <s v="ACTIVE"/>
    <n v="0"/>
  </r>
  <r>
    <s v="ITEM511-A"/>
    <x v="21"/>
    <x v="6"/>
    <x v="4"/>
    <s v="106.38"/>
    <s v="150.4"/>
    <x v="81"/>
    <n v="1485"/>
    <n v="0"/>
    <n v="7"/>
    <n v="1492"/>
    <s v="OK"/>
    <n v="158718.96"/>
    <n v="0"/>
    <m/>
    <s v="Never Sold"/>
    <s v="OK BUT BE CHECKING"/>
    <s v="ACTIVE"/>
    <n v="0"/>
  </r>
  <r>
    <s v="ITEM512-A"/>
    <x v="10"/>
    <x v="5"/>
    <x v="1"/>
    <s v="1932.79"/>
    <s v="3118.28"/>
    <x v="55"/>
    <n v="375"/>
    <n v="9"/>
    <n v="0"/>
    <n v="366"/>
    <s v="OK"/>
    <n v="707401.14"/>
    <n v="28064.52"/>
    <d v="2025-09-19T00:00:00"/>
    <n v="131"/>
    <s v="OK BUT BE CHECKING"/>
    <s v="ACTIVE"/>
    <n v="0"/>
  </r>
  <r>
    <s v="ITEM513-A"/>
    <x v="51"/>
    <x v="2"/>
    <x v="9"/>
    <s v="399.42"/>
    <s v="673.43"/>
    <x v="12"/>
    <n v="1260"/>
    <n v="0"/>
    <n v="6"/>
    <n v="1266"/>
    <s v="OK"/>
    <n v="505665.72000000003"/>
    <n v="0"/>
    <m/>
    <s v="Never Sold"/>
    <s v="OK BUT BE CHECKING"/>
    <s v="ACTIVE"/>
    <n v="0"/>
  </r>
  <r>
    <s v="ITEM514-A"/>
    <x v="13"/>
    <x v="0"/>
    <x v="9"/>
    <s v="1873.61"/>
    <s v="2882.84"/>
    <x v="51"/>
    <n v="765"/>
    <n v="0"/>
    <n v="2"/>
    <n v="767"/>
    <s v="OK"/>
    <n v="1437058.8699999999"/>
    <n v="0"/>
    <m/>
    <s v="Never Sold"/>
    <s v="OK BUT BE CHECKING"/>
    <s v="ACTIVE"/>
    <n v="0"/>
  </r>
  <r>
    <s v="ITEM515-A"/>
    <x v="54"/>
    <x v="6"/>
    <x v="4"/>
    <s v="1178.0"/>
    <s v="1595.78"/>
    <x v="79"/>
    <n v="930"/>
    <n v="0"/>
    <n v="4"/>
    <n v="934"/>
    <s v="OK"/>
    <n v="1100252"/>
    <n v="0"/>
    <m/>
    <s v="Never Sold"/>
    <s v="OK BUT BE CHECKING"/>
    <s v="ACTIVE"/>
    <n v="0"/>
  </r>
  <r>
    <s v="ITEM516-A"/>
    <x v="42"/>
    <x v="6"/>
    <x v="0"/>
    <s v="326.19"/>
    <s v="482.71"/>
    <x v="21"/>
    <n v="420"/>
    <n v="0"/>
    <n v="0"/>
    <n v="420"/>
    <s v="OK"/>
    <n v="136999.79999999999"/>
    <n v="0"/>
    <m/>
    <s v="Never Sold"/>
    <s v="OK BUT BE CHECKING"/>
    <s v="ACTIVE"/>
    <n v="0"/>
  </r>
  <r>
    <s v="ITEM517-A"/>
    <x v="17"/>
    <x v="0"/>
    <x v="10"/>
    <s v="861.83"/>
    <s v="1269.93"/>
    <x v="32"/>
    <n v="1275"/>
    <n v="0"/>
    <n v="4"/>
    <n v="1279"/>
    <s v="OK"/>
    <n v="1102280.57"/>
    <n v="0"/>
    <m/>
    <s v="Never Sold"/>
    <s v="OK BUT BE CHECKING"/>
    <s v="ACTIVE"/>
    <n v="0"/>
  </r>
  <r>
    <s v="ITEM518-A"/>
    <x v="18"/>
    <x v="7"/>
    <x v="4"/>
    <s v="950.65"/>
    <s v="1439.51"/>
    <x v="35"/>
    <n v="465"/>
    <n v="16"/>
    <n v="7"/>
    <n v="456"/>
    <s v="OK"/>
    <n v="433496.39999999997"/>
    <n v="23032.16"/>
    <d v="2024-12-25T00:00:00"/>
    <n v="399"/>
    <s v="OK BUT BE CHECKING"/>
    <s v="ACTIVE"/>
    <n v="0"/>
  </r>
  <r>
    <s v="ITEM519-A"/>
    <x v="62"/>
    <x v="2"/>
    <x v="11"/>
    <s v="1665.41"/>
    <s v="3051.83"/>
    <x v="72"/>
    <n v="270"/>
    <n v="0"/>
    <n v="0"/>
    <n v="270"/>
    <s v="OK"/>
    <n v="449660.7"/>
    <n v="0"/>
    <m/>
    <s v="Never Sold"/>
    <s v="OK BUT BE CHECKING"/>
    <s v="ACTIVE"/>
    <n v="0"/>
  </r>
  <r>
    <s v="ITEM520-A"/>
    <x v="42"/>
    <x v="6"/>
    <x v="9"/>
    <s v="1993.04"/>
    <s v="2666.31"/>
    <x v="85"/>
    <n v="480"/>
    <n v="0"/>
    <n v="19"/>
    <n v="499"/>
    <s v="OK"/>
    <n v="994526.96"/>
    <n v="0"/>
    <m/>
    <s v="Never Sold"/>
    <s v="OK BUT BE CHECKING"/>
    <s v="ACTIVE"/>
    <n v="0"/>
  </r>
  <r>
    <s v="ITEM521-A"/>
    <x v="9"/>
    <x v="6"/>
    <x v="8"/>
    <s v="317.11"/>
    <s v="569.51"/>
    <x v="89"/>
    <n v="525"/>
    <n v="4"/>
    <n v="10"/>
    <n v="531"/>
    <s v="OK"/>
    <n v="168385.41"/>
    <n v="2278.04"/>
    <d v="2025-09-14T00:00:00"/>
    <n v="136"/>
    <s v="OK BUT BE CHECKING"/>
    <s v="ACTIVE"/>
    <n v="0"/>
  </r>
  <r>
    <s v="ITEM522-A"/>
    <x v="17"/>
    <x v="0"/>
    <x v="9"/>
    <s v="51.04"/>
    <s v="70.69"/>
    <x v="64"/>
    <n v="180"/>
    <n v="0"/>
    <n v="0"/>
    <n v="180"/>
    <s v="OK"/>
    <n v="9187.2000000000007"/>
    <n v="0"/>
    <m/>
    <s v="Never Sold"/>
    <s v="OK BUT BE CHECKING"/>
    <s v="ACTIVE"/>
    <n v="0"/>
  </r>
  <r>
    <s v="ITEM523-A"/>
    <x v="21"/>
    <x v="6"/>
    <x v="7"/>
    <s v="74.9"/>
    <s v="133.59"/>
    <x v="70"/>
    <n v="435"/>
    <n v="0"/>
    <n v="0"/>
    <n v="435"/>
    <s v="OK"/>
    <n v="32581.500000000004"/>
    <n v="0"/>
    <m/>
    <s v="Never Sold"/>
    <s v="OK BUT BE CHECKING"/>
    <s v="ACTIVE"/>
    <n v="0"/>
  </r>
  <r>
    <s v="ITEM524-A"/>
    <x v="42"/>
    <x v="6"/>
    <x v="5"/>
    <s v="487.05"/>
    <s v="665.1"/>
    <x v="18"/>
    <n v="705"/>
    <n v="0"/>
    <n v="0"/>
    <n v="705"/>
    <s v="OK"/>
    <n v="343370.25"/>
    <n v="0"/>
    <m/>
    <s v="Never Sold"/>
    <s v="OK BUT BE CHECKING"/>
    <s v="ACTIVE"/>
    <n v="0"/>
  </r>
  <r>
    <s v="ITEM525-A"/>
    <x v="22"/>
    <x v="3"/>
    <x v="4"/>
    <s v="1544.88"/>
    <s v="2094.2"/>
    <x v="89"/>
    <n v="525"/>
    <n v="0"/>
    <n v="1"/>
    <n v="526"/>
    <s v="OK"/>
    <n v="812606.88"/>
    <n v="0"/>
    <m/>
    <s v="Never Sold"/>
    <s v="OK BUT BE CHECKING"/>
    <s v="ACTIVE"/>
    <n v="0"/>
  </r>
  <r>
    <s v="ITEM526-A"/>
    <x v="38"/>
    <x v="7"/>
    <x v="7"/>
    <s v="1512.79"/>
    <s v="2231.6"/>
    <x v="44"/>
    <n v="360"/>
    <n v="0"/>
    <n v="0"/>
    <n v="360"/>
    <s v="OK"/>
    <n v="544604.4"/>
    <n v="0"/>
    <m/>
    <s v="Never Sold"/>
    <s v="OK BUT BE CHECKING"/>
    <s v="ACTIVE"/>
    <n v="0"/>
  </r>
  <r>
    <s v="ITEM527-A"/>
    <x v="57"/>
    <x v="7"/>
    <x v="0"/>
    <s v="1460.72"/>
    <s v="2356.74"/>
    <x v="12"/>
    <n v="1260"/>
    <n v="0"/>
    <n v="0"/>
    <n v="1260"/>
    <s v="OK"/>
    <n v="1840507.2"/>
    <n v="0"/>
    <m/>
    <s v="Never Sold"/>
    <s v="OK BUT BE CHECKING"/>
    <s v="ACTIVE"/>
    <n v="0"/>
  </r>
  <r>
    <s v="ITEM528-A"/>
    <x v="34"/>
    <x v="8"/>
    <x v="7"/>
    <s v="1404.29"/>
    <s v="2318.16"/>
    <x v="84"/>
    <n v="1305"/>
    <n v="0"/>
    <n v="8"/>
    <n v="1313"/>
    <s v="OK"/>
    <n v="1843832.77"/>
    <n v="0"/>
    <m/>
    <s v="Never Sold"/>
    <s v="OK BUT BE CHECKING"/>
    <s v="ACTIVE"/>
    <n v="0"/>
  </r>
  <r>
    <s v="ITEM529-A"/>
    <x v="7"/>
    <x v="5"/>
    <x v="9"/>
    <s v="446.62"/>
    <s v="653.67"/>
    <x v="54"/>
    <n v="1080"/>
    <n v="0"/>
    <n v="0"/>
    <n v="1080"/>
    <s v="OK"/>
    <n v="482349.6"/>
    <n v="0"/>
    <m/>
    <s v="Never Sold"/>
    <s v="OK BUT BE CHECKING"/>
    <s v="ACTIVE"/>
    <n v="0"/>
  </r>
  <r>
    <s v="ITEM530-A"/>
    <x v="36"/>
    <x v="4"/>
    <x v="4"/>
    <s v="376.77"/>
    <s v="466.67"/>
    <x v="67"/>
    <n v="555"/>
    <n v="0"/>
    <n v="0"/>
    <n v="555"/>
    <s v="OK"/>
    <n v="209107.34999999998"/>
    <n v="0"/>
    <m/>
    <s v="Never Sold"/>
    <s v="OK BUT BE CHECKING"/>
    <s v="ACTIVE"/>
    <n v="0"/>
  </r>
  <r>
    <s v="ITEM531-A"/>
    <x v="71"/>
    <x v="2"/>
    <x v="11"/>
    <s v="12.93"/>
    <s v="25.39"/>
    <x v="54"/>
    <n v="1080"/>
    <n v="0"/>
    <n v="5"/>
    <n v="1085"/>
    <s v="OK"/>
    <n v="14029.05"/>
    <n v="0"/>
    <m/>
    <s v="Never Sold"/>
    <s v="OK BUT BE CHECKING"/>
    <s v="ACTIVE"/>
    <n v="0"/>
  </r>
  <r>
    <s v="ITEM532-A"/>
    <x v="43"/>
    <x v="4"/>
    <x v="11"/>
    <s v="734.87"/>
    <s v="950.98"/>
    <x v="41"/>
    <n v="1050"/>
    <n v="0"/>
    <n v="3"/>
    <n v="1053"/>
    <s v="OK"/>
    <n v="773818.11"/>
    <n v="0"/>
    <m/>
    <s v="Never Sold"/>
    <s v="OK BUT BE CHECKING"/>
    <s v="ACTIVE"/>
    <n v="0"/>
  </r>
  <r>
    <s v="ITEM533-A"/>
    <x v="10"/>
    <x v="5"/>
    <x v="1"/>
    <s v="51.07"/>
    <s v="60.9"/>
    <x v="43"/>
    <n v="1410"/>
    <n v="9"/>
    <n v="0"/>
    <n v="1401"/>
    <s v="OK"/>
    <n v="71549.070000000007"/>
    <n v="548.1"/>
    <d v="2025-05-25T00:00:00"/>
    <n v="248"/>
    <s v="OK BUT BE CHECKING"/>
    <s v="ACTIVE"/>
    <n v="0"/>
  </r>
  <r>
    <s v="ITEM534-A"/>
    <x v="34"/>
    <x v="8"/>
    <x v="3"/>
    <s v="901.17"/>
    <s v="1220.59"/>
    <x v="3"/>
    <n v="735"/>
    <n v="12"/>
    <n v="8"/>
    <n v="731"/>
    <s v="OK"/>
    <n v="658755.27"/>
    <n v="14647.079999999998"/>
    <d v="2025-07-11T00:00:00"/>
    <n v="201"/>
    <s v="OK BUT BE CHECKING"/>
    <s v="ACTIVE"/>
    <n v="0"/>
  </r>
  <r>
    <s v="ITEM535-A"/>
    <x v="8"/>
    <x v="5"/>
    <x v="9"/>
    <s v="403.85"/>
    <s v="506.72"/>
    <x v="45"/>
    <n v="1470"/>
    <n v="0"/>
    <n v="0"/>
    <n v="1470"/>
    <s v="OK"/>
    <n v="593659.5"/>
    <n v="0"/>
    <m/>
    <s v="Never Sold"/>
    <s v="OK BUT BE CHECKING"/>
    <s v="ACTIVE"/>
    <n v="0"/>
  </r>
  <r>
    <s v="ITEM536-A"/>
    <x v="32"/>
    <x v="3"/>
    <x v="1"/>
    <s v="462.12"/>
    <s v="559.71"/>
    <x v="12"/>
    <n v="1260"/>
    <n v="0"/>
    <n v="0"/>
    <n v="1260"/>
    <s v="OK"/>
    <n v="582271.19999999995"/>
    <n v="0"/>
    <m/>
    <s v="Never Sold"/>
    <s v="OK BUT BE CHECKING"/>
    <s v="ACTIVE"/>
    <n v="0"/>
  </r>
  <r>
    <s v="ITEM537-A"/>
    <x v="41"/>
    <x v="9"/>
    <x v="3"/>
    <s v="115.01"/>
    <s v="151.05"/>
    <x v="63"/>
    <n v="1365"/>
    <n v="0"/>
    <n v="26"/>
    <n v="1391"/>
    <s v="OK"/>
    <n v="159978.91"/>
    <n v="0"/>
    <m/>
    <s v="Never Sold"/>
    <s v="OK BUT BE CHECKING"/>
    <s v="ACTIVE"/>
    <n v="0"/>
  </r>
  <r>
    <s v="ITEM538-A"/>
    <x v="9"/>
    <x v="6"/>
    <x v="0"/>
    <s v="1628.24"/>
    <s v="2937.17"/>
    <x v="4"/>
    <n v="1215"/>
    <n v="0"/>
    <n v="7"/>
    <n v="1222"/>
    <s v="OK"/>
    <n v="1989709.28"/>
    <n v="0"/>
    <m/>
    <s v="Never Sold"/>
    <s v="OK BUT BE CHECKING"/>
    <s v="ACTIVE"/>
    <n v="0"/>
  </r>
  <r>
    <s v="ITEM539-A"/>
    <x v="1"/>
    <x v="1"/>
    <x v="4"/>
    <s v="1933.01"/>
    <s v="2137.52"/>
    <x v="18"/>
    <n v="705"/>
    <n v="0"/>
    <n v="6"/>
    <n v="711"/>
    <s v="OK"/>
    <n v="1374370.11"/>
    <n v="0"/>
    <m/>
    <s v="Never Sold"/>
    <s v="OK BUT BE CHECKING"/>
    <s v="ACTIVE"/>
    <n v="0"/>
  </r>
  <r>
    <s v="ITEM540-A"/>
    <x v="31"/>
    <x v="7"/>
    <x v="4"/>
    <s v="695.37"/>
    <s v="1088.58"/>
    <x v="12"/>
    <n v="1260"/>
    <n v="0"/>
    <n v="2"/>
    <n v="1262"/>
    <s v="OK"/>
    <n v="877556.94000000006"/>
    <n v="0"/>
    <m/>
    <s v="Never Sold"/>
    <s v="OK BUT BE CHECKING"/>
    <s v="ACTIVE"/>
    <n v="0"/>
  </r>
  <r>
    <s v="ITEM541-A"/>
    <x v="0"/>
    <x v="0"/>
    <x v="5"/>
    <s v="715.44"/>
    <s v="898.58"/>
    <x v="5"/>
    <n v="1395"/>
    <n v="0"/>
    <n v="4"/>
    <n v="1399"/>
    <s v="OK"/>
    <n v="1000900.56"/>
    <n v="0"/>
    <m/>
    <s v="Never Sold"/>
    <s v="OK BUT BE CHECKING"/>
    <s v="ACTIVE"/>
    <n v="0"/>
  </r>
  <r>
    <s v="ITEM542-A"/>
    <x v="33"/>
    <x v="7"/>
    <x v="8"/>
    <s v="8.04"/>
    <s v="11.29"/>
    <x v="55"/>
    <n v="375"/>
    <n v="0"/>
    <n v="1"/>
    <n v="376"/>
    <s v="OK"/>
    <n v="3023.0399999999995"/>
    <n v="0"/>
    <m/>
    <s v="Never Sold"/>
    <s v="OK BUT BE CHECKING"/>
    <s v="ACTIVE"/>
    <n v="0"/>
  </r>
  <r>
    <s v="ITEM543-A"/>
    <x v="55"/>
    <x v="7"/>
    <x v="11"/>
    <s v="265.15"/>
    <s v="305.0"/>
    <x v="0"/>
    <n v="540"/>
    <n v="2"/>
    <n v="0"/>
    <n v="538"/>
    <s v="OK"/>
    <n v="142650.69999999998"/>
    <n v="610"/>
    <d v="2025-02-02T00:00:00"/>
    <n v="360"/>
    <s v="OK BUT BE CHECKING"/>
    <s v="ACTIVE"/>
    <n v="0"/>
  </r>
  <r>
    <s v="ITEM544-A"/>
    <x v="17"/>
    <x v="0"/>
    <x v="11"/>
    <s v="416.18"/>
    <s v="656.9"/>
    <x v="2"/>
    <n v="1320"/>
    <n v="0"/>
    <n v="58"/>
    <n v="1378"/>
    <s v="OK"/>
    <n v="573496.04"/>
    <n v="0"/>
    <m/>
    <s v="Never Sold"/>
    <s v="OK BUT BE CHECKING"/>
    <s v="ACTIVE"/>
    <n v="0"/>
  </r>
  <r>
    <s v="ITEM545-A"/>
    <x v="16"/>
    <x v="6"/>
    <x v="7"/>
    <s v="1338.6"/>
    <s v="2015.33"/>
    <x v="72"/>
    <n v="270"/>
    <n v="0"/>
    <n v="0"/>
    <n v="270"/>
    <s v="OK"/>
    <n v="361422"/>
    <n v="0"/>
    <m/>
    <s v="Never Sold"/>
    <s v="OK BUT BE CHECKING"/>
    <s v="ACTIVE"/>
    <n v="0"/>
  </r>
  <r>
    <s v="ITEM546-A"/>
    <x v="35"/>
    <x v="0"/>
    <x v="10"/>
    <s v="600.96"/>
    <s v="1197.11"/>
    <x v="63"/>
    <n v="1365"/>
    <n v="0"/>
    <n v="0"/>
    <n v="1365"/>
    <s v="OK"/>
    <n v="820310.4"/>
    <n v="0"/>
    <m/>
    <s v="Never Sold"/>
    <s v="OK BUT BE CHECKING"/>
    <s v="ACTIVE"/>
    <n v="0"/>
  </r>
  <r>
    <s v="ITEM547-A"/>
    <x v="21"/>
    <x v="6"/>
    <x v="0"/>
    <s v="1052.16"/>
    <s v="1496.43"/>
    <x v="70"/>
    <n v="435"/>
    <n v="0"/>
    <n v="14"/>
    <n v="449"/>
    <s v="OK"/>
    <n v="472419.84000000003"/>
    <n v="0"/>
    <m/>
    <s v="Never Sold"/>
    <s v="OK BUT BE CHECKING"/>
    <s v="ACTIVE"/>
    <n v="0"/>
  </r>
  <r>
    <s v="ITEM548-A"/>
    <x v="8"/>
    <x v="5"/>
    <x v="11"/>
    <s v="1324.5"/>
    <s v="2585.67"/>
    <x v="31"/>
    <n v="1425"/>
    <n v="0"/>
    <n v="0"/>
    <n v="1425"/>
    <s v="OK"/>
    <n v="1887412.5"/>
    <n v="0"/>
    <m/>
    <s v="Never Sold"/>
    <s v="OK BUT BE CHECKING"/>
    <s v="ACTIVE"/>
    <n v="0"/>
  </r>
  <r>
    <s v="ITEM549-A"/>
    <x v="6"/>
    <x v="1"/>
    <x v="4"/>
    <s v="1632.78"/>
    <s v="2746.94"/>
    <x v="46"/>
    <n v="150"/>
    <n v="18"/>
    <n v="1"/>
    <n v="133"/>
    <s v="OK"/>
    <n v="217159.74"/>
    <n v="49444.92"/>
    <d v="2025-12-03T00:00:00"/>
    <n v="56"/>
    <s v="OK BUT BE CHECKING"/>
    <s v="ACTIVE"/>
    <n v="0"/>
  </r>
  <r>
    <s v="ITEM550-A"/>
    <x v="49"/>
    <x v="2"/>
    <x v="5"/>
    <s v="1757.5"/>
    <s v="1933.63"/>
    <x v="39"/>
    <n v="945"/>
    <n v="16"/>
    <n v="13"/>
    <n v="942"/>
    <s v="OK"/>
    <n v="1655565"/>
    <n v="30938.080000000002"/>
    <d v="2025-11-16T00:00:00"/>
    <n v="73"/>
    <s v="OK BUT BE CHECKING"/>
    <s v="ACTIVE"/>
    <n v="0"/>
  </r>
  <r>
    <s v="ITEM551-A"/>
    <x v="16"/>
    <x v="6"/>
    <x v="3"/>
    <s v="1484.89"/>
    <s v="1912.19"/>
    <x v="84"/>
    <n v="1305"/>
    <n v="0"/>
    <n v="2"/>
    <n v="1307"/>
    <s v="OK"/>
    <n v="1940751.2300000002"/>
    <n v="0"/>
    <m/>
    <s v="Never Sold"/>
    <s v="OK BUT BE CHECKING"/>
    <s v="ACTIVE"/>
    <n v="0"/>
  </r>
  <r>
    <s v="ITEM552-A"/>
    <x v="45"/>
    <x v="9"/>
    <x v="11"/>
    <s v="144.41"/>
    <s v="202.39"/>
    <x v="45"/>
    <n v="1470"/>
    <n v="143"/>
    <n v="0"/>
    <n v="1327"/>
    <s v="OK"/>
    <n v="191632.07"/>
    <n v="28941.769999999997"/>
    <d v="2024-12-19T00:00:00"/>
    <n v="405"/>
    <s v="OK BUT BE CHECKING"/>
    <s v="ACTIVE"/>
    <n v="0"/>
  </r>
  <r>
    <s v="ITEM553-A"/>
    <x v="35"/>
    <x v="0"/>
    <x v="4"/>
    <s v="26.29"/>
    <s v="31.85"/>
    <x v="66"/>
    <n v="1380"/>
    <n v="0"/>
    <n v="2"/>
    <n v="1382"/>
    <s v="OK"/>
    <n v="36332.78"/>
    <n v="0"/>
    <m/>
    <s v="Never Sold"/>
    <s v="OK BUT BE CHECKING"/>
    <s v="ACTIVE"/>
    <n v="0"/>
  </r>
  <r>
    <s v="ITEM554-A"/>
    <x v="41"/>
    <x v="9"/>
    <x v="4"/>
    <s v="1778.52"/>
    <s v="3301.01"/>
    <x v="13"/>
    <n v="450"/>
    <n v="0"/>
    <n v="4"/>
    <n v="454"/>
    <s v="OK"/>
    <n v="807448.08"/>
    <n v="0"/>
    <m/>
    <s v="Never Sold"/>
    <s v="OK BUT BE CHECKING"/>
    <s v="ACTIVE"/>
    <n v="0"/>
  </r>
  <r>
    <s v="ITEM555-A"/>
    <x v="8"/>
    <x v="5"/>
    <x v="9"/>
    <s v="21.41"/>
    <s v="33.4"/>
    <x v="56"/>
    <n v="1500"/>
    <n v="0"/>
    <n v="0"/>
    <n v="1500"/>
    <s v="OK"/>
    <n v="32115"/>
    <n v="0"/>
    <m/>
    <s v="Never Sold"/>
    <s v="OK BUT BE CHECKING"/>
    <s v="ACTIVE"/>
    <n v="0"/>
  </r>
  <r>
    <s v="ITEM556-A"/>
    <x v="1"/>
    <x v="1"/>
    <x v="6"/>
    <s v="288.29"/>
    <s v="401.23"/>
    <x v="71"/>
    <n v="1095"/>
    <n v="0"/>
    <n v="5"/>
    <n v="1100"/>
    <s v="OK"/>
    <n v="317119"/>
    <n v="0"/>
    <m/>
    <s v="Never Sold"/>
    <s v="OK BUT BE CHECKING"/>
    <s v="ACTIVE"/>
    <n v="0"/>
  </r>
  <r>
    <s v="ITEM557-A"/>
    <x v="44"/>
    <x v="5"/>
    <x v="6"/>
    <s v="226.68"/>
    <s v="346.1"/>
    <x v="62"/>
    <n v="510"/>
    <n v="0"/>
    <n v="4"/>
    <n v="514"/>
    <s v="OK"/>
    <n v="116513.52"/>
    <n v="0"/>
    <m/>
    <s v="Never Sold"/>
    <s v="OK BUT BE CHECKING"/>
    <s v="ACTIVE"/>
    <n v="0"/>
  </r>
  <r>
    <s v="ITEM558-A"/>
    <x v="32"/>
    <x v="3"/>
    <x v="11"/>
    <s v="904.62"/>
    <s v="1766.02"/>
    <x v="59"/>
    <n v="345"/>
    <n v="0"/>
    <n v="0"/>
    <n v="345"/>
    <s v="OK"/>
    <n v="312093.90000000002"/>
    <n v="0"/>
    <m/>
    <s v="Never Sold"/>
    <s v="OK BUT BE CHECKING"/>
    <s v="ACTIVE"/>
    <n v="0"/>
  </r>
  <r>
    <s v="ITEM559-A"/>
    <x v="42"/>
    <x v="6"/>
    <x v="10"/>
    <s v="219.91"/>
    <s v="246.31"/>
    <x v="48"/>
    <n v="690"/>
    <n v="14"/>
    <n v="4"/>
    <n v="680"/>
    <s v="OK"/>
    <n v="149538.79999999999"/>
    <n v="3448.34"/>
    <d v="2025-11-23T00:00:00"/>
    <n v="66"/>
    <s v="OK BUT BE CHECKING"/>
    <s v="ACTIVE"/>
    <n v="0"/>
  </r>
  <r>
    <s v="ITEM560-A"/>
    <x v="29"/>
    <x v="2"/>
    <x v="5"/>
    <s v="79.48"/>
    <s v="134.28"/>
    <x v="57"/>
    <n v="390"/>
    <n v="0"/>
    <n v="16"/>
    <n v="406"/>
    <s v="OK"/>
    <n v="32268.880000000001"/>
    <n v="0"/>
    <m/>
    <s v="Never Sold"/>
    <s v="OK BUT BE CHECKING"/>
    <s v="ACTIVE"/>
    <n v="0"/>
  </r>
  <r>
    <s v="ITEM561-A"/>
    <x v="42"/>
    <x v="6"/>
    <x v="11"/>
    <s v="1749.72"/>
    <s v="2284.26"/>
    <x v="34"/>
    <n v="1140"/>
    <n v="0"/>
    <n v="0"/>
    <n v="1140"/>
    <s v="OK"/>
    <n v="1994680.8"/>
    <n v="0"/>
    <m/>
    <s v="Never Sold"/>
    <s v="OK BUT BE CHECKING"/>
    <s v="ACTIVE"/>
    <n v="0"/>
  </r>
  <r>
    <s v="ITEM562-A"/>
    <x v="55"/>
    <x v="7"/>
    <x v="8"/>
    <s v="87.18"/>
    <s v="156.9"/>
    <x v="83"/>
    <n v="900"/>
    <n v="5"/>
    <n v="18"/>
    <n v="913"/>
    <s v="OK"/>
    <n v="79595.340000000011"/>
    <n v="784.5"/>
    <d v="2025-03-30T00:00:00"/>
    <n v="304"/>
    <s v="OK BUT BE CHECKING"/>
    <s v="ACTIVE"/>
    <n v="0"/>
  </r>
  <r>
    <s v="ITEM563-A"/>
    <x v="45"/>
    <x v="9"/>
    <x v="2"/>
    <s v="1233.08"/>
    <s v="1468.93"/>
    <x v="34"/>
    <n v="1140"/>
    <n v="0"/>
    <n v="2"/>
    <n v="1142"/>
    <s v="OK"/>
    <n v="1408177.3599999999"/>
    <n v="0"/>
    <m/>
    <s v="Never Sold"/>
    <s v="OK BUT BE CHECKING"/>
    <s v="ACTIVE"/>
    <n v="0"/>
  </r>
  <r>
    <s v="ITEM564-A"/>
    <x v="1"/>
    <x v="1"/>
    <x v="7"/>
    <s v="1295.62"/>
    <s v="2162.91"/>
    <x v="87"/>
    <n v="600"/>
    <n v="0"/>
    <n v="4"/>
    <n v="604"/>
    <s v="OK"/>
    <n v="782554.48"/>
    <n v="0"/>
    <m/>
    <s v="Never Sold"/>
    <s v="OK BUT BE CHECKING"/>
    <s v="ACTIVE"/>
    <n v="0"/>
  </r>
  <r>
    <s v="ITEM565-A"/>
    <x v="30"/>
    <x v="8"/>
    <x v="5"/>
    <s v="1579.3"/>
    <s v="2151.54"/>
    <x v="14"/>
    <n v="1245"/>
    <n v="0"/>
    <n v="10"/>
    <n v="1255"/>
    <s v="OK"/>
    <n v="1982021.5"/>
    <n v="0"/>
    <m/>
    <s v="Never Sold"/>
    <s v="OK BUT BE CHECKING"/>
    <s v="ACTIVE"/>
    <n v="0"/>
  </r>
  <r>
    <s v="ITEM566-A"/>
    <x v="59"/>
    <x v="4"/>
    <x v="3"/>
    <s v="512.2"/>
    <s v="840.62"/>
    <x v="45"/>
    <n v="1470"/>
    <n v="0"/>
    <n v="0"/>
    <n v="1470"/>
    <s v="OK"/>
    <n v="752934.00000000012"/>
    <n v="0"/>
    <m/>
    <s v="Never Sold"/>
    <s v="OK BUT BE CHECKING"/>
    <s v="ACTIVE"/>
    <n v="0"/>
  </r>
  <r>
    <s v="ITEM567-A"/>
    <x v="42"/>
    <x v="6"/>
    <x v="2"/>
    <s v="1089.27"/>
    <s v="2052.75"/>
    <x v="51"/>
    <n v="765"/>
    <n v="0"/>
    <n v="2"/>
    <n v="767"/>
    <s v="OK"/>
    <n v="835470.09"/>
    <n v="0"/>
    <m/>
    <s v="Never Sold"/>
    <s v="OK BUT BE CHECKING"/>
    <s v="ACTIVE"/>
    <n v="0"/>
  </r>
  <r>
    <s v="ITEM568-A"/>
    <x v="59"/>
    <x v="4"/>
    <x v="3"/>
    <s v="1588.85"/>
    <s v="3015.94"/>
    <x v="18"/>
    <n v="705"/>
    <n v="0"/>
    <n v="24"/>
    <n v="729"/>
    <s v="OK"/>
    <n v="1158271.6499999999"/>
    <n v="0"/>
    <m/>
    <s v="Never Sold"/>
    <s v="OK BUT BE CHECKING"/>
    <s v="ACTIVE"/>
    <n v="0"/>
  </r>
  <r>
    <s v="ITEM569-A"/>
    <x v="4"/>
    <x v="3"/>
    <x v="10"/>
    <s v="1541.86"/>
    <s v="1845.94"/>
    <x v="43"/>
    <n v="1410"/>
    <n v="0"/>
    <n v="0"/>
    <n v="1410"/>
    <s v="OK"/>
    <n v="2174022.5999999996"/>
    <n v="0"/>
    <m/>
    <s v="Never Sold"/>
    <s v="OK BUT BE CHECKING"/>
    <s v="ACTIVE"/>
    <n v="0"/>
  </r>
  <r>
    <s v="ITEM570-A"/>
    <x v="52"/>
    <x v="8"/>
    <x v="4"/>
    <s v="1271.0"/>
    <s v="1719.72"/>
    <x v="36"/>
    <n v="1005"/>
    <n v="0"/>
    <n v="8"/>
    <n v="1013"/>
    <s v="OK"/>
    <n v="1287523"/>
    <n v="0"/>
    <m/>
    <s v="Never Sold"/>
    <s v="OK BUT BE CHECKING"/>
    <s v="ACTIVE"/>
    <n v="0"/>
  </r>
  <r>
    <s v="ITEM571-A"/>
    <x v="9"/>
    <x v="6"/>
    <x v="6"/>
    <s v="387.06"/>
    <s v="427.31"/>
    <x v="1"/>
    <n v="720"/>
    <n v="12"/>
    <n v="3"/>
    <n v="711"/>
    <s v="OK"/>
    <n v="275199.65999999997"/>
    <n v="5127.72"/>
    <d v="2025-09-06T00:00:00"/>
    <n v="144"/>
    <s v="OK BUT BE CHECKING"/>
    <s v="ACTIVE"/>
    <n v="0"/>
  </r>
  <r>
    <s v="ITEM572-A"/>
    <x v="35"/>
    <x v="0"/>
    <x v="0"/>
    <s v="1545.77"/>
    <s v="1779.05"/>
    <x v="18"/>
    <n v="705"/>
    <n v="0"/>
    <n v="8"/>
    <n v="713"/>
    <s v="OK"/>
    <n v="1102134.01"/>
    <n v="0"/>
    <m/>
    <s v="Never Sold"/>
    <s v="OK BUT BE CHECKING"/>
    <s v="ACTIVE"/>
    <n v="0"/>
  </r>
  <r>
    <s v="ITEM573-A"/>
    <x v="50"/>
    <x v="4"/>
    <x v="1"/>
    <s v="1856.93"/>
    <s v="2364.61"/>
    <x v="46"/>
    <n v="150"/>
    <n v="213"/>
    <n v="0"/>
    <n v="-63"/>
    <s v="STOCK ISSUE"/>
    <n v="-116986.59000000001"/>
    <n v="503661.93000000005"/>
    <d v="2025-12-14T00:00:00"/>
    <n v="45"/>
    <s v="OK BUT BE CHECKING"/>
    <s v="ACTIVE"/>
    <n v="0"/>
  </r>
  <r>
    <s v="ITEM574-A"/>
    <x v="64"/>
    <x v="7"/>
    <x v="11"/>
    <s v="394.32"/>
    <s v="732.85"/>
    <x v="78"/>
    <n v="870"/>
    <n v="0"/>
    <n v="15"/>
    <n v="885"/>
    <s v="OK"/>
    <n v="348973.2"/>
    <n v="0"/>
    <m/>
    <s v="Never Sold"/>
    <s v="OK BUT BE CHECKING"/>
    <s v="ACTIVE"/>
    <n v="0"/>
  </r>
  <r>
    <s v="ITEM575-A"/>
    <x v="6"/>
    <x v="1"/>
    <x v="2"/>
    <n v="1166.22"/>
    <s v="2262.65"/>
    <x v="37"/>
    <n v="255"/>
    <n v="0"/>
    <n v="0"/>
    <n v="255"/>
    <s v="OK"/>
    <n v="297386.10000000003"/>
    <n v="0"/>
    <m/>
    <s v="Never Sold"/>
    <s v="OK BUT BE CHECKING"/>
    <s v="ACTIVE"/>
    <n v="0"/>
  </r>
  <r>
    <s v="ITEM576-A"/>
    <x v="6"/>
    <x v="1"/>
    <x v="5"/>
    <n v="1075.3399999999999"/>
    <s v="1659.57"/>
    <x v="51"/>
    <n v="765"/>
    <n v="31"/>
    <n v="3"/>
    <n v="737"/>
    <s v="OK"/>
    <n v="792525.58"/>
    <n v="51446.67"/>
    <d v="2025-05-04T00:00:00"/>
    <n v="269"/>
    <s v="OK BUT BE CHECKING"/>
    <s v="ACTIVE"/>
    <n v="0"/>
  </r>
  <r>
    <s v="ITEM577-A"/>
    <x v="7"/>
    <x v="5"/>
    <x v="10"/>
    <n v="1178.28"/>
    <s v="1470.76"/>
    <x v="87"/>
    <n v="600"/>
    <n v="0"/>
    <n v="50"/>
    <n v="650"/>
    <s v="OK"/>
    <n v="765882"/>
    <n v="0"/>
    <m/>
    <s v="Never Sold"/>
    <s v="OK BUT BE CHECKING"/>
    <s v="ACTIVE"/>
    <n v="0"/>
  </r>
  <r>
    <s v="ITEM578-A"/>
    <x v="16"/>
    <x v="6"/>
    <x v="8"/>
    <n v="258.25"/>
    <s v="297.2"/>
    <x v="18"/>
    <n v="705"/>
    <n v="0"/>
    <n v="8"/>
    <n v="713"/>
    <s v="OK"/>
    <n v="184132.25"/>
    <n v="0"/>
    <m/>
    <s v="Never Sold"/>
    <s v="OK BUT BE CHECKING"/>
    <s v="ACTIVE"/>
    <n v="0"/>
  </r>
  <r>
    <s v="ITEM579-A"/>
    <x v="32"/>
    <x v="3"/>
    <x v="2"/>
    <n v="365.18"/>
    <s v="560.56"/>
    <x v="70"/>
    <n v="435"/>
    <n v="0"/>
    <n v="8"/>
    <n v="443"/>
    <s v="OK"/>
    <n v="161774.74"/>
    <n v="0"/>
    <m/>
    <s v="Never Sold"/>
    <s v="OK BUT BE CHECKING"/>
    <s v="ACTIVE"/>
    <n v="0"/>
  </r>
  <r>
    <s v="ITEM580-A"/>
    <x v="1"/>
    <x v="1"/>
    <x v="8"/>
    <n v="1023.55"/>
    <s v="1836.64"/>
    <x v="5"/>
    <n v="1395"/>
    <n v="0"/>
    <n v="8"/>
    <n v="1403"/>
    <s v="OK"/>
    <n v="1436040.65"/>
    <n v="0"/>
    <m/>
    <s v="Never Sold"/>
    <s v="OK BUT BE CHECKING"/>
    <s v="ACTIVE"/>
    <n v="0"/>
  </r>
  <r>
    <s v="ITEM581-A"/>
    <x v="12"/>
    <x v="4"/>
    <x v="1"/>
    <n v="1307.17"/>
    <n v="1515.58"/>
    <x v="44"/>
    <n v="360"/>
    <n v="0"/>
    <n v="0"/>
    <n v="360"/>
    <s v="OK"/>
    <n v="470581.2"/>
    <n v="0"/>
    <m/>
    <s v="Never Sold"/>
    <s v="OK BUT BE CHECKING"/>
    <s v="ACTIVE"/>
    <n v="0"/>
  </r>
  <r>
    <s v="ITEM582-A"/>
    <x v="59"/>
    <x v="4"/>
    <x v="0"/>
    <n v="1965.61"/>
    <s v="2418.8"/>
    <x v="31"/>
    <n v="1425"/>
    <n v="0"/>
    <n v="0"/>
    <n v="1425"/>
    <s v="OK"/>
    <n v="2800994.25"/>
    <n v="0"/>
    <m/>
    <s v="Never Sold"/>
    <s v="OK BUT BE CHECKING"/>
    <s v="ACTIVE"/>
    <n v="0"/>
  </r>
  <r>
    <s v="ITEM583-A"/>
    <x v="32"/>
    <x v="3"/>
    <x v="7"/>
    <n v="38.08"/>
    <s v="58.81"/>
    <x v="68"/>
    <n v="1200"/>
    <n v="11"/>
    <n v="3"/>
    <n v="1192"/>
    <s v="OK"/>
    <n v="45391.360000000001"/>
    <n v="646.91000000000008"/>
    <d v="2025-07-18T00:00:00"/>
    <n v="194"/>
    <s v="OK BUT BE CHECKING"/>
    <s v="ACTIVE"/>
    <n v="0"/>
  </r>
  <r>
    <s v="ITEM584-A"/>
    <x v="34"/>
    <x v="8"/>
    <x v="0"/>
    <n v="886.72"/>
    <s v="1222.36"/>
    <x v="39"/>
    <n v="945"/>
    <n v="0"/>
    <n v="0"/>
    <n v="945"/>
    <s v="OK"/>
    <n v="837950.4"/>
    <n v="0"/>
    <m/>
    <s v="Never Sold"/>
    <s v="OK BUT BE CHECKING"/>
    <s v="ACTIVE"/>
    <n v="0"/>
  </r>
  <r>
    <s v="ITEM585-A"/>
    <x v="6"/>
    <x v="1"/>
    <x v="9"/>
    <n v="1869.43"/>
    <s v="3035.66"/>
    <x v="40"/>
    <n v="840"/>
    <n v="0"/>
    <n v="0"/>
    <n v="840"/>
    <s v="OK"/>
    <n v="1570321.2"/>
    <n v="0"/>
    <m/>
    <s v="Never Sold"/>
    <s v="OK BUT BE CHECKING"/>
    <s v="ACTIVE"/>
    <n v="0"/>
  </r>
  <r>
    <s v="ITEM586-A"/>
    <x v="7"/>
    <x v="5"/>
    <x v="1"/>
    <n v="731.57"/>
    <s v="1355.51"/>
    <x v="83"/>
    <n v="900"/>
    <n v="0"/>
    <n v="8"/>
    <n v="908"/>
    <s v="OK"/>
    <n v="664265.56000000006"/>
    <n v="0"/>
    <m/>
    <s v="Never Sold"/>
    <s v="OK BUT BE CHECKING"/>
    <s v="ACTIVE"/>
    <n v="0"/>
  </r>
  <r>
    <s v="ITEM587-A"/>
    <x v="10"/>
    <x v="5"/>
    <x v="2"/>
    <n v="101.13"/>
    <s v="157.76"/>
    <x v="68"/>
    <n v="1200"/>
    <n v="0"/>
    <n v="0"/>
    <n v="1200"/>
    <s v="OK"/>
    <n v="121356"/>
    <n v="0"/>
    <m/>
    <s v="Never Sold"/>
    <s v="OK BUT BE CHECKING"/>
    <s v="ACTIVE"/>
    <n v="0"/>
  </r>
  <r>
    <s v="ITEM588-A"/>
    <x v="50"/>
    <x v="4"/>
    <x v="9"/>
    <n v="1488.15"/>
    <s v="2339.59"/>
    <x v="49"/>
    <n v="1350"/>
    <n v="0"/>
    <n v="3"/>
    <n v="1353"/>
    <s v="OK"/>
    <n v="2013466.9500000002"/>
    <n v="0"/>
    <m/>
    <s v="Never Sold"/>
    <s v="OK BUT BE CHECKING"/>
    <s v="ACTIVE"/>
    <n v="0"/>
  </r>
  <r>
    <s v="ITEM589-A"/>
    <x v="1"/>
    <x v="1"/>
    <x v="0"/>
    <n v="1035.5899999999999"/>
    <s v="1936.37"/>
    <x v="56"/>
    <n v="1500"/>
    <n v="3"/>
    <n v="2"/>
    <n v="1499"/>
    <s v="OK"/>
    <n v="1552349.41"/>
    <n v="5809.11"/>
    <d v="2025-04-12T00:00:00"/>
    <n v="291"/>
    <s v="OK BUT BE CHECKING"/>
    <s v="ACTIVE"/>
    <n v="0"/>
  </r>
  <r>
    <s v="ITEM590-A"/>
    <x v="30"/>
    <x v="8"/>
    <x v="6"/>
    <n v="175.51"/>
    <s v="290.14"/>
    <x v="49"/>
    <n v="1350"/>
    <n v="0"/>
    <n v="13"/>
    <n v="1363"/>
    <s v="OK"/>
    <n v="239220.12999999998"/>
    <n v="0"/>
    <m/>
    <s v="Never Sold"/>
    <s v="OK BUT BE CHECKING"/>
    <s v="ACTIVE"/>
    <n v="0"/>
  </r>
  <r>
    <s v="ITEM591-A"/>
    <x v="39"/>
    <x v="9"/>
    <x v="5"/>
    <n v="363.59"/>
    <s v="489.98"/>
    <x v="38"/>
    <n v="990"/>
    <n v="0"/>
    <n v="5"/>
    <n v="995"/>
    <s v="OK"/>
    <n v="361772.05"/>
    <n v="0"/>
    <m/>
    <s v="Never Sold"/>
    <s v="OK BUT BE CHECKING"/>
    <s v="ACTIVE"/>
    <n v="0"/>
  </r>
  <r>
    <s v="ITEM592-A"/>
    <x v="3"/>
    <x v="0"/>
    <x v="9"/>
    <n v="1507.31"/>
    <s v="2886.0"/>
    <x v="9"/>
    <n v="1185"/>
    <n v="10"/>
    <n v="0"/>
    <n v="1175"/>
    <s v="OK"/>
    <n v="1771089.25"/>
    <n v="28860"/>
    <d v="2025-05-12T00:00:00"/>
    <n v="261"/>
    <s v="OK BUT BE CHECKING"/>
    <s v="ACTIVE"/>
    <n v="0"/>
  </r>
  <r>
    <s v="ITEM593-A"/>
    <x v="43"/>
    <x v="4"/>
    <x v="2"/>
    <n v="88.33"/>
    <s v="165.91"/>
    <x v="66"/>
    <n v="1380"/>
    <n v="13"/>
    <n v="0"/>
    <n v="1367"/>
    <s v="OK"/>
    <n v="120747.11"/>
    <n v="2156.83"/>
    <d v="2025-11-29T00:00:00"/>
    <n v="60"/>
    <s v="OK BUT BE CHECKING"/>
    <s v="ACTIVE"/>
    <n v="0"/>
  </r>
  <r>
    <s v="ITEM594-A"/>
    <x v="1"/>
    <x v="1"/>
    <x v="0"/>
    <n v="1914.41"/>
    <s v="2397.23"/>
    <x v="36"/>
    <n v="1005"/>
    <n v="0"/>
    <n v="55"/>
    <n v="1060"/>
    <s v="OK"/>
    <n v="2029274.6"/>
    <n v="0"/>
    <m/>
    <s v="Never Sold"/>
    <s v="OK BUT BE CHECKING"/>
    <s v="ACTIVE"/>
    <n v="0"/>
  </r>
  <r>
    <s v="ITEM595-A"/>
    <x v="71"/>
    <x v="2"/>
    <x v="4"/>
    <n v="994.98"/>
    <s v="1316.08"/>
    <x v="63"/>
    <n v="1365"/>
    <n v="0"/>
    <n v="0"/>
    <n v="1365"/>
    <s v="OK"/>
    <n v="1358147.7"/>
    <n v="0"/>
    <m/>
    <s v="Never Sold"/>
    <s v="OK BUT BE CHECKING"/>
    <s v="ACTIVE"/>
    <n v="0"/>
  </r>
  <r>
    <s v="ITEM596-A"/>
    <x v="39"/>
    <x v="9"/>
    <x v="9"/>
    <n v="1251.8499999999999"/>
    <s v="1940.77"/>
    <x v="52"/>
    <n v="975"/>
    <n v="0"/>
    <n v="0"/>
    <n v="975"/>
    <s v="OK"/>
    <n v="1220553.75"/>
    <n v="0"/>
    <m/>
    <s v="Never Sold"/>
    <s v="OK BUT BE CHECKING"/>
    <s v="ACTIVE"/>
    <n v="0"/>
  </r>
  <r>
    <s v="ITEM597-A"/>
    <x v="55"/>
    <x v="7"/>
    <x v="2"/>
    <n v="70.33"/>
    <s v="82.95"/>
    <x v="82"/>
    <n v="405"/>
    <n v="0"/>
    <n v="6"/>
    <n v="411"/>
    <s v="OK"/>
    <n v="28905.63"/>
    <n v="0"/>
    <m/>
    <s v="Never Sold"/>
    <s v="OK BUT BE CHECKING"/>
    <s v="ACTIVE"/>
    <n v="0"/>
  </r>
  <r>
    <s v="ITEM598-A"/>
    <x v="24"/>
    <x v="3"/>
    <x v="6"/>
    <n v="1132.94"/>
    <s v="1814.09"/>
    <x v="5"/>
    <n v="1395"/>
    <n v="8"/>
    <n v="4"/>
    <n v="1391"/>
    <s v="OK"/>
    <n v="1575919.54"/>
    <n v="14512.72"/>
    <d v="2025-10-30T00:00:00"/>
    <n v="90"/>
    <s v="OK BUT BE CHECKING"/>
    <s v="ACTIVE"/>
    <n v="0"/>
  </r>
  <r>
    <s v="ITEM599-A"/>
    <x v="54"/>
    <x v="6"/>
    <x v="6"/>
    <n v="1028.8599999999999"/>
    <s v="1639.28"/>
    <x v="84"/>
    <n v="1305"/>
    <n v="0"/>
    <n v="18"/>
    <n v="1323"/>
    <s v="OK"/>
    <n v="1361181.7799999998"/>
    <n v="0"/>
    <m/>
    <s v="Never Sold"/>
    <s v="OK BUT BE CHECKING"/>
    <s v="ACTIVE"/>
    <n v="0"/>
  </r>
  <r>
    <s v="ITEM600-A"/>
    <x v="24"/>
    <x v="3"/>
    <x v="2"/>
    <n v="1680.72"/>
    <s v="2126.26"/>
    <x v="53"/>
    <n v="795"/>
    <n v="0"/>
    <n v="10"/>
    <n v="805"/>
    <s v="OK"/>
    <n v="1352979.6"/>
    <n v="0"/>
    <m/>
    <s v="Never Sold"/>
    <s v="OK BUT BE CHECKING"/>
    <s v="ACTIV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8C87F-ABDD-42C1-A079-F54206F325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5" firstHeaderRow="1" firstDataRow="1" firstDataCol="1"/>
  <pivotFields count="7">
    <pivotField showAll="0"/>
    <pivotField axis="axisRow" numFmtId="14" showAll="0">
      <items count="551">
        <item x="384"/>
        <item x="147"/>
        <item x="447"/>
        <item x="217"/>
        <item x="6"/>
        <item x="271"/>
        <item x="488"/>
        <item x="546"/>
        <item x="121"/>
        <item x="427"/>
        <item x="171"/>
        <item x="243"/>
        <item x="506"/>
        <item x="70"/>
        <item x="364"/>
        <item x="193"/>
        <item x="469"/>
        <item x="320"/>
        <item x="525"/>
        <item x="100"/>
        <item x="343"/>
        <item x="405"/>
        <item x="44"/>
        <item x="297"/>
        <item x="335"/>
        <item x="3"/>
        <item x="185"/>
        <item x="377"/>
        <item x="442"/>
        <item x="517"/>
        <item x="86"/>
        <item x="419"/>
        <item x="233"/>
        <item x="26"/>
        <item x="209"/>
        <item x="257"/>
        <item x="114"/>
        <item x="354"/>
        <item x="539"/>
        <item x="285"/>
        <item x="161"/>
        <item x="397"/>
        <item x="481"/>
        <item x="58"/>
        <item x="312"/>
        <item x="137"/>
        <item x="436"/>
        <item x="495"/>
        <item x="129"/>
        <item x="327"/>
        <item x="414"/>
        <item x="153"/>
        <item x="78"/>
        <item x="251"/>
        <item x="371"/>
        <item x="477"/>
        <item x="54"/>
        <item x="201"/>
        <item x="279"/>
        <item x="534"/>
        <item x="16"/>
        <item x="456"/>
        <item x="106"/>
        <item x="175"/>
        <item x="349"/>
        <item x="36"/>
        <item x="511"/>
        <item x="227"/>
        <item x="304"/>
        <item x="92"/>
        <item x="291"/>
        <item x="425"/>
        <item x="191"/>
        <item x="467"/>
        <item x="32"/>
        <item x="341"/>
        <item x="167"/>
        <item x="403"/>
        <item x="8"/>
        <item x="543"/>
        <item x="362"/>
        <item x="143"/>
        <item x="241"/>
        <item x="486"/>
        <item x="316"/>
        <item x="521"/>
        <item x="215"/>
        <item x="265"/>
        <item x="449"/>
        <item x="68"/>
        <item x="119"/>
        <item x="473"/>
        <item x="275"/>
        <item x="508"/>
        <item x="229"/>
        <item x="347"/>
        <item x="48"/>
        <item x="409"/>
        <item x="529"/>
        <item x="205"/>
        <item x="323"/>
        <item x="104"/>
        <item x="22"/>
        <item x="388"/>
        <item x="151"/>
        <item x="431"/>
        <item x="179"/>
        <item x="368"/>
        <item x="253"/>
        <item x="492"/>
        <item x="548"/>
        <item x="125"/>
        <item x="80"/>
        <item x="497"/>
        <item x="219"/>
        <item x="445"/>
        <item x="112"/>
        <item x="287"/>
        <item x="360"/>
        <item x="195"/>
        <item x="423"/>
        <item x="40"/>
        <item x="535"/>
        <item x="318"/>
        <item x="239"/>
        <item x="401"/>
        <item x="84"/>
        <item x="513"/>
        <item x="464"/>
        <item x="141"/>
        <item x="338"/>
        <item x="18"/>
        <item x="169"/>
        <item x="263"/>
        <item x="381"/>
        <item x="62"/>
        <item x="157"/>
        <item x="458"/>
        <item x="56"/>
        <item x="310"/>
        <item x="223"/>
        <item x="412"/>
        <item x="98"/>
        <item x="183"/>
        <item x="269"/>
        <item x="440"/>
        <item x="131"/>
        <item x="494"/>
        <item x="293"/>
        <item x="351"/>
        <item x="34"/>
        <item x="247"/>
        <item x="392"/>
        <item x="76"/>
        <item x="430"/>
        <item x="333"/>
        <item x="527"/>
        <item x="203"/>
        <item x="475"/>
        <item x="12"/>
        <item x="281"/>
        <item x="490"/>
        <item x="66"/>
        <item x="345"/>
        <item x="165"/>
        <item x="544"/>
        <item x="123"/>
        <item x="386"/>
        <item x="235"/>
        <item x="329"/>
        <item x="108"/>
        <item x="523"/>
        <item x="189"/>
        <item x="407"/>
        <item x="42"/>
        <item x="306"/>
        <item x="504"/>
        <item x="90"/>
        <item x="466"/>
        <item x="211"/>
        <item x="366"/>
        <item x="259"/>
        <item x="429"/>
        <item x="145"/>
        <item x="448"/>
        <item x="20"/>
        <item x="358"/>
        <item x="50"/>
        <item x="302"/>
        <item x="177"/>
        <item x="434"/>
        <item x="375"/>
        <item x="1"/>
        <item x="267"/>
        <item x="416"/>
        <item x="135"/>
        <item x="499"/>
        <item x="321"/>
        <item x="94"/>
        <item x="221"/>
        <item x="339"/>
        <item x="471"/>
        <item x="117"/>
        <item x="537"/>
        <item x="245"/>
        <item x="451"/>
        <item x="28"/>
        <item x="515"/>
        <item x="155"/>
        <item x="289"/>
        <item x="72"/>
        <item x="197"/>
        <item x="82"/>
        <item x="149"/>
        <item x="421"/>
        <item x="295"/>
        <item x="482"/>
        <item x="102"/>
        <item x="462"/>
        <item x="336"/>
        <item x="24"/>
        <item x="399"/>
        <item x="7"/>
        <item x="249"/>
        <item x="60"/>
        <item x="273"/>
        <item x="532"/>
        <item x="314"/>
        <item x="127"/>
        <item x="379"/>
        <item x="46"/>
        <item x="199"/>
        <item x="356"/>
        <item x="173"/>
        <item x="496"/>
        <item x="225"/>
        <item x="331"/>
        <item x="394"/>
        <item x="541"/>
        <item x="237"/>
        <item x="14"/>
        <item x="64"/>
        <item x="213"/>
        <item x="308"/>
        <item x="133"/>
        <item x="519"/>
        <item x="88"/>
        <item x="261"/>
        <item x="418"/>
        <item x="159"/>
        <item x="438"/>
        <item x="373"/>
        <item x="187"/>
        <item x="283"/>
        <item x="479"/>
        <item x="110"/>
        <item x="502"/>
        <item x="38"/>
        <item x="181"/>
        <item x="530"/>
        <item x="30"/>
        <item x="325"/>
        <item x="139"/>
        <item x="410"/>
        <item x="255"/>
        <item x="277"/>
        <item x="116"/>
        <item x="454"/>
        <item x="163"/>
        <item x="9"/>
        <item x="207"/>
        <item x="52"/>
        <item x="231"/>
        <item x="74"/>
        <item x="300"/>
        <item x="96"/>
        <item x="248"/>
        <item x="478"/>
        <item x="81"/>
        <item x="374"/>
        <item x="200"/>
        <item x="334"/>
        <item x="59"/>
        <item x="417"/>
        <item x="178"/>
        <item x="536"/>
        <item x="309"/>
        <item x="37"/>
        <item x="439"/>
        <item x="107"/>
        <item x="264"/>
        <item x="132"/>
        <item x="459"/>
        <item x="288"/>
        <item x="224"/>
        <item x="395"/>
        <item x="15"/>
        <item x="156"/>
        <item x="353"/>
        <item x="450"/>
        <item x="124"/>
        <item x="236"/>
        <item x="507"/>
        <item x="49"/>
        <item x="299"/>
        <item x="170"/>
        <item x="342"/>
        <item x="489"/>
        <item x="111"/>
        <item x="367"/>
        <item x="31"/>
        <item x="146"/>
        <item x="212"/>
        <item x="324"/>
        <item x="11"/>
        <item x="71"/>
        <item x="270"/>
        <item x="387"/>
        <item x="192"/>
        <item x="470"/>
        <item x="93"/>
        <item x="380"/>
        <item x="65"/>
        <item x="463"/>
        <item x="260"/>
        <item x="5"/>
        <item x="317"/>
        <item x="428"/>
        <item x="160"/>
        <item x="503"/>
        <item x="196"/>
        <item x="337"/>
        <item x="274"/>
        <item x="136"/>
        <item x="483"/>
        <item x="45"/>
        <item x="218"/>
        <item x="294"/>
        <item x="522"/>
        <item x="402"/>
        <item x="83"/>
        <item x="242"/>
        <item x="446"/>
        <item x="359"/>
        <item x="23"/>
        <item x="182"/>
        <item x="97"/>
        <item x="230"/>
        <item x="330"/>
        <item x="39"/>
        <item x="393"/>
        <item x="455"/>
        <item x="150"/>
        <item x="510"/>
        <item x="254"/>
        <item x="101"/>
        <item x="303"/>
        <item x="13"/>
        <item x="206"/>
        <item x="75"/>
        <item x="370"/>
        <item x="174"/>
        <item x="435"/>
        <item x="53"/>
        <item x="348"/>
        <item x="126"/>
        <item x="282"/>
        <item x="415"/>
        <item x="531"/>
        <item x="398"/>
        <item x="164"/>
        <item x="61"/>
        <item x="518"/>
        <item x="422"/>
        <item x="290"/>
        <item x="140"/>
        <item x="443"/>
        <item x="115"/>
        <item x="540"/>
        <item x="357"/>
        <item x="214"/>
        <item x="268"/>
        <item x="378"/>
        <item x="25"/>
        <item x="238"/>
        <item x="500"/>
        <item x="89"/>
        <item x="313"/>
        <item x="461"/>
        <item x="188"/>
        <item x="4"/>
        <item x="526"/>
        <item x="307"/>
        <item x="158"/>
        <item x="433"/>
        <item x="352"/>
        <item x="95"/>
        <item x="493"/>
        <item x="250"/>
        <item x="372"/>
        <item x="73"/>
        <item x="474"/>
        <item x="391"/>
        <item x="180"/>
        <item x="29"/>
        <item x="328"/>
        <item x="202"/>
        <item x="134"/>
        <item x="549"/>
        <item x="413"/>
        <item x="226"/>
        <item x="452"/>
        <item x="51"/>
        <item x="278"/>
        <item x="420"/>
        <item x="284"/>
        <item x="516"/>
        <item x="383"/>
        <item x="109"/>
        <item x="210"/>
        <item x="19"/>
        <item x="322"/>
        <item x="498"/>
        <item x="67"/>
        <item x="346"/>
        <item x="234"/>
        <item x="404"/>
        <item x="538"/>
        <item x="120"/>
        <item x="168"/>
        <item x="301"/>
        <item x="485"/>
        <item x="190"/>
        <item x="43"/>
        <item x="144"/>
        <item x="363"/>
        <item x="258"/>
        <item x="87"/>
        <item x="103"/>
        <item x="355"/>
        <item x="222"/>
        <item x="33"/>
        <item x="437"/>
        <item x="246"/>
        <item x="480"/>
        <item x="152"/>
        <item x="296"/>
        <item x="396"/>
        <item x="79"/>
        <item x="457"/>
        <item x="198"/>
        <item x="272"/>
        <item x="340"/>
        <item x="10"/>
        <item x="128"/>
        <item x="319"/>
        <item x="512"/>
        <item x="376"/>
        <item x="57"/>
        <item x="176"/>
        <item x="476"/>
        <item x="138"/>
        <item x="390"/>
        <item x="547"/>
        <item x="311"/>
        <item x="85"/>
        <item x="509"/>
        <item x="232"/>
        <item x="41"/>
        <item x="460"/>
        <item x="350"/>
        <item x="184"/>
        <item x="17"/>
        <item x="426"/>
        <item x="256"/>
        <item x="63"/>
        <item x="162"/>
        <item x="280"/>
        <item x="441"/>
        <item x="208"/>
        <item x="113"/>
        <item x="332"/>
        <item x="528"/>
        <item x="408"/>
        <item x="305"/>
        <item x="432"/>
        <item x="118"/>
        <item x="369"/>
        <item x="262"/>
        <item x="186"/>
        <item x="524"/>
        <item x="286"/>
        <item x="216"/>
        <item x="389"/>
        <item x="491"/>
        <item x="166"/>
        <item x="0"/>
        <item x="99"/>
        <item x="411"/>
        <item x="240"/>
        <item x="505"/>
        <item x="326"/>
        <item x="453"/>
        <item x="69"/>
        <item x="545"/>
        <item x="472"/>
        <item x="142"/>
        <item x="35"/>
        <item x="27"/>
        <item x="204"/>
        <item x="344"/>
        <item x="276"/>
        <item x="487"/>
        <item x="122"/>
        <item x="365"/>
        <item x="533"/>
        <item x="406"/>
        <item x="252"/>
        <item x="468"/>
        <item x="148"/>
        <item x="55"/>
        <item x="514"/>
        <item x="228"/>
        <item x="105"/>
        <item x="385"/>
        <item x="2"/>
        <item x="172"/>
        <item x="298"/>
        <item x="77"/>
        <item x="244"/>
        <item x="484"/>
        <item x="21"/>
        <item x="520"/>
        <item x="194"/>
        <item x="382"/>
        <item x="444"/>
        <item x="91"/>
        <item x="501"/>
        <item x="315"/>
        <item x="47"/>
        <item x="424"/>
        <item x="220"/>
        <item x="400"/>
        <item x="266"/>
        <item x="465"/>
        <item x="130"/>
        <item x="361"/>
        <item x="542"/>
        <item x="154"/>
        <item x="292"/>
        <item t="default"/>
      </items>
    </pivotField>
    <pivotField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4"/>
    <field x="1"/>
  </rowFields>
  <rowItems count="13">
    <i>
      <x v="1"/>
    </i>
    <i>
      <x v="2"/>
    </i>
    <i>
      <x v="3"/>
    </i>
    <i>
      <x v="4"/>
    </i>
    <i>
      <x v="5"/>
    </i>
    <i>
      <x v="6"/>
    </i>
    <i>
      <x v="7"/>
    </i>
    <i>
      <x v="8"/>
    </i>
    <i>
      <x v="9"/>
    </i>
    <i>
      <x v="10"/>
    </i>
    <i>
      <x v="11"/>
    </i>
    <i>
      <x v="12"/>
    </i>
    <i t="grand">
      <x/>
    </i>
  </rowItems>
  <colItems count="1">
    <i/>
  </colItems>
  <dataFields count="1">
    <dataField name="Sum of Quantity" fld="3" baseField="0" baseItem="0" numFmtId="43"/>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65A1EA-1C20-461A-B17D-B4F1BBDFD1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91" firstHeaderRow="1" firstDataRow="1" firstDataCol="1"/>
  <pivotFields count="19">
    <pivotField showAll="0"/>
    <pivotField axis="axisRow" showAll="0">
      <items count="73">
        <item x="10"/>
        <item x="0"/>
        <item x="13"/>
        <item x="17"/>
        <item x="35"/>
        <item x="3"/>
        <item x="15"/>
        <item x="7"/>
        <item x="44"/>
        <item x="8"/>
        <item x="70"/>
        <item x="19"/>
        <item x="53"/>
        <item x="40"/>
        <item x="60"/>
        <item x="16"/>
        <item x="39"/>
        <item x="18"/>
        <item x="38"/>
        <item x="4"/>
        <item x="22"/>
        <item x="24"/>
        <item x="52"/>
        <item x="27"/>
        <item x="25"/>
        <item x="30"/>
        <item x="34"/>
        <item x="32"/>
        <item x="59"/>
        <item x="23"/>
        <item x="43"/>
        <item x="5"/>
        <item x="36"/>
        <item x="50"/>
        <item x="12"/>
        <item x="6"/>
        <item x="47"/>
        <item x="69"/>
        <item x="37"/>
        <item x="65"/>
        <item x="11"/>
        <item x="33"/>
        <item x="1"/>
        <item x="31"/>
        <item x="55"/>
        <item x="57"/>
        <item x="14"/>
        <item x="62"/>
        <item x="49"/>
        <item x="71"/>
        <item x="67"/>
        <item x="66"/>
        <item x="48"/>
        <item x="56"/>
        <item x="51"/>
        <item x="63"/>
        <item x="29"/>
        <item x="26"/>
        <item x="21"/>
        <item x="9"/>
        <item x="45"/>
        <item x="58"/>
        <item x="46"/>
        <item x="42"/>
        <item x="54"/>
        <item x="28"/>
        <item x="2"/>
        <item x="68"/>
        <item x="61"/>
        <item x="64"/>
        <item x="20"/>
        <item x="41"/>
        <item t="default"/>
      </items>
    </pivotField>
    <pivotField showAll="0">
      <items count="11">
        <item x="3"/>
        <item x="4"/>
        <item x="7"/>
        <item x="9"/>
        <item x="2"/>
        <item x="5"/>
        <item x="1"/>
        <item x="0"/>
        <item x="8"/>
        <item x="6"/>
        <item t="default"/>
      </items>
    </pivotField>
    <pivotField showAll="0">
      <items count="13">
        <item x="3"/>
        <item x="0"/>
        <item x="2"/>
        <item x="1"/>
        <item x="4"/>
        <item x="6"/>
        <item x="7"/>
        <item x="11"/>
        <item x="10"/>
        <item x="9"/>
        <item x="5"/>
        <item x="8"/>
        <item t="default"/>
      </items>
    </pivotField>
    <pivotField showAll="0"/>
    <pivotField showAll="0"/>
    <pivotField showAll="0">
      <items count="91">
        <item x="46"/>
        <item x="56"/>
        <item x="42"/>
        <item x="64"/>
        <item x="28"/>
        <item x="16"/>
        <item x="24"/>
        <item x="23"/>
        <item x="37"/>
        <item x="72"/>
        <item x="60"/>
        <item x="25"/>
        <item x="27"/>
        <item x="61"/>
        <item x="59"/>
        <item x="44"/>
        <item x="55"/>
        <item x="57"/>
        <item x="82"/>
        <item x="21"/>
        <item x="70"/>
        <item x="13"/>
        <item x="35"/>
        <item x="85"/>
        <item x="22"/>
        <item x="62"/>
        <item x="89"/>
        <item x="0"/>
        <item x="67"/>
        <item x="65"/>
        <item x="11"/>
        <item x="87"/>
        <item x="77"/>
        <item x="80"/>
        <item x="8"/>
        <item x="88"/>
        <item x="17"/>
        <item x="48"/>
        <item x="18"/>
        <item x="1"/>
        <item x="3"/>
        <item x="20"/>
        <item x="51"/>
        <item x="6"/>
        <item x="53"/>
        <item x="7"/>
        <item x="15"/>
        <item x="40"/>
        <item x="50"/>
        <item x="78"/>
        <item x="19"/>
        <item x="83"/>
        <item x="76"/>
        <item x="79"/>
        <item x="39"/>
        <item x="10"/>
        <item x="52"/>
        <item x="38"/>
        <item x="36"/>
        <item x="74"/>
        <item x="69"/>
        <item x="41"/>
        <item x="33"/>
        <item x="54"/>
        <item x="71"/>
        <item x="58"/>
        <item x="26"/>
        <item x="34"/>
        <item x="29"/>
        <item x="73"/>
        <item x="9"/>
        <item x="68"/>
        <item x="4"/>
        <item x="30"/>
        <item x="14"/>
        <item x="12"/>
        <item x="32"/>
        <item x="75"/>
        <item x="84"/>
        <item x="2"/>
        <item x="86"/>
        <item x="49"/>
        <item x="63"/>
        <item x="66"/>
        <item x="5"/>
        <item x="43"/>
        <item x="31"/>
        <item x="47"/>
        <item x="45"/>
        <item x="81"/>
        <item t="default"/>
      </items>
    </pivotField>
    <pivotField numFmtId="43" showAll="0"/>
    <pivotField dataField="1" numFmtId="43" showAll="0"/>
    <pivotField numFmtId="43" showAll="0"/>
    <pivotField numFmtId="43" showAll="0"/>
    <pivotField showAll="0"/>
    <pivotField numFmtId="43" showAll="0"/>
    <pivotField numFmtId="43" showAll="0"/>
    <pivotField showAll="0"/>
    <pivotField showAll="0"/>
    <pivotField showAll="0"/>
    <pivotField showAll="0"/>
    <pivotField numFmtId="43" showAll="0"/>
  </pivotFields>
  <rowFields count="1">
    <field x="1"/>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Total Qty Sold" fld="8" baseField="0" baseItem="0" numFmtId="43"/>
  </dataFields>
  <formats count="12">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
      <pivotArea dataOnly="0" labelOnly="1" fieldPosition="0">
        <references count="1">
          <reference field="1" count="22">
            <x v="50"/>
            <x v="51"/>
            <x v="52"/>
            <x v="53"/>
            <x v="54"/>
            <x v="55"/>
            <x v="56"/>
            <x v="57"/>
            <x v="58"/>
            <x v="59"/>
            <x v="60"/>
            <x v="61"/>
            <x v="62"/>
            <x v="63"/>
            <x v="64"/>
            <x v="65"/>
            <x v="66"/>
            <x v="67"/>
            <x v="68"/>
            <x v="69"/>
            <x v="70"/>
            <x v="71"/>
          </reference>
        </references>
      </pivotArea>
    </format>
    <format dxfId="12">
      <pivotArea dataOnly="0" labelOnly="1" grandRow="1" outline="0" fieldPosition="0"/>
    </format>
    <format dxfId="11">
      <pivotArea dataOnly="0" labelOnly="1" outline="0" axis="axisValues" fieldPosition="0"/>
    </format>
    <format dxfId="10">
      <pivotArea collapsedLevelsAreSubtotals="1" fieldPosition="0">
        <references count="1">
          <reference field="1" count="0"/>
        </references>
      </pivotArea>
    </format>
    <format dxfId="9">
      <pivotArea field="1" type="button" dataOnly="0" labelOnly="1" outline="0" axis="axisRow" fieldPosition="0"/>
    </format>
    <format dxfId="8">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1" count="22">
            <x v="50"/>
            <x v="51"/>
            <x v="52"/>
            <x v="53"/>
            <x v="54"/>
            <x v="55"/>
            <x v="56"/>
            <x v="57"/>
            <x v="58"/>
            <x v="59"/>
            <x v="60"/>
            <x v="61"/>
            <x v="62"/>
            <x v="63"/>
            <x v="64"/>
            <x v="65"/>
            <x v="66"/>
            <x v="67"/>
            <x v="68"/>
            <x v="69"/>
            <x v="70"/>
            <x v="71"/>
          </reference>
        </references>
      </pivotArea>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F275F1-7973-4C6E-9BFD-8E0F31F5960C}" sourceName="Category">
  <pivotTables>
    <pivotTable tabId="9" name="PivotTable3"/>
  </pivotTables>
  <data>
    <tabular pivotCacheId="1140150004">
      <items count="10">
        <i x="3" s="1"/>
        <i x="4" s="1"/>
        <i x="7" s="1"/>
        <i x="9" s="1"/>
        <i x="2" s="1"/>
        <i x="5" s="1"/>
        <i x="1" s="1"/>
        <i x="0"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5E707E1D-871C-4292-AD2D-9D07D30F9D00}" sourceName="Item Name">
  <pivotTables>
    <pivotTable tabId="9" name="PivotTable3"/>
  </pivotTables>
  <data>
    <tabular pivotCacheId="1140150004">
      <items count="72">
        <i x="10" s="1"/>
        <i x="0" s="1"/>
        <i x="13" s="1"/>
        <i x="17" s="1"/>
        <i x="35" s="1"/>
        <i x="3" s="1"/>
        <i x="15" s="1"/>
        <i x="7" s="1"/>
        <i x="44" s="1"/>
        <i x="8" s="1"/>
        <i x="70" s="1"/>
        <i x="19" s="1"/>
        <i x="53" s="1"/>
        <i x="40" s="1"/>
        <i x="60" s="1"/>
        <i x="16" s="1"/>
        <i x="39" s="1"/>
        <i x="18" s="1"/>
        <i x="38" s="1"/>
        <i x="4" s="1"/>
        <i x="22" s="1"/>
        <i x="24" s="1"/>
        <i x="52" s="1"/>
        <i x="27" s="1"/>
        <i x="25" s="1"/>
        <i x="30" s="1"/>
        <i x="34" s="1"/>
        <i x="32" s="1"/>
        <i x="59" s="1"/>
        <i x="23" s="1"/>
        <i x="43" s="1"/>
        <i x="5" s="1"/>
        <i x="36" s="1"/>
        <i x="50" s="1"/>
        <i x="12" s="1"/>
        <i x="6" s="1"/>
        <i x="47" s="1"/>
        <i x="69" s="1"/>
        <i x="37" s="1"/>
        <i x="65" s="1"/>
        <i x="11" s="1"/>
        <i x="33" s="1"/>
        <i x="1" s="1"/>
        <i x="31" s="1"/>
        <i x="55" s="1"/>
        <i x="57" s="1"/>
        <i x="14" s="1"/>
        <i x="62" s="1"/>
        <i x="49" s="1"/>
        <i x="71" s="1"/>
        <i x="67" s="1"/>
        <i x="66" s="1"/>
        <i x="48" s="1"/>
        <i x="56" s="1"/>
        <i x="51" s="1"/>
        <i x="63" s="1"/>
        <i x="29" s="1"/>
        <i x="26" s="1"/>
        <i x="21" s="1"/>
        <i x="9" s="1"/>
        <i x="45" s="1"/>
        <i x="58" s="1"/>
        <i x="46" s="1"/>
        <i x="42" s="1"/>
        <i x="54" s="1"/>
        <i x="28" s="1"/>
        <i x="2" s="1"/>
        <i x="68" s="1"/>
        <i x="61" s="1"/>
        <i x="64" s="1"/>
        <i x="20" s="1"/>
        <i x="4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EC0DD43D-9917-4245-99C2-F2D40CF9B984}" sourceName="Supplier">
  <pivotTables>
    <pivotTable tabId="9" name="PivotTable3"/>
  </pivotTables>
  <data>
    <tabular pivotCacheId="1140150004">
      <items count="12">
        <i x="3" s="1"/>
        <i x="0" s="1"/>
        <i x="2" s="1"/>
        <i x="1" s="1"/>
        <i x="4" s="1"/>
        <i x="6" s="1"/>
        <i x="7" s="1"/>
        <i x="11" s="1"/>
        <i x="10" s="1"/>
        <i x="9" s="1"/>
        <i x="5"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_order_Level" xr10:uid="{00C29822-8CA3-45A8-9773-D95B05595CDD}" sourceName="Re order Level">
  <pivotTables>
    <pivotTable tabId="9" name="PivotTable3"/>
  </pivotTables>
  <data>
    <tabular pivotCacheId="1140150004">
      <items count="90">
        <i x="46" s="1"/>
        <i x="56" s="1"/>
        <i x="42" s="1"/>
        <i x="64" s="1"/>
        <i x="28" s="1"/>
        <i x="16" s="1"/>
        <i x="24" s="1"/>
        <i x="23" s="1"/>
        <i x="37" s="1"/>
        <i x="72" s="1"/>
        <i x="60" s="1"/>
        <i x="25" s="1"/>
        <i x="27" s="1"/>
        <i x="61" s="1"/>
        <i x="59" s="1"/>
        <i x="44" s="1"/>
        <i x="55" s="1"/>
        <i x="57" s="1"/>
        <i x="82" s="1"/>
        <i x="21" s="1"/>
        <i x="70" s="1"/>
        <i x="13" s="1"/>
        <i x="35" s="1"/>
        <i x="85" s="1"/>
        <i x="22" s="1"/>
        <i x="62" s="1"/>
        <i x="89" s="1"/>
        <i x="0" s="1"/>
        <i x="67" s="1"/>
        <i x="65" s="1"/>
        <i x="11" s="1"/>
        <i x="87" s="1"/>
        <i x="77" s="1"/>
        <i x="80" s="1"/>
        <i x="8" s="1"/>
        <i x="88" s="1"/>
        <i x="17" s="1"/>
        <i x="48" s="1"/>
        <i x="18" s="1"/>
        <i x="1" s="1"/>
        <i x="3" s="1"/>
        <i x="20" s="1"/>
        <i x="51" s="1"/>
        <i x="6" s="1"/>
        <i x="53" s="1"/>
        <i x="7" s="1"/>
        <i x="15" s="1"/>
        <i x="40" s="1"/>
        <i x="50" s="1"/>
        <i x="78" s="1"/>
        <i x="19" s="1"/>
        <i x="83" s="1"/>
        <i x="76" s="1"/>
        <i x="79" s="1"/>
        <i x="39" s="1"/>
        <i x="10" s="1"/>
        <i x="52" s="1"/>
        <i x="38" s="1"/>
        <i x="36" s="1"/>
        <i x="74" s="1"/>
        <i x="69" s="1"/>
        <i x="41" s="1"/>
        <i x="33" s="1"/>
        <i x="54" s="1"/>
        <i x="71" s="1"/>
        <i x="58" s="1"/>
        <i x="26" s="1"/>
        <i x="34" s="1"/>
        <i x="29" s="1"/>
        <i x="73" s="1"/>
        <i x="9" s="1"/>
        <i x="68" s="1"/>
        <i x="4" s="1"/>
        <i x="30" s="1"/>
        <i x="14" s="1"/>
        <i x="12" s="1"/>
        <i x="32" s="1"/>
        <i x="75" s="1"/>
        <i x="84" s="1"/>
        <i x="2" s="1"/>
        <i x="86" s="1"/>
        <i x="49" s="1"/>
        <i x="63" s="1"/>
        <i x="66" s="1"/>
        <i x="5" s="1"/>
        <i x="43" s="1"/>
        <i x="31" s="1"/>
        <i x="47" s="1"/>
        <i x="45"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A9F6613-FE18-4078-8209-5D82274E376F}" cache="Slicer_Category" caption="Category" rowHeight="241300"/>
  <slicer name="Item Name" xr10:uid="{036384E7-01B5-478E-A620-C4F5D4AE5AF0}" cache="Slicer_Item_Name" caption="Item Name" rowHeight="241300"/>
  <slicer name="Supplier" xr10:uid="{608E1FB5-40A0-40F1-A6FD-D7CC4F743909}" cache="Slicer_Supplier" caption="Supplier" rowHeight="241300"/>
  <slicer name="Re order Level" xr10:uid="{7023C6C4-BB7D-44AC-819A-80F127E8B8F4}" cache="Slicer_Re_order_Level" caption="Re order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22F9D8-6E1E-467B-94F0-DAA77FDE36D0}" name="Table1" displayName="Table1" ref="A1:G601" totalsRowShown="0" headerRowDxfId="77" headerRowBorderDxfId="76" tableBorderDxfId="75" totalsRowBorderDxfId="74" headerRowCellStyle="Comma">
  <autoFilter ref="A1:G601" xr:uid="{2622F9D8-6E1E-467B-94F0-DAA77FDE36D0}"/>
  <tableColumns count="7">
    <tableColumn id="1" xr3:uid="{DE600400-43D1-4E31-B6A6-1BCEA4182027}" name="Item ID" dataDxfId="73"/>
    <tableColumn id="2" xr3:uid="{9B0A1589-00D8-460B-AD56-1037B30732D5}" name="Item Name" dataDxfId="72"/>
    <tableColumn id="3" xr3:uid="{D8EDF0BC-7059-46A3-A7EB-3AF950D4BD1E}" name="Category" dataDxfId="71"/>
    <tableColumn id="4" xr3:uid="{AC46B364-4FC4-43CF-81FE-A20F1AAB5D01}" name="Supplier" dataDxfId="70"/>
    <tableColumn id="5" xr3:uid="{41FAB4AF-006A-4DB4-8781-D6AD7CC76BDF}" name="Unit cost" dataDxfId="69" dataCellStyle="Comma"/>
    <tableColumn id="6" xr3:uid="{0A723712-3FB6-4680-9CB3-2DB8B291B0D1}" name="Unit Price" dataDxfId="68" dataCellStyle="Comma"/>
    <tableColumn id="7" xr3:uid="{7635D19A-B989-4654-82FD-4EDCF2B2510E}" name="Re order Level" dataDxfId="67"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9938B4-76B9-4864-8ECB-9B33BCC609B5}" name="Table2" displayName="Table2" ref="A1:E601" totalsRowShown="0" headerRowDxfId="66" dataDxfId="64" headerRowBorderDxfId="65" tableBorderDxfId="63" totalsRowBorderDxfId="62">
  <autoFilter ref="A1:E601" xr:uid="{C99938B4-76B9-4864-8ECB-9B33BCC609B5}"/>
  <tableColumns count="5">
    <tableColumn id="1" xr3:uid="{3019058D-9B87-4326-81A3-4AC970C15FA0}" name="Item ID" dataDxfId="61"/>
    <tableColumn id="2" xr3:uid="{700F7926-7B54-436E-B67F-D7E41EEA8090}" name="ItemName" dataDxfId="60"/>
    <tableColumn id="3" xr3:uid="{03EC7DF0-719C-44D0-A5CE-518DA644A192}" name="Category" dataDxfId="59"/>
    <tableColumn id="4" xr3:uid="{7EAF1E1A-517F-401F-A3CE-F2FAF8050300}" name="Supplier" dataDxfId="58"/>
    <tableColumn id="5" xr3:uid="{9EFC2B97-106D-4A77-9EE1-296A83BD1944}" name="Opening Qty" dataDxfId="57">
      <calculatedColumnFormula>'Inventory master'!G2*2*7.5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0E3839-87E5-4304-9979-DA3BFEDCCB65}" name="Table3" displayName="Table3" ref="A1:D605" totalsRowShown="0" headerRowDxfId="56" headerRowBorderDxfId="55" tableBorderDxfId="54" totalsRowBorderDxfId="53">
  <autoFilter ref="A1:D605" xr:uid="{810E3839-87E5-4304-9979-DA3BFEDCCB65}"/>
  <tableColumns count="4">
    <tableColumn id="1" xr3:uid="{F98B8AF2-2A1B-4013-B555-E3BF6EC5E2E3}" name="Sales ID" dataDxfId="52"/>
    <tableColumn id="2" xr3:uid="{C27E7B75-C6D8-4255-AE67-0154639A61B2}" name="Date" dataDxfId="51"/>
    <tableColumn id="3" xr3:uid="{9029F1C5-7DF0-4639-8D95-3EFD418F37C8}" name="Item ID" dataDxfId="50"/>
    <tableColumn id="4" xr3:uid="{2BB5A423-D2DF-4287-B6A6-5001218BFCC8}" name="Quantity" dataDxfId="49"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0A19D7-46D0-45D2-80F3-65371B2C3335}" name="Table4" displayName="Table4" ref="A1:D601" totalsRowShown="0" headerRowDxfId="48" headerRowBorderDxfId="47" tableBorderDxfId="46" totalsRowBorderDxfId="45">
  <autoFilter ref="A1:D601" xr:uid="{150A19D7-46D0-45D2-80F3-65371B2C3335}"/>
  <tableColumns count="4">
    <tableColumn id="1" xr3:uid="{A724478B-D9B5-4886-9873-6E45BA712D72}" name="Purchase ID" dataDxfId="44"/>
    <tableColumn id="2" xr3:uid="{3631EF62-CFF2-4D86-9688-07281227B490}" name="Date" dataDxfId="43"/>
    <tableColumn id="3" xr3:uid="{6973A54E-3254-4E68-BDF7-2D48EE9AC9D3}" name="Item ID" dataDxfId="42"/>
    <tableColumn id="4" xr3:uid="{51077B76-DD62-47CD-AC5B-75F0C09703B1}" name="Quantity Purchased" dataDxfId="41"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7022E-3028-4054-B8E6-AF77EBDF15B4}" name="Table5" displayName="Table5" ref="A1:S601" totalsRowShown="0" headerRowDxfId="40" headerRowBorderDxfId="39" tableBorderDxfId="38" totalsRowBorderDxfId="37">
  <autoFilter ref="A1:S601" xr:uid="{D907022E-3028-4054-B8E6-AF77EBDF15B4}"/>
  <tableColumns count="19">
    <tableColumn id="1" xr3:uid="{3632325E-B17E-44D2-A303-6A364CACC864}" name="Item ID" dataDxfId="36">
      <calculatedColumnFormula>'Inventory master'!A2</calculatedColumnFormula>
    </tableColumn>
    <tableColumn id="2" xr3:uid="{853CD195-6F4F-4E8E-9F3B-88B7082FA77B}" name="Item Name" dataDxfId="35">
      <calculatedColumnFormula>'Inventory master'!B2</calculatedColumnFormula>
    </tableColumn>
    <tableColumn id="3" xr3:uid="{3AFC487A-B4B1-4672-A0E5-867F281E6AAC}" name="Category" dataDxfId="34">
      <calculatedColumnFormula>'Inventory master'!C2</calculatedColumnFormula>
    </tableColumn>
    <tableColumn id="4" xr3:uid="{894A6EE1-4EC7-4EA7-90EB-F453C50EFB5A}" name="Supplier" dataDxfId="33">
      <calculatedColumnFormula>'Inventory master'!D2</calculatedColumnFormula>
    </tableColumn>
    <tableColumn id="5" xr3:uid="{C0C75EF7-388C-4DBC-9F54-3F41F45AE2B5}" name="Unit Cost" dataDxfId="32">
      <calculatedColumnFormula>'Inventory master'!E2</calculatedColumnFormula>
    </tableColumn>
    <tableColumn id="6" xr3:uid="{210BA2BC-4F99-4B02-AEDF-272502849CE3}" name="Unit Price" dataDxfId="31">
      <calculatedColumnFormula>'Inventory master'!F2</calculatedColumnFormula>
    </tableColumn>
    <tableColumn id="7" xr3:uid="{D128A4CF-7C0F-4155-B4CB-20D5BF646007}" name="Re order Level" dataDxfId="30">
      <calculatedColumnFormula>'Inventory master'!G2</calculatedColumnFormula>
    </tableColumn>
    <tableColumn id="8" xr3:uid="{D15D7AFD-9FFC-4296-ABBD-ACDF74A4E998}" name="Opening Stock" dataDxfId="29" dataCellStyle="Comma">
      <calculatedColumnFormula>IFERROR(_xlfn.XLOOKUP(A2, 'Opening stock'!A2:A601, 'Opening stock'!E2:E601), "")</calculatedColumnFormula>
    </tableColumn>
    <tableColumn id="9" xr3:uid="{E78B6DF8-A443-424D-9573-F91932FB9E90}" name="Total Qty Sold" dataDxfId="28" dataCellStyle="Comma">
      <calculatedColumnFormula>IFERROR(SUMIF(Table3[Item ID],'Inventory calculations'!A2,Table3[Quantity]),0)</calculatedColumnFormula>
    </tableColumn>
    <tableColumn id="10" xr3:uid="{AE9E36EC-F4B7-4414-B2A9-9143A5825D09}" name="Total qty Purchased" dataDxfId="27" dataCellStyle="Comma">
      <calculatedColumnFormula>IFERROR(SUMIF(Table4[Item ID],'Inventory calculations'!A2,Table4[Quantity Purchased]),0)</calculatedColumnFormula>
    </tableColumn>
    <tableColumn id="11" xr3:uid="{3920230F-EBD0-4028-83D7-AB910BF3AD57}" name="Current stock" dataDxfId="26">
      <calculatedColumnFormula>H2+J2-I2</calculatedColumnFormula>
    </tableColumn>
    <tableColumn id="12" xr3:uid="{DF4844A0-DBE8-4C4A-9B2A-33769BEED4E7}" name="Stock Validation" dataDxfId="25">
      <calculatedColumnFormula>IF(K2&lt;0,"STOCK ISSUE","OK")</calculatedColumnFormula>
    </tableColumn>
    <tableColumn id="13" xr3:uid="{54431989-4E06-4CA6-AC6F-BC849D2768B4}" name="Inventory Value" dataDxfId="24" dataCellStyle="Comma">
      <calculatedColumnFormula>K2*E2</calculatedColumnFormula>
    </tableColumn>
    <tableColumn id="14" xr3:uid="{2C8BF36D-54FA-4AB5-9BE6-1847E4374253}" name="Total Revenue" dataDxfId="23" dataCellStyle="Comma">
      <calculatedColumnFormula>Table5[[#This Row],[Total Qty Sold]]*Table5[[#This Row],[Unit Price]]</calculatedColumnFormula>
    </tableColumn>
    <tableColumn id="15" xr3:uid="{08751592-653B-4248-9A4A-C048F2E06BB9}" name="Last sale Date" dataDxfId="22">
      <calculatedColumnFormula>IFERROR(_xlfn.MAXIFS(Table3[Date],Table3[Item ID],Table5[[#This Row],[Item ID]]),"")</calculatedColumnFormula>
    </tableColumn>
    <tableColumn id="16" xr3:uid="{747CD941-4BA4-4A6F-B64E-E54313091152}" name="Days Since Last Sale" dataDxfId="21" dataCellStyle="Comma">
      <calculatedColumnFormula>IF(Table5[[#This Row],[Last sale Date]]="","Never Sold",TODAY()-Table5[[#This Row],[Last sale Date]])</calculatedColumnFormula>
    </tableColumn>
    <tableColumn id="17" xr3:uid="{9FBBFCF5-61A4-4770-8965-4B1494F83DDF}" name="Reorder Flag" dataDxfId="20">
      <calculatedColumnFormula>IF(Table5[[#This Row],[Re order Level]]&lt;=Table5[[#This Row],[Current stock]],"ORDERASAP","OK BUT BE CHECKING")</calculatedColumnFormula>
    </tableColumn>
    <tableColumn id="18" xr3:uid="{B01658D4-9688-4921-A4C9-41AD0BA0A81D}" name="DEADSTOCK FLAG" dataDxfId="19">
      <calculatedColumnFormula>IF(AND(ISNUMBER(B2), B2 &gt; 60), "DEAD", "ACTIVE")</calculatedColumnFormula>
    </tableColumn>
    <tableColumn id="19" xr3:uid="{7CD2FACD-010A-4271-93D7-9F1B8F02D2E2}" name="DEADSTOCK VALUE" dataDxfId="18" dataCellStyle="Comma">
      <calculatedColumnFormula>IF(Table5[[#This Row],[DEADSTOCK FLAG]]="DEAD",Table5[[#This Row],[Inventory Value]],0)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32F7-BB72-4535-88A2-46BC5F885E86}">
  <dimension ref="A6:D10"/>
  <sheetViews>
    <sheetView tabSelected="1" zoomScale="60" zoomScaleNormal="60" workbookViewId="0">
      <pane ySplit="5" topLeftCell="A6" activePane="bottomLeft" state="frozen"/>
      <selection pane="bottomLeft" activeCell="E27" sqref="E27"/>
    </sheetView>
  </sheetViews>
  <sheetFormatPr defaultRowHeight="10.5" x14ac:dyDescent="0.25"/>
  <cols>
    <col min="1" max="1" width="31.1796875" style="5" bestFit="1" customWidth="1"/>
    <col min="2" max="3" width="8.7265625" style="5"/>
    <col min="4" max="4" width="24.90625" style="5" bestFit="1" customWidth="1"/>
    <col min="5" max="16384" width="8.7265625" style="5"/>
  </cols>
  <sheetData>
    <row r="6" spans="1:4" ht="23.5" x14ac:dyDescent="0.55000000000000004">
      <c r="A6" s="46" t="s">
        <v>3172</v>
      </c>
      <c r="D6" s="46" t="s">
        <v>3160</v>
      </c>
    </row>
    <row r="7" spans="1:4" ht="23.5" x14ac:dyDescent="0.55000000000000004">
      <c r="A7" s="47">
        <f>SUM(Table5[Current stock])</f>
        <v>506999</v>
      </c>
      <c r="D7" s="47">
        <f>SUM(Table5[Inventory Value])</f>
        <v>488461614.99999994</v>
      </c>
    </row>
    <row r="8" spans="1:4" ht="23.5" x14ac:dyDescent="0.55000000000000004">
      <c r="A8" s="46" t="s">
        <v>3173</v>
      </c>
      <c r="D8" s="46" t="s">
        <v>3174</v>
      </c>
    </row>
    <row r="9" spans="1:4" ht="23.5" x14ac:dyDescent="0.55000000000000004">
      <c r="A9" s="47">
        <f>SUM(Table5[Total Qty Sold])</f>
        <v>5324</v>
      </c>
      <c r="D9" s="47" cm="1">
        <f t="array" ref="D9">SUM(Table5[Total Revenue])/(SUM(Table5[Current stock]/600))</f>
        <v>10724.906893307481</v>
      </c>
    </row>
    <row r="10" spans="1:4" ht="285.5" customHeight="1" x14ac:dyDescent="0.25"/>
  </sheetData>
  <pageMargins left="0.7" right="0.7" top="0.75" bottom="0.75" header="0.3" footer="0.3"/>
  <pageSetup scale="83"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1"/>
  <sheetViews>
    <sheetView workbookViewId="0">
      <pane xSplit="1" ySplit="1" topLeftCell="B2" activePane="bottomRight" state="frozen"/>
      <selection pane="topRight" activeCell="B1" sqref="B1"/>
      <selection pane="bottomLeft" activeCell="A2" sqref="A2"/>
      <selection pane="bottomRight" activeCell="G6" sqref="G6"/>
    </sheetView>
  </sheetViews>
  <sheetFormatPr defaultRowHeight="10.5" x14ac:dyDescent="0.25"/>
  <cols>
    <col min="1" max="1" width="7.26953125" style="5" customWidth="1"/>
    <col min="2" max="2" width="18.81640625" style="5" bestFit="1" customWidth="1"/>
    <col min="3" max="3" width="11.453125" style="5" bestFit="1" customWidth="1"/>
    <col min="4" max="4" width="10.7265625" style="5" bestFit="1" customWidth="1"/>
    <col min="5" max="5" width="9.26953125" style="3" customWidth="1"/>
    <col min="6" max="6" width="9.81640625" style="4" customWidth="1"/>
    <col min="7" max="7" width="12.6328125" style="4" customWidth="1"/>
    <col min="8" max="16384" width="8.7265625" style="5"/>
  </cols>
  <sheetData>
    <row r="1" spans="1:7" s="1" customFormat="1" x14ac:dyDescent="0.25">
      <c r="A1" s="19" t="s">
        <v>0</v>
      </c>
      <c r="B1" s="20" t="s">
        <v>1</v>
      </c>
      <c r="C1" s="20" t="s">
        <v>2</v>
      </c>
      <c r="D1" s="20" t="s">
        <v>3</v>
      </c>
      <c r="E1" s="21" t="s">
        <v>4</v>
      </c>
      <c r="F1" s="22" t="s">
        <v>5</v>
      </c>
      <c r="G1" s="23" t="s">
        <v>6</v>
      </c>
    </row>
    <row r="2" spans="1:7" x14ac:dyDescent="0.25">
      <c r="A2" s="12" t="s">
        <v>1344</v>
      </c>
      <c r="B2" s="6" t="s">
        <v>7</v>
      </c>
      <c r="C2" s="6" t="s">
        <v>8</v>
      </c>
      <c r="D2" s="6" t="s">
        <v>9</v>
      </c>
      <c r="E2" s="7">
        <v>1186.19</v>
      </c>
      <c r="F2" s="8" t="s">
        <v>10</v>
      </c>
      <c r="G2" s="13" t="s">
        <v>11</v>
      </c>
    </row>
    <row r="3" spans="1:7" x14ac:dyDescent="0.25">
      <c r="A3" s="12" t="s">
        <v>1345</v>
      </c>
      <c r="B3" s="6" t="s">
        <v>12</v>
      </c>
      <c r="C3" s="6" t="s">
        <v>13</v>
      </c>
      <c r="D3" s="6" t="s">
        <v>14</v>
      </c>
      <c r="E3" s="7">
        <v>808.73</v>
      </c>
      <c r="F3" s="8" t="s">
        <v>15</v>
      </c>
      <c r="G3" s="13" t="s">
        <v>16</v>
      </c>
    </row>
    <row r="4" spans="1:7" x14ac:dyDescent="0.25">
      <c r="A4" s="12" t="s">
        <v>1346</v>
      </c>
      <c r="B4" s="6" t="s">
        <v>17</v>
      </c>
      <c r="C4" s="6" t="s">
        <v>18</v>
      </c>
      <c r="D4" s="6" t="s">
        <v>19</v>
      </c>
      <c r="E4" s="7">
        <v>1199.96</v>
      </c>
      <c r="F4" s="8" t="s">
        <v>20</v>
      </c>
      <c r="G4" s="13" t="s">
        <v>21</v>
      </c>
    </row>
    <row r="5" spans="1:7" x14ac:dyDescent="0.25">
      <c r="A5" s="12" t="s">
        <v>1347</v>
      </c>
      <c r="B5" s="6" t="s">
        <v>22</v>
      </c>
      <c r="C5" s="6" t="s">
        <v>8</v>
      </c>
      <c r="D5" s="6" t="s">
        <v>23</v>
      </c>
      <c r="E5" s="7">
        <v>9.4600000000000009</v>
      </c>
      <c r="F5" s="8" t="s">
        <v>24</v>
      </c>
      <c r="G5" s="13" t="s">
        <v>25</v>
      </c>
    </row>
    <row r="6" spans="1:7" x14ac:dyDescent="0.25">
      <c r="A6" s="12" t="s">
        <v>1348</v>
      </c>
      <c r="B6" s="6" t="s">
        <v>26</v>
      </c>
      <c r="C6" s="6" t="s">
        <v>27</v>
      </c>
      <c r="D6" s="6" t="s">
        <v>28</v>
      </c>
      <c r="E6" s="7">
        <v>1844.49</v>
      </c>
      <c r="F6" s="8" t="s">
        <v>29</v>
      </c>
      <c r="G6" s="13" t="s">
        <v>30</v>
      </c>
    </row>
    <row r="7" spans="1:7" x14ac:dyDescent="0.25">
      <c r="A7" s="12" t="s">
        <v>1349</v>
      </c>
      <c r="B7" s="6" t="s">
        <v>31</v>
      </c>
      <c r="C7" s="6" t="s">
        <v>32</v>
      </c>
      <c r="D7" s="6" t="s">
        <v>28</v>
      </c>
      <c r="E7" s="7">
        <v>876.82</v>
      </c>
      <c r="F7" s="8" t="s">
        <v>33</v>
      </c>
      <c r="G7" s="13" t="s">
        <v>34</v>
      </c>
    </row>
    <row r="8" spans="1:7" x14ac:dyDescent="0.25">
      <c r="A8" s="12" t="s">
        <v>1350</v>
      </c>
      <c r="B8" s="6" t="s">
        <v>35</v>
      </c>
      <c r="C8" s="6" t="s">
        <v>13</v>
      </c>
      <c r="D8" s="6" t="s">
        <v>36</v>
      </c>
      <c r="E8" s="7">
        <v>435.21</v>
      </c>
      <c r="F8" s="8" t="s">
        <v>37</v>
      </c>
      <c r="G8" s="13" t="s">
        <v>38</v>
      </c>
    </row>
    <row r="9" spans="1:7" x14ac:dyDescent="0.25">
      <c r="A9" s="12" t="s">
        <v>1351</v>
      </c>
      <c r="B9" s="6" t="s">
        <v>12</v>
      </c>
      <c r="C9" s="6" t="s">
        <v>13</v>
      </c>
      <c r="D9" s="6" t="s">
        <v>14</v>
      </c>
      <c r="E9" s="7">
        <v>839.56</v>
      </c>
      <c r="F9" s="8" t="s">
        <v>39</v>
      </c>
      <c r="G9" s="13" t="s">
        <v>40</v>
      </c>
    </row>
    <row r="10" spans="1:7" x14ac:dyDescent="0.25">
      <c r="A10" s="12" t="s">
        <v>1352</v>
      </c>
      <c r="B10" s="6" t="s">
        <v>41</v>
      </c>
      <c r="C10" s="6" t="s">
        <v>42</v>
      </c>
      <c r="D10" s="6" t="s">
        <v>14</v>
      </c>
      <c r="E10" s="7">
        <v>494.2</v>
      </c>
      <c r="F10" s="8" t="s">
        <v>44</v>
      </c>
      <c r="G10" s="13" t="s">
        <v>45</v>
      </c>
    </row>
    <row r="11" spans="1:7" x14ac:dyDescent="0.25">
      <c r="A11" s="12" t="s">
        <v>1353</v>
      </c>
      <c r="B11" s="6" t="s">
        <v>47</v>
      </c>
      <c r="C11" s="6" t="s">
        <v>42</v>
      </c>
      <c r="D11" s="6" t="s">
        <v>23</v>
      </c>
      <c r="E11" s="7">
        <v>197.97</v>
      </c>
      <c r="F11" s="8" t="s">
        <v>48</v>
      </c>
      <c r="G11" s="13" t="s">
        <v>49</v>
      </c>
    </row>
    <row r="12" spans="1:7" x14ac:dyDescent="0.25">
      <c r="A12" s="12" t="s">
        <v>1354</v>
      </c>
      <c r="B12" s="6" t="s">
        <v>51</v>
      </c>
      <c r="C12" s="6" t="s">
        <v>52</v>
      </c>
      <c r="D12" s="6" t="s">
        <v>53</v>
      </c>
      <c r="E12" s="7">
        <v>622.51</v>
      </c>
      <c r="F12" s="8" t="s">
        <v>54</v>
      </c>
      <c r="G12" s="13" t="s">
        <v>55</v>
      </c>
    </row>
    <row r="13" spans="1:7" x14ac:dyDescent="0.25">
      <c r="A13" s="12" t="s">
        <v>1355</v>
      </c>
      <c r="B13" s="6" t="s">
        <v>57</v>
      </c>
      <c r="C13" s="6" t="s">
        <v>42</v>
      </c>
      <c r="D13" s="6" t="s">
        <v>58</v>
      </c>
      <c r="E13" s="7">
        <v>1245.47</v>
      </c>
      <c r="F13" s="8" t="s">
        <v>59</v>
      </c>
      <c r="G13" s="13" t="s">
        <v>60</v>
      </c>
    </row>
    <row r="14" spans="1:7" x14ac:dyDescent="0.25">
      <c r="A14" s="12" t="s">
        <v>1356</v>
      </c>
      <c r="B14" s="6" t="s">
        <v>62</v>
      </c>
      <c r="C14" s="6" t="s">
        <v>63</v>
      </c>
      <c r="D14" s="6" t="s">
        <v>36</v>
      </c>
      <c r="E14" s="7">
        <v>332.17</v>
      </c>
      <c r="F14" s="8" t="s">
        <v>64</v>
      </c>
      <c r="G14" s="13" t="s">
        <v>65</v>
      </c>
    </row>
    <row r="15" spans="1:7" x14ac:dyDescent="0.25">
      <c r="A15" s="12" t="s">
        <v>1357</v>
      </c>
      <c r="B15" s="6" t="s">
        <v>7</v>
      </c>
      <c r="C15" s="6" t="s">
        <v>8</v>
      </c>
      <c r="D15" s="6" t="s">
        <v>53</v>
      </c>
      <c r="E15" s="7">
        <v>1172.0899999999999</v>
      </c>
      <c r="F15" s="8" t="s">
        <v>67</v>
      </c>
      <c r="G15" s="13" t="s">
        <v>68</v>
      </c>
    </row>
    <row r="16" spans="1:7" x14ac:dyDescent="0.25">
      <c r="A16" s="12" t="s">
        <v>1358</v>
      </c>
      <c r="B16" s="6" t="s">
        <v>70</v>
      </c>
      <c r="C16" s="6" t="s">
        <v>32</v>
      </c>
      <c r="D16" s="6" t="s">
        <v>19</v>
      </c>
      <c r="E16" s="7">
        <v>612.21</v>
      </c>
      <c r="F16" s="8" t="s">
        <v>71</v>
      </c>
      <c r="G16" s="13" t="s">
        <v>72</v>
      </c>
    </row>
    <row r="17" spans="1:7" x14ac:dyDescent="0.25">
      <c r="A17" s="12" t="s">
        <v>1359</v>
      </c>
      <c r="B17" s="6" t="s">
        <v>74</v>
      </c>
      <c r="C17" s="6" t="s">
        <v>8</v>
      </c>
      <c r="D17" s="6" t="s">
        <v>19</v>
      </c>
      <c r="E17" s="7">
        <v>205.86</v>
      </c>
      <c r="F17" s="8" t="s">
        <v>75</v>
      </c>
      <c r="G17" s="13" t="s">
        <v>76</v>
      </c>
    </row>
    <row r="18" spans="1:7" x14ac:dyDescent="0.25">
      <c r="A18" s="12" t="s">
        <v>1360</v>
      </c>
      <c r="B18" s="6" t="s">
        <v>12</v>
      </c>
      <c r="C18" s="6" t="s">
        <v>13</v>
      </c>
      <c r="D18" s="6" t="s">
        <v>78</v>
      </c>
      <c r="E18" s="7" t="s">
        <v>79</v>
      </c>
      <c r="F18" s="8" t="s">
        <v>80</v>
      </c>
      <c r="G18" s="13" t="s">
        <v>66</v>
      </c>
    </row>
    <row r="19" spans="1:7" x14ac:dyDescent="0.25">
      <c r="A19" s="12" t="s">
        <v>1361</v>
      </c>
      <c r="B19" s="6" t="s">
        <v>82</v>
      </c>
      <c r="C19" s="6" t="s">
        <v>63</v>
      </c>
      <c r="D19" s="6" t="s">
        <v>23</v>
      </c>
      <c r="E19" s="7" t="s">
        <v>83</v>
      </c>
      <c r="F19" s="8" t="s">
        <v>84</v>
      </c>
      <c r="G19" s="13" t="s">
        <v>85</v>
      </c>
    </row>
    <row r="20" spans="1:7" x14ac:dyDescent="0.25">
      <c r="A20" s="12" t="s">
        <v>1362</v>
      </c>
      <c r="B20" s="6" t="s">
        <v>87</v>
      </c>
      <c r="C20" s="6" t="s">
        <v>42</v>
      </c>
      <c r="D20" s="6" t="s">
        <v>78</v>
      </c>
      <c r="E20" s="7" t="s">
        <v>88</v>
      </c>
      <c r="F20" s="8" t="s">
        <v>89</v>
      </c>
      <c r="G20" s="13" t="s">
        <v>85</v>
      </c>
    </row>
    <row r="21" spans="1:7" x14ac:dyDescent="0.25">
      <c r="A21" s="12" t="s">
        <v>1363</v>
      </c>
      <c r="B21" s="6" t="s">
        <v>47</v>
      </c>
      <c r="C21" s="6" t="s">
        <v>42</v>
      </c>
      <c r="D21" s="6" t="s">
        <v>91</v>
      </c>
      <c r="E21" s="7" t="s">
        <v>92</v>
      </c>
      <c r="F21" s="8" t="s">
        <v>93</v>
      </c>
      <c r="G21" s="13" t="s">
        <v>94</v>
      </c>
    </row>
    <row r="22" spans="1:7" x14ac:dyDescent="0.25">
      <c r="A22" s="12" t="s">
        <v>1364</v>
      </c>
      <c r="B22" s="6" t="s">
        <v>35</v>
      </c>
      <c r="C22" s="6" t="s">
        <v>13</v>
      </c>
      <c r="D22" s="6" t="s">
        <v>28</v>
      </c>
      <c r="E22" s="7" t="s">
        <v>96</v>
      </c>
      <c r="F22" s="8" t="s">
        <v>97</v>
      </c>
      <c r="G22" s="13" t="s">
        <v>98</v>
      </c>
    </row>
    <row r="23" spans="1:7" x14ac:dyDescent="0.25">
      <c r="A23" s="12" t="s">
        <v>1365</v>
      </c>
      <c r="B23" s="6" t="s">
        <v>100</v>
      </c>
      <c r="C23" s="6" t="s">
        <v>52</v>
      </c>
      <c r="D23" s="6" t="s">
        <v>101</v>
      </c>
      <c r="E23" s="7" t="s">
        <v>102</v>
      </c>
      <c r="F23" s="8" t="s">
        <v>103</v>
      </c>
      <c r="G23" s="13" t="s">
        <v>104</v>
      </c>
    </row>
    <row r="24" spans="1:7" x14ac:dyDescent="0.25">
      <c r="A24" s="12" t="s">
        <v>1366</v>
      </c>
      <c r="B24" s="6" t="s">
        <v>74</v>
      </c>
      <c r="C24" s="6" t="s">
        <v>8</v>
      </c>
      <c r="D24" s="6" t="s">
        <v>36</v>
      </c>
      <c r="E24" s="7" t="s">
        <v>106</v>
      </c>
      <c r="F24" s="8" t="s">
        <v>107</v>
      </c>
      <c r="G24" s="13" t="s">
        <v>108</v>
      </c>
    </row>
    <row r="25" spans="1:7" x14ac:dyDescent="0.25">
      <c r="A25" s="12" t="s">
        <v>1367</v>
      </c>
      <c r="B25" s="6" t="s">
        <v>110</v>
      </c>
      <c r="C25" s="6" t="s">
        <v>8</v>
      </c>
      <c r="D25" s="6" t="s">
        <v>78</v>
      </c>
      <c r="E25" s="7" t="s">
        <v>111</v>
      </c>
      <c r="F25" s="8" t="s">
        <v>112</v>
      </c>
      <c r="G25" s="13" t="s">
        <v>25</v>
      </c>
    </row>
    <row r="26" spans="1:7" x14ac:dyDescent="0.25">
      <c r="A26" s="12" t="s">
        <v>1368</v>
      </c>
      <c r="B26" s="6" t="s">
        <v>41</v>
      </c>
      <c r="C26" s="6" t="s">
        <v>42</v>
      </c>
      <c r="D26" s="6" t="s">
        <v>91</v>
      </c>
      <c r="E26" s="7" t="s">
        <v>114</v>
      </c>
      <c r="F26" s="8" t="s">
        <v>115</v>
      </c>
      <c r="G26" s="13" t="s">
        <v>116</v>
      </c>
    </row>
    <row r="27" spans="1:7" x14ac:dyDescent="0.25">
      <c r="A27" s="12" t="s">
        <v>1369</v>
      </c>
      <c r="B27" s="6" t="s">
        <v>118</v>
      </c>
      <c r="C27" s="6" t="s">
        <v>63</v>
      </c>
      <c r="D27" s="6" t="s">
        <v>23</v>
      </c>
      <c r="E27" s="7" t="s">
        <v>119</v>
      </c>
      <c r="F27" s="8" t="s">
        <v>120</v>
      </c>
      <c r="G27" s="13" t="s">
        <v>73</v>
      </c>
    </row>
    <row r="28" spans="1:7" x14ac:dyDescent="0.25">
      <c r="A28" s="12" t="s">
        <v>1370</v>
      </c>
      <c r="B28" s="6" t="s">
        <v>122</v>
      </c>
      <c r="C28" s="6" t="s">
        <v>18</v>
      </c>
      <c r="D28" s="6" t="s">
        <v>123</v>
      </c>
      <c r="E28" s="7" t="s">
        <v>124</v>
      </c>
      <c r="F28" s="8" t="s">
        <v>125</v>
      </c>
      <c r="G28" s="13" t="s">
        <v>69</v>
      </c>
    </row>
    <row r="29" spans="1:7" x14ac:dyDescent="0.25">
      <c r="A29" s="12" t="s">
        <v>1371</v>
      </c>
      <c r="B29" s="6" t="s">
        <v>126</v>
      </c>
      <c r="C29" s="6" t="s">
        <v>63</v>
      </c>
      <c r="D29" s="6" t="s">
        <v>91</v>
      </c>
      <c r="E29" s="7" t="s">
        <v>127</v>
      </c>
      <c r="F29" s="8" t="s">
        <v>128</v>
      </c>
      <c r="G29" s="13" t="s">
        <v>90</v>
      </c>
    </row>
    <row r="30" spans="1:7" x14ac:dyDescent="0.25">
      <c r="A30" s="12" t="s">
        <v>1372</v>
      </c>
      <c r="B30" s="6" t="s">
        <v>57</v>
      </c>
      <c r="C30" s="6" t="s">
        <v>42</v>
      </c>
      <c r="D30" s="6" t="s">
        <v>28</v>
      </c>
      <c r="E30" s="7" t="s">
        <v>130</v>
      </c>
      <c r="F30" s="8" t="s">
        <v>131</v>
      </c>
      <c r="G30" s="13" t="s">
        <v>132</v>
      </c>
    </row>
    <row r="31" spans="1:7" x14ac:dyDescent="0.25">
      <c r="A31" s="12" t="s">
        <v>1373</v>
      </c>
      <c r="B31" s="6" t="s">
        <v>133</v>
      </c>
      <c r="C31" s="6" t="s">
        <v>52</v>
      </c>
      <c r="D31" s="6" t="s">
        <v>23</v>
      </c>
      <c r="E31" s="7" t="s">
        <v>134</v>
      </c>
      <c r="F31" s="8" t="s">
        <v>135</v>
      </c>
      <c r="G31" s="13" t="s">
        <v>21</v>
      </c>
    </row>
    <row r="32" spans="1:7" x14ac:dyDescent="0.25">
      <c r="A32" s="12" t="s">
        <v>1374</v>
      </c>
      <c r="B32" s="6" t="s">
        <v>22</v>
      </c>
      <c r="C32" s="6" t="s">
        <v>8</v>
      </c>
      <c r="D32" s="6" t="s">
        <v>19</v>
      </c>
      <c r="E32" s="7" t="s">
        <v>137</v>
      </c>
      <c r="F32" s="8" t="s">
        <v>138</v>
      </c>
      <c r="G32" s="13" t="s">
        <v>95</v>
      </c>
    </row>
    <row r="33" spans="1:7" x14ac:dyDescent="0.25">
      <c r="A33" s="12" t="s">
        <v>1375</v>
      </c>
      <c r="B33" s="6" t="s">
        <v>82</v>
      </c>
      <c r="C33" s="6" t="s">
        <v>63</v>
      </c>
      <c r="D33" s="6" t="s">
        <v>14</v>
      </c>
      <c r="E33" s="7" t="s">
        <v>140</v>
      </c>
      <c r="F33" s="8" t="s">
        <v>141</v>
      </c>
      <c r="G33" s="13" t="s">
        <v>61</v>
      </c>
    </row>
    <row r="34" spans="1:7" x14ac:dyDescent="0.25">
      <c r="A34" s="12" t="s">
        <v>1376</v>
      </c>
      <c r="B34" s="6" t="s">
        <v>142</v>
      </c>
      <c r="C34" s="6" t="s">
        <v>27</v>
      </c>
      <c r="D34" s="6" t="s">
        <v>28</v>
      </c>
      <c r="E34" s="7" t="s">
        <v>143</v>
      </c>
      <c r="F34" s="8" t="s">
        <v>144</v>
      </c>
      <c r="G34" s="13" t="s">
        <v>98</v>
      </c>
    </row>
    <row r="35" spans="1:7" x14ac:dyDescent="0.25">
      <c r="A35" s="12" t="s">
        <v>1377</v>
      </c>
      <c r="B35" s="6" t="s">
        <v>82</v>
      </c>
      <c r="C35" s="6" t="s">
        <v>63</v>
      </c>
      <c r="D35" s="6" t="s">
        <v>78</v>
      </c>
      <c r="E35" s="7" t="s">
        <v>146</v>
      </c>
      <c r="F35" s="8" t="s">
        <v>147</v>
      </c>
      <c r="G35" s="13" t="s">
        <v>148</v>
      </c>
    </row>
    <row r="36" spans="1:7" x14ac:dyDescent="0.25">
      <c r="A36" s="12" t="s">
        <v>1378</v>
      </c>
      <c r="B36" s="6" t="s">
        <v>150</v>
      </c>
      <c r="C36" s="6" t="s">
        <v>32</v>
      </c>
      <c r="D36" s="6" t="s">
        <v>123</v>
      </c>
      <c r="E36" s="7" t="s">
        <v>151</v>
      </c>
      <c r="F36" s="8" t="s">
        <v>152</v>
      </c>
      <c r="G36" s="13" t="s">
        <v>153</v>
      </c>
    </row>
    <row r="37" spans="1:7" x14ac:dyDescent="0.25">
      <c r="A37" s="12" t="s">
        <v>1379</v>
      </c>
      <c r="B37" s="6" t="s">
        <v>142</v>
      </c>
      <c r="C37" s="6" t="s">
        <v>27</v>
      </c>
      <c r="D37" s="6" t="s">
        <v>9</v>
      </c>
      <c r="E37" s="7" t="s">
        <v>154</v>
      </c>
      <c r="F37" s="8" t="s">
        <v>155</v>
      </c>
      <c r="G37" s="13" t="s">
        <v>85</v>
      </c>
    </row>
    <row r="38" spans="1:7" x14ac:dyDescent="0.25">
      <c r="A38" s="12" t="s">
        <v>1380</v>
      </c>
      <c r="B38" s="6" t="s">
        <v>157</v>
      </c>
      <c r="C38" s="6" t="s">
        <v>27</v>
      </c>
      <c r="D38" s="6" t="s">
        <v>28</v>
      </c>
      <c r="E38" s="7" t="s">
        <v>158</v>
      </c>
      <c r="F38" s="8" t="s">
        <v>159</v>
      </c>
      <c r="G38" s="13" t="s">
        <v>148</v>
      </c>
    </row>
    <row r="39" spans="1:7" x14ac:dyDescent="0.25">
      <c r="A39" s="12" t="s">
        <v>1381</v>
      </c>
      <c r="B39" s="6" t="s">
        <v>110</v>
      </c>
      <c r="C39" s="6" t="s">
        <v>8</v>
      </c>
      <c r="D39" s="6" t="s">
        <v>23</v>
      </c>
      <c r="E39" s="7" t="s">
        <v>161</v>
      </c>
      <c r="F39" s="8" t="s">
        <v>162</v>
      </c>
      <c r="G39" s="13" t="s">
        <v>94</v>
      </c>
    </row>
    <row r="40" spans="1:7" x14ac:dyDescent="0.25">
      <c r="A40" s="12" t="s">
        <v>1382</v>
      </c>
      <c r="B40" s="6" t="s">
        <v>163</v>
      </c>
      <c r="C40" s="6" t="s">
        <v>164</v>
      </c>
      <c r="D40" s="6" t="s">
        <v>53</v>
      </c>
      <c r="E40" s="7" t="s">
        <v>165</v>
      </c>
      <c r="F40" s="8" t="s">
        <v>166</v>
      </c>
      <c r="G40" s="13" t="s">
        <v>167</v>
      </c>
    </row>
    <row r="41" spans="1:7" x14ac:dyDescent="0.25">
      <c r="A41" s="12" t="s">
        <v>1383</v>
      </c>
      <c r="B41" s="6" t="s">
        <v>163</v>
      </c>
      <c r="C41" s="6" t="s">
        <v>164</v>
      </c>
      <c r="D41" s="6" t="s">
        <v>53</v>
      </c>
      <c r="E41" s="7" t="s">
        <v>169</v>
      </c>
      <c r="F41" s="8" t="s">
        <v>170</v>
      </c>
      <c r="G41" s="13" t="s">
        <v>65</v>
      </c>
    </row>
    <row r="42" spans="1:7" x14ac:dyDescent="0.25">
      <c r="A42" s="12" t="s">
        <v>1384</v>
      </c>
      <c r="B42" s="6" t="s">
        <v>35</v>
      </c>
      <c r="C42" s="6" t="s">
        <v>13</v>
      </c>
      <c r="D42" s="6" t="s">
        <v>101</v>
      </c>
      <c r="E42" s="7" t="s">
        <v>172</v>
      </c>
      <c r="F42" s="8" t="s">
        <v>173</v>
      </c>
      <c r="G42" s="13" t="s">
        <v>174</v>
      </c>
    </row>
    <row r="43" spans="1:7" x14ac:dyDescent="0.25">
      <c r="A43" s="12" t="s">
        <v>1385</v>
      </c>
      <c r="B43" s="6" t="s">
        <v>126</v>
      </c>
      <c r="C43" s="6" t="s">
        <v>63</v>
      </c>
      <c r="D43" s="6" t="s">
        <v>58</v>
      </c>
      <c r="E43" s="7" t="s">
        <v>176</v>
      </c>
      <c r="F43" s="8" t="s">
        <v>177</v>
      </c>
      <c r="G43" s="13" t="s">
        <v>94</v>
      </c>
    </row>
    <row r="44" spans="1:7" x14ac:dyDescent="0.25">
      <c r="A44" s="12" t="s">
        <v>1386</v>
      </c>
      <c r="B44" s="6" t="s">
        <v>178</v>
      </c>
      <c r="C44" s="6" t="s">
        <v>179</v>
      </c>
      <c r="D44" s="6" t="s">
        <v>14</v>
      </c>
      <c r="E44" s="7" t="s">
        <v>180</v>
      </c>
      <c r="F44" s="8" t="s">
        <v>181</v>
      </c>
      <c r="G44" s="13" t="s">
        <v>182</v>
      </c>
    </row>
    <row r="45" spans="1:7" x14ac:dyDescent="0.25">
      <c r="A45" s="12" t="s">
        <v>1387</v>
      </c>
      <c r="B45" s="6" t="s">
        <v>184</v>
      </c>
      <c r="C45" s="6" t="s">
        <v>164</v>
      </c>
      <c r="D45" s="6" t="s">
        <v>9</v>
      </c>
      <c r="E45" s="7" t="s">
        <v>185</v>
      </c>
      <c r="F45" s="8" t="s">
        <v>186</v>
      </c>
      <c r="G45" s="13" t="s">
        <v>148</v>
      </c>
    </row>
    <row r="46" spans="1:7" x14ac:dyDescent="0.25">
      <c r="A46" s="12" t="s">
        <v>1388</v>
      </c>
      <c r="B46" s="6" t="s">
        <v>187</v>
      </c>
      <c r="C46" s="6" t="s">
        <v>18</v>
      </c>
      <c r="D46" s="6" t="s">
        <v>78</v>
      </c>
      <c r="E46" s="7" t="s">
        <v>188</v>
      </c>
      <c r="F46" s="8" t="s">
        <v>189</v>
      </c>
      <c r="G46" s="13" t="s">
        <v>190</v>
      </c>
    </row>
    <row r="47" spans="1:7" x14ac:dyDescent="0.25">
      <c r="A47" s="12" t="s">
        <v>1389</v>
      </c>
      <c r="B47" s="6" t="s">
        <v>12</v>
      </c>
      <c r="C47" s="6" t="s">
        <v>13</v>
      </c>
      <c r="D47" s="6" t="s">
        <v>23</v>
      </c>
      <c r="E47" s="7" t="s">
        <v>192</v>
      </c>
      <c r="F47" s="8" t="s">
        <v>193</v>
      </c>
      <c r="G47" s="13" t="s">
        <v>136</v>
      </c>
    </row>
    <row r="48" spans="1:7" x14ac:dyDescent="0.25">
      <c r="A48" s="12" t="s">
        <v>1390</v>
      </c>
      <c r="B48" s="6" t="s">
        <v>51</v>
      </c>
      <c r="C48" s="6" t="s">
        <v>52</v>
      </c>
      <c r="D48" s="6" t="s">
        <v>53</v>
      </c>
      <c r="E48" s="7" t="s">
        <v>194</v>
      </c>
      <c r="F48" s="8" t="s">
        <v>195</v>
      </c>
      <c r="G48" s="13" t="s">
        <v>196</v>
      </c>
    </row>
    <row r="49" spans="1:7" x14ac:dyDescent="0.25">
      <c r="A49" s="12" t="s">
        <v>1391</v>
      </c>
      <c r="B49" s="6" t="s">
        <v>197</v>
      </c>
      <c r="C49" s="6" t="s">
        <v>18</v>
      </c>
      <c r="D49" s="6" t="s">
        <v>123</v>
      </c>
      <c r="E49" s="7" t="s">
        <v>198</v>
      </c>
      <c r="F49" s="8" t="s">
        <v>199</v>
      </c>
      <c r="G49" s="13" t="s">
        <v>77</v>
      </c>
    </row>
    <row r="50" spans="1:7" x14ac:dyDescent="0.25">
      <c r="A50" s="12" t="s">
        <v>1392</v>
      </c>
      <c r="B50" s="6" t="s">
        <v>35</v>
      </c>
      <c r="C50" s="6" t="s">
        <v>13</v>
      </c>
      <c r="D50" s="6" t="s">
        <v>53</v>
      </c>
      <c r="E50" s="7" t="s">
        <v>200</v>
      </c>
      <c r="F50" s="8" t="s">
        <v>201</v>
      </c>
      <c r="G50" s="13" t="s">
        <v>40</v>
      </c>
    </row>
    <row r="51" spans="1:7" x14ac:dyDescent="0.25">
      <c r="A51" s="12" t="s">
        <v>1393</v>
      </c>
      <c r="B51" s="6" t="s">
        <v>133</v>
      </c>
      <c r="C51" s="6" t="s">
        <v>52</v>
      </c>
      <c r="D51" s="6" t="s">
        <v>9</v>
      </c>
      <c r="E51" s="7" t="s">
        <v>202</v>
      </c>
      <c r="F51" s="8" t="s">
        <v>203</v>
      </c>
      <c r="G51" s="13" t="s">
        <v>204</v>
      </c>
    </row>
    <row r="52" spans="1:7" x14ac:dyDescent="0.25">
      <c r="A52" s="12" t="s">
        <v>1394</v>
      </c>
      <c r="B52" s="6" t="s">
        <v>51</v>
      </c>
      <c r="C52" s="6" t="s">
        <v>52</v>
      </c>
      <c r="D52" s="6" t="s">
        <v>53</v>
      </c>
      <c r="E52" s="7" t="s">
        <v>206</v>
      </c>
      <c r="F52" s="8" t="s">
        <v>207</v>
      </c>
      <c r="G52" s="13" t="s">
        <v>208</v>
      </c>
    </row>
    <row r="53" spans="1:7" x14ac:dyDescent="0.25">
      <c r="A53" s="12" t="s">
        <v>1395</v>
      </c>
      <c r="B53" s="6" t="s">
        <v>17</v>
      </c>
      <c r="C53" s="6" t="s">
        <v>18</v>
      </c>
      <c r="D53" s="6" t="s">
        <v>123</v>
      </c>
      <c r="E53" s="7" t="s">
        <v>209</v>
      </c>
      <c r="F53" s="8" t="s">
        <v>210</v>
      </c>
      <c r="G53" s="13" t="s">
        <v>73</v>
      </c>
    </row>
    <row r="54" spans="1:7" x14ac:dyDescent="0.25">
      <c r="A54" s="12" t="s">
        <v>1396</v>
      </c>
      <c r="B54" s="6" t="s">
        <v>22</v>
      </c>
      <c r="C54" s="6" t="s">
        <v>8</v>
      </c>
      <c r="D54" s="6" t="s">
        <v>58</v>
      </c>
      <c r="E54" s="7" t="s">
        <v>212</v>
      </c>
      <c r="F54" s="8" t="s">
        <v>213</v>
      </c>
      <c r="G54" s="13" t="s">
        <v>72</v>
      </c>
    </row>
    <row r="55" spans="1:7" x14ac:dyDescent="0.25">
      <c r="A55" s="12" t="s">
        <v>1397</v>
      </c>
      <c r="B55" s="6" t="s">
        <v>214</v>
      </c>
      <c r="C55" s="6" t="s">
        <v>164</v>
      </c>
      <c r="D55" s="6" t="s">
        <v>91</v>
      </c>
      <c r="E55" s="7" t="s">
        <v>215</v>
      </c>
      <c r="F55" s="8" t="s">
        <v>216</v>
      </c>
      <c r="G55" s="13" t="s">
        <v>217</v>
      </c>
    </row>
    <row r="56" spans="1:7" x14ac:dyDescent="0.25">
      <c r="A56" s="12" t="s">
        <v>1398</v>
      </c>
      <c r="B56" s="6" t="s">
        <v>12</v>
      </c>
      <c r="C56" s="6" t="s">
        <v>13</v>
      </c>
      <c r="D56" s="6" t="s">
        <v>9</v>
      </c>
      <c r="E56" s="7" t="s">
        <v>218</v>
      </c>
      <c r="F56" s="8" t="s">
        <v>219</v>
      </c>
      <c r="G56" s="13" t="s">
        <v>220</v>
      </c>
    </row>
    <row r="57" spans="1:7" x14ac:dyDescent="0.25">
      <c r="A57" s="12" t="s">
        <v>1399</v>
      </c>
      <c r="B57" s="6" t="s">
        <v>12</v>
      </c>
      <c r="C57" s="6" t="s">
        <v>13</v>
      </c>
      <c r="D57" s="6" t="s">
        <v>53</v>
      </c>
      <c r="E57" s="7" t="s">
        <v>221</v>
      </c>
      <c r="F57" s="8" t="s">
        <v>222</v>
      </c>
      <c r="G57" s="13" t="s">
        <v>50</v>
      </c>
    </row>
    <row r="58" spans="1:7" x14ac:dyDescent="0.25">
      <c r="A58" s="12" t="s">
        <v>1400</v>
      </c>
      <c r="B58" s="6" t="s">
        <v>157</v>
      </c>
      <c r="C58" s="6" t="s">
        <v>27</v>
      </c>
      <c r="D58" s="6" t="s">
        <v>91</v>
      </c>
      <c r="E58" s="7" t="s">
        <v>224</v>
      </c>
      <c r="F58" s="8" t="s">
        <v>225</v>
      </c>
      <c r="G58" s="13" t="s">
        <v>226</v>
      </c>
    </row>
    <row r="59" spans="1:7" x14ac:dyDescent="0.25">
      <c r="A59" s="12" t="s">
        <v>1401</v>
      </c>
      <c r="B59" s="6" t="s">
        <v>228</v>
      </c>
      <c r="C59" s="6" t="s">
        <v>63</v>
      </c>
      <c r="D59" s="6" t="s">
        <v>14</v>
      </c>
      <c r="E59" s="7" t="s">
        <v>229</v>
      </c>
      <c r="F59" s="8" t="s">
        <v>230</v>
      </c>
      <c r="G59" s="13" t="s">
        <v>11</v>
      </c>
    </row>
    <row r="60" spans="1:7" x14ac:dyDescent="0.25">
      <c r="A60" s="12" t="s">
        <v>1402</v>
      </c>
      <c r="B60" s="6" t="s">
        <v>57</v>
      </c>
      <c r="C60" s="6" t="s">
        <v>42</v>
      </c>
      <c r="D60" s="6" t="s">
        <v>9</v>
      </c>
      <c r="E60" s="7" t="s">
        <v>231</v>
      </c>
      <c r="F60" s="8" t="s">
        <v>232</v>
      </c>
      <c r="G60" s="13" t="s">
        <v>109</v>
      </c>
    </row>
    <row r="61" spans="1:7" x14ac:dyDescent="0.25">
      <c r="A61" s="12" t="s">
        <v>1403</v>
      </c>
      <c r="B61" s="6" t="s">
        <v>214</v>
      </c>
      <c r="C61" s="6" t="s">
        <v>164</v>
      </c>
      <c r="D61" s="6" t="s">
        <v>58</v>
      </c>
      <c r="E61" s="7" t="s">
        <v>234</v>
      </c>
      <c r="F61" s="8" t="s">
        <v>235</v>
      </c>
      <c r="G61" s="13" t="s">
        <v>49</v>
      </c>
    </row>
    <row r="62" spans="1:7" x14ac:dyDescent="0.25">
      <c r="A62" s="12" t="s">
        <v>1404</v>
      </c>
      <c r="B62" s="6" t="s">
        <v>17</v>
      </c>
      <c r="C62" s="6" t="s">
        <v>18</v>
      </c>
      <c r="D62" s="6" t="s">
        <v>23</v>
      </c>
      <c r="E62" s="7" t="s">
        <v>237</v>
      </c>
      <c r="F62" s="8" t="s">
        <v>238</v>
      </c>
      <c r="G62" s="13" t="s">
        <v>239</v>
      </c>
    </row>
    <row r="63" spans="1:7" x14ac:dyDescent="0.25">
      <c r="A63" s="12" t="s">
        <v>1405</v>
      </c>
      <c r="B63" s="6" t="s">
        <v>241</v>
      </c>
      <c r="C63" s="6" t="s">
        <v>27</v>
      </c>
      <c r="D63" s="6" t="s">
        <v>91</v>
      </c>
      <c r="E63" s="7" t="s">
        <v>242</v>
      </c>
      <c r="F63" s="8" t="s">
        <v>243</v>
      </c>
      <c r="G63" s="13" t="s">
        <v>46</v>
      </c>
    </row>
    <row r="64" spans="1:7" x14ac:dyDescent="0.25">
      <c r="A64" s="12" t="s">
        <v>1406</v>
      </c>
      <c r="B64" s="6" t="s">
        <v>35</v>
      </c>
      <c r="C64" s="6" t="s">
        <v>13</v>
      </c>
      <c r="D64" s="6" t="s">
        <v>58</v>
      </c>
      <c r="E64" s="7" t="s">
        <v>244</v>
      </c>
      <c r="F64" s="8" t="s">
        <v>245</v>
      </c>
      <c r="G64" s="13" t="s">
        <v>38</v>
      </c>
    </row>
    <row r="65" spans="1:7" x14ac:dyDescent="0.25">
      <c r="A65" s="12" t="s">
        <v>1407</v>
      </c>
      <c r="B65" s="6" t="s">
        <v>100</v>
      </c>
      <c r="C65" s="6" t="s">
        <v>52</v>
      </c>
      <c r="D65" s="6" t="s">
        <v>58</v>
      </c>
      <c r="E65" s="7" t="s">
        <v>246</v>
      </c>
      <c r="F65" s="8" t="s">
        <v>247</v>
      </c>
      <c r="G65" s="13" t="s">
        <v>248</v>
      </c>
    </row>
    <row r="66" spans="1:7" x14ac:dyDescent="0.25">
      <c r="A66" s="12" t="s">
        <v>1408</v>
      </c>
      <c r="B66" s="6" t="s">
        <v>250</v>
      </c>
      <c r="C66" s="6" t="s">
        <v>63</v>
      </c>
      <c r="D66" s="6" t="s">
        <v>14</v>
      </c>
      <c r="E66" s="7" t="s">
        <v>251</v>
      </c>
      <c r="F66" s="8" t="s">
        <v>252</v>
      </c>
      <c r="G66" s="13" t="s">
        <v>191</v>
      </c>
    </row>
    <row r="67" spans="1:7" x14ac:dyDescent="0.25">
      <c r="A67" s="12" t="s">
        <v>1409</v>
      </c>
      <c r="B67" s="6" t="s">
        <v>12</v>
      </c>
      <c r="C67" s="6" t="s">
        <v>13</v>
      </c>
      <c r="D67" s="6" t="s">
        <v>23</v>
      </c>
      <c r="E67" s="7" t="s">
        <v>253</v>
      </c>
      <c r="F67" s="8" t="s">
        <v>254</v>
      </c>
      <c r="G67" s="13" t="s">
        <v>204</v>
      </c>
    </row>
    <row r="68" spans="1:7" x14ac:dyDescent="0.25">
      <c r="A68" s="12" t="s">
        <v>1410</v>
      </c>
      <c r="B68" s="6" t="s">
        <v>255</v>
      </c>
      <c r="C68" s="6" t="s">
        <v>164</v>
      </c>
      <c r="D68" s="6" t="s">
        <v>14</v>
      </c>
      <c r="E68" s="7" t="s">
        <v>256</v>
      </c>
      <c r="F68" s="8" t="s">
        <v>257</v>
      </c>
      <c r="G68" s="13" t="s">
        <v>239</v>
      </c>
    </row>
    <row r="69" spans="1:7" x14ac:dyDescent="0.25">
      <c r="A69" s="12" t="s">
        <v>1411</v>
      </c>
      <c r="B69" s="6" t="s">
        <v>7</v>
      </c>
      <c r="C69" s="6" t="s">
        <v>8</v>
      </c>
      <c r="D69" s="6" t="s">
        <v>23</v>
      </c>
      <c r="E69" s="7" t="s">
        <v>259</v>
      </c>
      <c r="F69" s="8" t="s">
        <v>260</v>
      </c>
      <c r="G69" s="13" t="s">
        <v>261</v>
      </c>
    </row>
    <row r="70" spans="1:7" x14ac:dyDescent="0.25">
      <c r="A70" s="12" t="s">
        <v>1412</v>
      </c>
      <c r="B70" s="6" t="s">
        <v>263</v>
      </c>
      <c r="C70" s="6" t="s">
        <v>8</v>
      </c>
      <c r="D70" s="6" t="s">
        <v>28</v>
      </c>
      <c r="E70" s="7" t="s">
        <v>264</v>
      </c>
      <c r="F70" s="8" t="s">
        <v>265</v>
      </c>
      <c r="G70" s="13" t="s">
        <v>223</v>
      </c>
    </row>
    <row r="71" spans="1:7" x14ac:dyDescent="0.25">
      <c r="A71" s="12" t="s">
        <v>1413</v>
      </c>
      <c r="B71" s="6" t="s">
        <v>35</v>
      </c>
      <c r="C71" s="6" t="s">
        <v>13</v>
      </c>
      <c r="D71" s="6" t="s">
        <v>78</v>
      </c>
      <c r="E71" s="7" t="s">
        <v>266</v>
      </c>
      <c r="F71" s="8" t="s">
        <v>267</v>
      </c>
      <c r="G71" s="13" t="s">
        <v>38</v>
      </c>
    </row>
    <row r="72" spans="1:7" x14ac:dyDescent="0.25">
      <c r="A72" s="12" t="s">
        <v>1414</v>
      </c>
      <c r="B72" s="6" t="s">
        <v>142</v>
      </c>
      <c r="C72" s="6" t="s">
        <v>27</v>
      </c>
      <c r="D72" s="6" t="s">
        <v>53</v>
      </c>
      <c r="E72" s="7" t="s">
        <v>268</v>
      </c>
      <c r="F72" s="8" t="s">
        <v>269</v>
      </c>
      <c r="G72" s="13" t="s">
        <v>205</v>
      </c>
    </row>
    <row r="73" spans="1:7" x14ac:dyDescent="0.25">
      <c r="A73" s="12" t="s">
        <v>1415</v>
      </c>
      <c r="B73" s="6" t="s">
        <v>142</v>
      </c>
      <c r="C73" s="6" t="s">
        <v>27</v>
      </c>
      <c r="D73" s="6" t="s">
        <v>28</v>
      </c>
      <c r="E73" s="7" t="s">
        <v>271</v>
      </c>
      <c r="F73" s="8" t="s">
        <v>272</v>
      </c>
      <c r="G73" s="13" t="s">
        <v>249</v>
      </c>
    </row>
    <row r="74" spans="1:7" x14ac:dyDescent="0.25">
      <c r="A74" s="12" t="s">
        <v>1416</v>
      </c>
      <c r="B74" s="6" t="s">
        <v>274</v>
      </c>
      <c r="C74" s="6" t="s">
        <v>32</v>
      </c>
      <c r="D74" s="6" t="s">
        <v>36</v>
      </c>
      <c r="E74" s="7" t="s">
        <v>275</v>
      </c>
      <c r="F74" s="8" t="s">
        <v>276</v>
      </c>
      <c r="G74" s="13" t="s">
        <v>94</v>
      </c>
    </row>
    <row r="75" spans="1:7" x14ac:dyDescent="0.25">
      <c r="A75" s="12" t="s">
        <v>1417</v>
      </c>
      <c r="B75" s="6" t="s">
        <v>263</v>
      </c>
      <c r="C75" s="6" t="s">
        <v>8</v>
      </c>
      <c r="D75" s="6" t="s">
        <v>58</v>
      </c>
      <c r="E75" s="7" t="s">
        <v>278</v>
      </c>
      <c r="F75" s="8" t="s">
        <v>279</v>
      </c>
      <c r="G75" s="13" t="s">
        <v>211</v>
      </c>
    </row>
    <row r="76" spans="1:7" x14ac:dyDescent="0.25">
      <c r="A76" s="12" t="s">
        <v>1418</v>
      </c>
      <c r="B76" s="6" t="s">
        <v>12</v>
      </c>
      <c r="C76" s="6" t="s">
        <v>13</v>
      </c>
      <c r="D76" s="6" t="s">
        <v>19</v>
      </c>
      <c r="E76" s="7" t="s">
        <v>280</v>
      </c>
      <c r="F76" s="8" t="s">
        <v>281</v>
      </c>
      <c r="G76" s="13" t="s">
        <v>270</v>
      </c>
    </row>
    <row r="77" spans="1:7" x14ac:dyDescent="0.25">
      <c r="A77" s="12" t="s">
        <v>1419</v>
      </c>
      <c r="B77" s="6" t="s">
        <v>35</v>
      </c>
      <c r="C77" s="6" t="s">
        <v>13</v>
      </c>
      <c r="D77" s="6" t="s">
        <v>91</v>
      </c>
      <c r="E77" s="7" t="s">
        <v>282</v>
      </c>
      <c r="F77" s="8" t="s">
        <v>283</v>
      </c>
      <c r="G77" s="13" t="s">
        <v>113</v>
      </c>
    </row>
    <row r="78" spans="1:7" x14ac:dyDescent="0.25">
      <c r="A78" s="12" t="s">
        <v>1420</v>
      </c>
      <c r="B78" s="6" t="s">
        <v>184</v>
      </c>
      <c r="C78" s="6" t="s">
        <v>164</v>
      </c>
      <c r="D78" s="6" t="s">
        <v>23</v>
      </c>
      <c r="E78" s="7" t="s">
        <v>284</v>
      </c>
      <c r="F78" s="8" t="s">
        <v>285</v>
      </c>
      <c r="G78" s="13" t="s">
        <v>94</v>
      </c>
    </row>
    <row r="79" spans="1:7" x14ac:dyDescent="0.25">
      <c r="A79" s="12" t="s">
        <v>1421</v>
      </c>
      <c r="B79" s="6" t="s">
        <v>110</v>
      </c>
      <c r="C79" s="6" t="s">
        <v>8</v>
      </c>
      <c r="D79" s="6" t="s">
        <v>78</v>
      </c>
      <c r="E79" s="7" t="s">
        <v>287</v>
      </c>
      <c r="F79" s="8" t="s">
        <v>288</v>
      </c>
      <c r="G79" s="13" t="s">
        <v>289</v>
      </c>
    </row>
    <row r="80" spans="1:7" x14ac:dyDescent="0.25">
      <c r="A80" s="12" t="s">
        <v>1422</v>
      </c>
      <c r="B80" s="6" t="s">
        <v>133</v>
      </c>
      <c r="C80" s="6" t="s">
        <v>52</v>
      </c>
      <c r="D80" s="6" t="s">
        <v>53</v>
      </c>
      <c r="E80" s="7" t="s">
        <v>290</v>
      </c>
      <c r="F80" s="8" t="s">
        <v>291</v>
      </c>
      <c r="G80" s="13" t="s">
        <v>34</v>
      </c>
    </row>
    <row r="81" spans="1:7" x14ac:dyDescent="0.25">
      <c r="A81" s="12" t="s">
        <v>1423</v>
      </c>
      <c r="B81" s="6" t="s">
        <v>126</v>
      </c>
      <c r="C81" s="6" t="s">
        <v>63</v>
      </c>
      <c r="D81" s="6" t="s">
        <v>91</v>
      </c>
      <c r="E81" s="7" t="s">
        <v>293</v>
      </c>
      <c r="F81" s="8" t="s">
        <v>294</v>
      </c>
      <c r="G81" s="13" t="s">
        <v>38</v>
      </c>
    </row>
    <row r="82" spans="1:7" x14ac:dyDescent="0.25">
      <c r="A82" s="12" t="s">
        <v>1424</v>
      </c>
      <c r="B82" s="6" t="s">
        <v>214</v>
      </c>
      <c r="C82" s="6" t="s">
        <v>164</v>
      </c>
      <c r="D82" s="6" t="s">
        <v>14</v>
      </c>
      <c r="E82" s="7" t="s">
        <v>295</v>
      </c>
      <c r="F82" s="8" t="s">
        <v>296</v>
      </c>
      <c r="G82" s="13" t="s">
        <v>117</v>
      </c>
    </row>
    <row r="83" spans="1:7" x14ac:dyDescent="0.25">
      <c r="A83" s="12" t="s">
        <v>1425</v>
      </c>
      <c r="B83" s="6" t="s">
        <v>133</v>
      </c>
      <c r="C83" s="6" t="s">
        <v>52</v>
      </c>
      <c r="D83" s="6" t="s">
        <v>58</v>
      </c>
      <c r="E83" s="7" t="s">
        <v>297</v>
      </c>
      <c r="F83" s="8" t="s">
        <v>298</v>
      </c>
      <c r="G83" s="13" t="s">
        <v>90</v>
      </c>
    </row>
    <row r="84" spans="1:7" x14ac:dyDescent="0.25">
      <c r="A84" s="12" t="s">
        <v>1426</v>
      </c>
      <c r="B84" s="6" t="s">
        <v>255</v>
      </c>
      <c r="C84" s="6" t="s">
        <v>164</v>
      </c>
      <c r="D84" s="6" t="s">
        <v>28</v>
      </c>
      <c r="E84" s="7" t="s">
        <v>299</v>
      </c>
      <c r="F84" s="8" t="s">
        <v>300</v>
      </c>
      <c r="G84" s="13" t="s">
        <v>277</v>
      </c>
    </row>
    <row r="85" spans="1:7" x14ac:dyDescent="0.25">
      <c r="A85" s="12" t="s">
        <v>1427</v>
      </c>
      <c r="B85" s="6" t="s">
        <v>241</v>
      </c>
      <c r="C85" s="6" t="s">
        <v>27</v>
      </c>
      <c r="D85" s="6" t="s">
        <v>14</v>
      </c>
      <c r="E85" s="7" t="s">
        <v>301</v>
      </c>
      <c r="F85" s="8" t="s">
        <v>302</v>
      </c>
      <c r="G85" s="13" t="s">
        <v>98</v>
      </c>
    </row>
    <row r="86" spans="1:7" x14ac:dyDescent="0.25">
      <c r="A86" s="12" t="s">
        <v>1428</v>
      </c>
      <c r="B86" s="6" t="s">
        <v>62</v>
      </c>
      <c r="C86" s="6" t="s">
        <v>63</v>
      </c>
      <c r="D86" s="6" t="s">
        <v>23</v>
      </c>
      <c r="E86" s="7" t="s">
        <v>303</v>
      </c>
      <c r="F86" s="8" t="s">
        <v>304</v>
      </c>
      <c r="G86" s="13" t="s">
        <v>105</v>
      </c>
    </row>
    <row r="87" spans="1:7" x14ac:dyDescent="0.25">
      <c r="A87" s="12" t="s">
        <v>1429</v>
      </c>
      <c r="B87" s="6" t="s">
        <v>157</v>
      </c>
      <c r="C87" s="6" t="s">
        <v>27</v>
      </c>
      <c r="D87" s="6" t="s">
        <v>101</v>
      </c>
      <c r="E87" s="7" t="s">
        <v>306</v>
      </c>
      <c r="F87" s="8" t="s">
        <v>307</v>
      </c>
      <c r="G87" s="13" t="s">
        <v>16</v>
      </c>
    </row>
    <row r="88" spans="1:7" x14ac:dyDescent="0.25">
      <c r="A88" s="12" t="s">
        <v>1430</v>
      </c>
      <c r="B88" s="6" t="s">
        <v>309</v>
      </c>
      <c r="C88" s="6" t="s">
        <v>18</v>
      </c>
      <c r="D88" s="6" t="s">
        <v>23</v>
      </c>
      <c r="E88" s="7" t="s">
        <v>310</v>
      </c>
      <c r="F88" s="8" t="s">
        <v>311</v>
      </c>
      <c r="G88" s="13" t="s">
        <v>86</v>
      </c>
    </row>
    <row r="89" spans="1:7" x14ac:dyDescent="0.25">
      <c r="A89" s="12" t="s">
        <v>1431</v>
      </c>
      <c r="B89" s="6" t="s">
        <v>47</v>
      </c>
      <c r="C89" s="6" t="s">
        <v>42</v>
      </c>
      <c r="D89" s="6" t="s">
        <v>58</v>
      </c>
      <c r="E89" s="7" t="s">
        <v>312</v>
      </c>
      <c r="F89" s="8" t="s">
        <v>313</v>
      </c>
      <c r="G89" s="13" t="s">
        <v>99</v>
      </c>
    </row>
    <row r="90" spans="1:7" x14ac:dyDescent="0.25">
      <c r="A90" s="12" t="s">
        <v>1432</v>
      </c>
      <c r="B90" s="6" t="s">
        <v>126</v>
      </c>
      <c r="C90" s="6" t="s">
        <v>63</v>
      </c>
      <c r="D90" s="6" t="s">
        <v>123</v>
      </c>
      <c r="E90" s="7" t="s">
        <v>315</v>
      </c>
      <c r="F90" s="8" t="s">
        <v>316</v>
      </c>
      <c r="G90" s="13" t="s">
        <v>46</v>
      </c>
    </row>
    <row r="91" spans="1:7" x14ac:dyDescent="0.25">
      <c r="A91" s="12" t="s">
        <v>1433</v>
      </c>
      <c r="B91" s="6" t="s">
        <v>7</v>
      </c>
      <c r="C91" s="6" t="s">
        <v>8</v>
      </c>
      <c r="D91" s="6" t="s">
        <v>101</v>
      </c>
      <c r="E91" s="7" t="s">
        <v>317</v>
      </c>
      <c r="F91" s="8" t="s">
        <v>318</v>
      </c>
      <c r="G91" s="13" t="s">
        <v>167</v>
      </c>
    </row>
    <row r="92" spans="1:7" x14ac:dyDescent="0.25">
      <c r="A92" s="12" t="s">
        <v>1434</v>
      </c>
      <c r="B92" s="6" t="s">
        <v>241</v>
      </c>
      <c r="C92" s="6" t="s">
        <v>27</v>
      </c>
      <c r="D92" s="6" t="s">
        <v>14</v>
      </c>
      <c r="E92" s="7" t="s">
        <v>320</v>
      </c>
      <c r="F92" s="8" t="s">
        <v>321</v>
      </c>
      <c r="G92" s="13" t="s">
        <v>40</v>
      </c>
    </row>
    <row r="93" spans="1:7" x14ac:dyDescent="0.25">
      <c r="A93" s="12" t="s">
        <v>1435</v>
      </c>
      <c r="B93" s="6" t="s">
        <v>26</v>
      </c>
      <c r="C93" s="6" t="s">
        <v>27</v>
      </c>
      <c r="D93" s="6" t="s">
        <v>19</v>
      </c>
      <c r="E93" s="7" t="s">
        <v>323</v>
      </c>
      <c r="F93" s="8" t="s">
        <v>324</v>
      </c>
      <c r="G93" s="13" t="s">
        <v>211</v>
      </c>
    </row>
    <row r="94" spans="1:7" x14ac:dyDescent="0.25">
      <c r="A94" s="12" t="s">
        <v>1436</v>
      </c>
      <c r="B94" s="6" t="s">
        <v>178</v>
      </c>
      <c r="C94" s="6" t="s">
        <v>179</v>
      </c>
      <c r="D94" s="6" t="s">
        <v>58</v>
      </c>
      <c r="E94" s="7" t="s">
        <v>325</v>
      </c>
      <c r="F94" s="8" t="s">
        <v>326</v>
      </c>
      <c r="G94" s="13" t="s">
        <v>153</v>
      </c>
    </row>
    <row r="95" spans="1:7" x14ac:dyDescent="0.25">
      <c r="A95" s="12" t="s">
        <v>1437</v>
      </c>
      <c r="B95" s="6" t="s">
        <v>26</v>
      </c>
      <c r="C95" s="6" t="s">
        <v>27</v>
      </c>
      <c r="D95" s="6" t="s">
        <v>123</v>
      </c>
      <c r="E95" s="7" t="s">
        <v>327</v>
      </c>
      <c r="F95" s="8" t="s">
        <v>328</v>
      </c>
      <c r="G95" s="13" t="s">
        <v>145</v>
      </c>
    </row>
    <row r="96" spans="1:7" x14ac:dyDescent="0.25">
      <c r="A96" s="12" t="s">
        <v>1438</v>
      </c>
      <c r="B96" s="6" t="s">
        <v>255</v>
      </c>
      <c r="C96" s="6" t="s">
        <v>164</v>
      </c>
      <c r="D96" s="6" t="s">
        <v>9</v>
      </c>
      <c r="E96" s="7" t="s">
        <v>329</v>
      </c>
      <c r="F96" s="8" t="s">
        <v>330</v>
      </c>
      <c r="G96" s="13" t="s">
        <v>65</v>
      </c>
    </row>
    <row r="97" spans="1:7" x14ac:dyDescent="0.25">
      <c r="A97" s="12" t="s">
        <v>1439</v>
      </c>
      <c r="B97" s="6" t="s">
        <v>7</v>
      </c>
      <c r="C97" s="6" t="s">
        <v>8</v>
      </c>
      <c r="D97" s="6" t="s">
        <v>9</v>
      </c>
      <c r="E97" s="7" t="s">
        <v>331</v>
      </c>
      <c r="F97" s="8" t="s">
        <v>332</v>
      </c>
      <c r="G97" s="13" t="s">
        <v>65</v>
      </c>
    </row>
    <row r="98" spans="1:7" x14ac:dyDescent="0.25">
      <c r="A98" s="12" t="s">
        <v>1440</v>
      </c>
      <c r="B98" s="6" t="s">
        <v>7</v>
      </c>
      <c r="C98" s="6" t="s">
        <v>8</v>
      </c>
      <c r="D98" s="6" t="s">
        <v>123</v>
      </c>
      <c r="E98" s="7" t="s">
        <v>333</v>
      </c>
      <c r="F98" s="8" t="s">
        <v>334</v>
      </c>
      <c r="G98" s="13" t="s">
        <v>249</v>
      </c>
    </row>
    <row r="99" spans="1:7" x14ac:dyDescent="0.25">
      <c r="A99" s="12" t="s">
        <v>1441</v>
      </c>
      <c r="B99" s="6" t="s">
        <v>163</v>
      </c>
      <c r="C99" s="6" t="s">
        <v>164</v>
      </c>
      <c r="D99" s="6" t="s">
        <v>9</v>
      </c>
      <c r="E99" s="7" t="s">
        <v>335</v>
      </c>
      <c r="F99" s="8" t="s">
        <v>336</v>
      </c>
      <c r="G99" s="13" t="s">
        <v>190</v>
      </c>
    </row>
    <row r="100" spans="1:7" x14ac:dyDescent="0.25">
      <c r="A100" s="12" t="s">
        <v>1442</v>
      </c>
      <c r="B100" s="6" t="s">
        <v>35</v>
      </c>
      <c r="C100" s="6" t="s">
        <v>13</v>
      </c>
      <c r="D100" s="6" t="s">
        <v>36</v>
      </c>
      <c r="E100" s="7" t="s">
        <v>338</v>
      </c>
      <c r="F100" s="8" t="s">
        <v>339</v>
      </c>
      <c r="G100" s="13" t="s">
        <v>76</v>
      </c>
    </row>
    <row r="101" spans="1:7" x14ac:dyDescent="0.25">
      <c r="A101" s="12" t="s">
        <v>1443</v>
      </c>
      <c r="B101" s="6" t="s">
        <v>22</v>
      </c>
      <c r="C101" s="6" t="s">
        <v>8</v>
      </c>
      <c r="D101" s="6" t="s">
        <v>23</v>
      </c>
      <c r="E101" s="7" t="s">
        <v>340</v>
      </c>
      <c r="F101" s="8" t="s">
        <v>341</v>
      </c>
      <c r="G101" s="13" t="s">
        <v>90</v>
      </c>
    </row>
    <row r="102" spans="1:7" x14ac:dyDescent="0.25">
      <c r="A102" s="12" t="s">
        <v>1444</v>
      </c>
      <c r="B102" s="6" t="s">
        <v>74</v>
      </c>
      <c r="C102" s="6" t="s">
        <v>8</v>
      </c>
      <c r="D102" s="6" t="s">
        <v>28</v>
      </c>
      <c r="E102" s="7" t="s">
        <v>342</v>
      </c>
      <c r="F102" s="8" t="s">
        <v>343</v>
      </c>
      <c r="G102" s="13" t="s">
        <v>108</v>
      </c>
    </row>
    <row r="103" spans="1:7" x14ac:dyDescent="0.25">
      <c r="A103" s="12" t="s">
        <v>1445</v>
      </c>
      <c r="B103" s="6" t="s">
        <v>344</v>
      </c>
      <c r="C103" s="6" t="s">
        <v>63</v>
      </c>
      <c r="D103" s="6" t="s">
        <v>23</v>
      </c>
      <c r="E103" s="7" t="s">
        <v>345</v>
      </c>
      <c r="F103" s="8" t="s">
        <v>346</v>
      </c>
      <c r="G103" s="13" t="s">
        <v>205</v>
      </c>
    </row>
    <row r="104" spans="1:7" x14ac:dyDescent="0.25">
      <c r="A104" s="12" t="s">
        <v>1446</v>
      </c>
      <c r="B104" s="6" t="s">
        <v>100</v>
      </c>
      <c r="C104" s="6" t="s">
        <v>52</v>
      </c>
      <c r="D104" s="6" t="s">
        <v>53</v>
      </c>
      <c r="E104" s="7" t="s">
        <v>347</v>
      </c>
      <c r="F104" s="8" t="s">
        <v>348</v>
      </c>
      <c r="G104" s="13" t="s">
        <v>108</v>
      </c>
    </row>
    <row r="105" spans="1:7" x14ac:dyDescent="0.25">
      <c r="A105" s="12" t="s">
        <v>1447</v>
      </c>
      <c r="B105" s="6" t="s">
        <v>349</v>
      </c>
      <c r="C105" s="6" t="s">
        <v>179</v>
      </c>
      <c r="D105" s="6" t="s">
        <v>28</v>
      </c>
      <c r="E105" s="7" t="s">
        <v>350</v>
      </c>
      <c r="F105" s="8" t="s">
        <v>351</v>
      </c>
      <c r="G105" s="13" t="s">
        <v>319</v>
      </c>
    </row>
    <row r="106" spans="1:7" x14ac:dyDescent="0.25">
      <c r="A106" s="12" t="s">
        <v>1448</v>
      </c>
      <c r="B106" s="6" t="s">
        <v>228</v>
      </c>
      <c r="C106" s="6" t="s">
        <v>63</v>
      </c>
      <c r="D106" s="6" t="s">
        <v>58</v>
      </c>
      <c r="E106" s="7" t="s">
        <v>352</v>
      </c>
      <c r="F106" s="8" t="s">
        <v>353</v>
      </c>
      <c r="G106" s="13" t="s">
        <v>61</v>
      </c>
    </row>
    <row r="107" spans="1:7" x14ac:dyDescent="0.25">
      <c r="A107" s="12" t="s">
        <v>1449</v>
      </c>
      <c r="B107" s="6" t="s">
        <v>263</v>
      </c>
      <c r="C107" s="6" t="s">
        <v>8</v>
      </c>
      <c r="D107" s="6" t="s">
        <v>14</v>
      </c>
      <c r="E107" s="7" t="s">
        <v>354</v>
      </c>
      <c r="F107" s="8" t="s">
        <v>355</v>
      </c>
      <c r="G107" s="13" t="s">
        <v>196</v>
      </c>
    </row>
    <row r="108" spans="1:7" x14ac:dyDescent="0.25">
      <c r="A108" s="12" t="s">
        <v>1450</v>
      </c>
      <c r="B108" s="6" t="s">
        <v>356</v>
      </c>
      <c r="C108" s="6" t="s">
        <v>18</v>
      </c>
      <c r="D108" s="6" t="s">
        <v>53</v>
      </c>
      <c r="E108" s="7" t="s">
        <v>357</v>
      </c>
      <c r="F108" s="8" t="s">
        <v>358</v>
      </c>
      <c r="G108" s="13" t="s">
        <v>56</v>
      </c>
    </row>
    <row r="109" spans="1:7" x14ac:dyDescent="0.25">
      <c r="A109" s="12" t="s">
        <v>1451</v>
      </c>
      <c r="B109" s="6" t="s">
        <v>51</v>
      </c>
      <c r="C109" s="6" t="s">
        <v>52</v>
      </c>
      <c r="D109" s="6" t="s">
        <v>101</v>
      </c>
      <c r="E109" s="7" t="s">
        <v>359</v>
      </c>
      <c r="F109" s="8" t="s">
        <v>360</v>
      </c>
      <c r="G109" s="13" t="s">
        <v>319</v>
      </c>
    </row>
    <row r="110" spans="1:7" x14ac:dyDescent="0.25">
      <c r="A110" s="12" t="s">
        <v>1452</v>
      </c>
      <c r="B110" s="6" t="s">
        <v>361</v>
      </c>
      <c r="C110" s="6" t="s">
        <v>179</v>
      </c>
      <c r="D110" s="6" t="s">
        <v>101</v>
      </c>
      <c r="E110" s="7" t="s">
        <v>362</v>
      </c>
      <c r="F110" s="8" t="s">
        <v>363</v>
      </c>
      <c r="G110" s="13" t="s">
        <v>261</v>
      </c>
    </row>
    <row r="111" spans="1:7" x14ac:dyDescent="0.25">
      <c r="A111" s="12" t="s">
        <v>1453</v>
      </c>
      <c r="B111" s="6" t="s">
        <v>364</v>
      </c>
      <c r="C111" s="6" t="s">
        <v>52</v>
      </c>
      <c r="D111" s="6" t="s">
        <v>123</v>
      </c>
      <c r="E111" s="7" t="s">
        <v>365</v>
      </c>
      <c r="F111" s="8" t="s">
        <v>366</v>
      </c>
      <c r="G111" s="13" t="s">
        <v>116</v>
      </c>
    </row>
    <row r="112" spans="1:7" x14ac:dyDescent="0.25">
      <c r="A112" s="12" t="s">
        <v>1454</v>
      </c>
      <c r="B112" s="6" t="s">
        <v>122</v>
      </c>
      <c r="C112" s="6" t="s">
        <v>18</v>
      </c>
      <c r="D112" s="6" t="s">
        <v>91</v>
      </c>
      <c r="E112" s="7" t="s">
        <v>367</v>
      </c>
      <c r="F112" s="8" t="s">
        <v>368</v>
      </c>
      <c r="G112" s="13" t="s">
        <v>76</v>
      </c>
    </row>
    <row r="113" spans="1:7" x14ac:dyDescent="0.25">
      <c r="A113" s="12" t="s">
        <v>1455</v>
      </c>
      <c r="B113" s="6" t="s">
        <v>361</v>
      </c>
      <c r="C113" s="6" t="s">
        <v>179</v>
      </c>
      <c r="D113" s="6" t="s">
        <v>23</v>
      </c>
      <c r="E113" s="7" t="s">
        <v>369</v>
      </c>
      <c r="F113" s="8" t="s">
        <v>370</v>
      </c>
      <c r="G113" s="13" t="s">
        <v>160</v>
      </c>
    </row>
    <row r="114" spans="1:7" x14ac:dyDescent="0.25">
      <c r="A114" s="12" t="s">
        <v>1456</v>
      </c>
      <c r="B114" s="6" t="s">
        <v>12</v>
      </c>
      <c r="C114" s="6" t="s">
        <v>13</v>
      </c>
      <c r="D114" s="6" t="s">
        <v>23</v>
      </c>
      <c r="E114" s="7" t="s">
        <v>371</v>
      </c>
      <c r="F114" s="8" t="s">
        <v>372</v>
      </c>
      <c r="G114" s="13" t="s">
        <v>220</v>
      </c>
    </row>
    <row r="115" spans="1:7" x14ac:dyDescent="0.25">
      <c r="A115" s="12" t="s">
        <v>1457</v>
      </c>
      <c r="B115" s="6" t="s">
        <v>82</v>
      </c>
      <c r="C115" s="6" t="s">
        <v>63</v>
      </c>
      <c r="D115" s="6" t="s">
        <v>14</v>
      </c>
      <c r="E115" s="7" t="s">
        <v>373</v>
      </c>
      <c r="F115" s="8" t="s">
        <v>374</v>
      </c>
      <c r="G115" s="13" t="s">
        <v>322</v>
      </c>
    </row>
    <row r="116" spans="1:7" x14ac:dyDescent="0.25">
      <c r="A116" s="12" t="s">
        <v>1458</v>
      </c>
      <c r="B116" s="6" t="s">
        <v>22</v>
      </c>
      <c r="C116" s="6" t="s">
        <v>8</v>
      </c>
      <c r="D116" s="6" t="s">
        <v>14</v>
      </c>
      <c r="E116" s="7" t="s">
        <v>375</v>
      </c>
      <c r="F116" s="8" t="s">
        <v>376</v>
      </c>
      <c r="G116" s="13" t="s">
        <v>105</v>
      </c>
    </row>
    <row r="117" spans="1:7" x14ac:dyDescent="0.25">
      <c r="A117" s="12" t="s">
        <v>1459</v>
      </c>
      <c r="B117" s="6" t="s">
        <v>163</v>
      </c>
      <c r="C117" s="6" t="s">
        <v>164</v>
      </c>
      <c r="D117" s="6" t="s">
        <v>9</v>
      </c>
      <c r="E117" s="7" t="s">
        <v>377</v>
      </c>
      <c r="F117" s="8" t="s">
        <v>378</v>
      </c>
      <c r="G117" s="13" t="s">
        <v>223</v>
      </c>
    </row>
    <row r="118" spans="1:7" x14ac:dyDescent="0.25">
      <c r="A118" s="12" t="s">
        <v>1460</v>
      </c>
      <c r="B118" s="6" t="s">
        <v>133</v>
      </c>
      <c r="C118" s="6" t="s">
        <v>52</v>
      </c>
      <c r="D118" s="6" t="s">
        <v>9</v>
      </c>
      <c r="E118" s="7" t="s">
        <v>379</v>
      </c>
      <c r="F118" s="8" t="s">
        <v>380</v>
      </c>
      <c r="G118" s="13" t="s">
        <v>61</v>
      </c>
    </row>
    <row r="119" spans="1:7" x14ac:dyDescent="0.25">
      <c r="A119" s="12" t="s">
        <v>1461</v>
      </c>
      <c r="B119" s="6" t="s">
        <v>263</v>
      </c>
      <c r="C119" s="6" t="s">
        <v>8</v>
      </c>
      <c r="D119" s="6" t="s">
        <v>23</v>
      </c>
      <c r="E119" s="7" t="s">
        <v>381</v>
      </c>
      <c r="F119" s="8" t="s">
        <v>382</v>
      </c>
      <c r="G119" s="13" t="s">
        <v>98</v>
      </c>
    </row>
    <row r="120" spans="1:7" x14ac:dyDescent="0.25">
      <c r="A120" s="12" t="s">
        <v>1462</v>
      </c>
      <c r="B120" s="6" t="s">
        <v>356</v>
      </c>
      <c r="C120" s="6" t="s">
        <v>18</v>
      </c>
      <c r="D120" s="6" t="s">
        <v>101</v>
      </c>
      <c r="E120" s="7" t="s">
        <v>383</v>
      </c>
      <c r="F120" s="8" t="s">
        <v>384</v>
      </c>
      <c r="G120" s="13" t="s">
        <v>156</v>
      </c>
    </row>
    <row r="121" spans="1:7" x14ac:dyDescent="0.25">
      <c r="A121" s="12" t="s">
        <v>1463</v>
      </c>
      <c r="B121" s="6" t="s">
        <v>385</v>
      </c>
      <c r="C121" s="6" t="s">
        <v>32</v>
      </c>
      <c r="D121" s="6" t="s">
        <v>91</v>
      </c>
      <c r="E121" s="7" t="s">
        <v>386</v>
      </c>
      <c r="F121" s="8" t="s">
        <v>387</v>
      </c>
      <c r="G121" s="13" t="s">
        <v>45</v>
      </c>
    </row>
    <row r="122" spans="1:7" x14ac:dyDescent="0.25">
      <c r="A122" s="12" t="s">
        <v>1464</v>
      </c>
      <c r="B122" s="6" t="s">
        <v>142</v>
      </c>
      <c r="C122" s="6" t="s">
        <v>27</v>
      </c>
      <c r="D122" s="6" t="s">
        <v>78</v>
      </c>
      <c r="E122" s="7" t="s">
        <v>388</v>
      </c>
      <c r="F122" s="8" t="s">
        <v>389</v>
      </c>
      <c r="G122" s="13" t="s">
        <v>61</v>
      </c>
    </row>
    <row r="123" spans="1:7" x14ac:dyDescent="0.25">
      <c r="A123" s="12" t="s">
        <v>1465</v>
      </c>
      <c r="B123" s="6" t="s">
        <v>51</v>
      </c>
      <c r="C123" s="6" t="s">
        <v>52</v>
      </c>
      <c r="D123" s="6" t="s">
        <v>53</v>
      </c>
      <c r="E123" s="7" t="s">
        <v>390</v>
      </c>
      <c r="F123" s="8" t="s">
        <v>391</v>
      </c>
      <c r="G123" s="13" t="s">
        <v>104</v>
      </c>
    </row>
    <row r="124" spans="1:7" x14ac:dyDescent="0.25">
      <c r="A124" s="12" t="s">
        <v>1466</v>
      </c>
      <c r="B124" s="6" t="s">
        <v>22</v>
      </c>
      <c r="C124" s="6" t="s">
        <v>8</v>
      </c>
      <c r="D124" s="6" t="s">
        <v>53</v>
      </c>
      <c r="E124" s="7" t="s">
        <v>392</v>
      </c>
      <c r="F124" s="8" t="s">
        <v>393</v>
      </c>
      <c r="G124" s="13" t="s">
        <v>292</v>
      </c>
    </row>
    <row r="125" spans="1:7" x14ac:dyDescent="0.25">
      <c r="A125" s="12" t="s">
        <v>1467</v>
      </c>
      <c r="B125" s="6" t="s">
        <v>74</v>
      </c>
      <c r="C125" s="6" t="s">
        <v>8</v>
      </c>
      <c r="D125" s="6" t="s">
        <v>123</v>
      </c>
      <c r="E125" s="7" t="s">
        <v>394</v>
      </c>
      <c r="F125" s="8" t="s">
        <v>395</v>
      </c>
      <c r="G125" s="13" t="s">
        <v>261</v>
      </c>
    </row>
    <row r="126" spans="1:7" x14ac:dyDescent="0.25">
      <c r="A126" s="12" t="s">
        <v>1468</v>
      </c>
      <c r="B126" s="6" t="s">
        <v>361</v>
      </c>
      <c r="C126" s="6" t="s">
        <v>179</v>
      </c>
      <c r="D126" s="6" t="s">
        <v>58</v>
      </c>
      <c r="E126" s="7" t="s">
        <v>396</v>
      </c>
      <c r="F126" s="8" t="s">
        <v>397</v>
      </c>
      <c r="G126" s="13" t="s">
        <v>262</v>
      </c>
    </row>
    <row r="127" spans="1:7" x14ac:dyDescent="0.25">
      <c r="A127" s="12" t="s">
        <v>1469</v>
      </c>
      <c r="B127" s="6" t="s">
        <v>398</v>
      </c>
      <c r="C127" s="6" t="s">
        <v>42</v>
      </c>
      <c r="D127" s="6" t="s">
        <v>123</v>
      </c>
      <c r="E127" s="7" t="s">
        <v>399</v>
      </c>
      <c r="F127" s="8" t="s">
        <v>400</v>
      </c>
      <c r="G127" s="13" t="s">
        <v>322</v>
      </c>
    </row>
    <row r="128" spans="1:7" x14ac:dyDescent="0.25">
      <c r="A128" s="12" t="s">
        <v>1470</v>
      </c>
      <c r="B128" s="6" t="s">
        <v>35</v>
      </c>
      <c r="C128" s="6" t="s">
        <v>13</v>
      </c>
      <c r="D128" s="6" t="s">
        <v>19</v>
      </c>
      <c r="E128" s="7" t="s">
        <v>401</v>
      </c>
      <c r="F128" s="8" t="s">
        <v>402</v>
      </c>
      <c r="G128" s="13" t="s">
        <v>129</v>
      </c>
    </row>
    <row r="129" spans="1:7" x14ac:dyDescent="0.25">
      <c r="A129" s="12" t="s">
        <v>1471</v>
      </c>
      <c r="B129" s="6" t="s">
        <v>35</v>
      </c>
      <c r="C129" s="6" t="s">
        <v>13</v>
      </c>
      <c r="D129" s="6" t="s">
        <v>36</v>
      </c>
      <c r="E129" s="7" t="s">
        <v>403</v>
      </c>
      <c r="F129" s="8" t="s">
        <v>404</v>
      </c>
      <c r="G129" s="13" t="s">
        <v>65</v>
      </c>
    </row>
    <row r="130" spans="1:7" x14ac:dyDescent="0.25">
      <c r="A130" s="12" t="s">
        <v>1472</v>
      </c>
      <c r="B130" s="6" t="s">
        <v>361</v>
      </c>
      <c r="C130" s="6" t="s">
        <v>179</v>
      </c>
      <c r="D130" s="6" t="s">
        <v>101</v>
      </c>
      <c r="E130" s="7" t="s">
        <v>405</v>
      </c>
      <c r="F130" s="8" t="s">
        <v>406</v>
      </c>
      <c r="G130" s="13" t="s">
        <v>273</v>
      </c>
    </row>
    <row r="131" spans="1:7" x14ac:dyDescent="0.25">
      <c r="A131" s="12" t="s">
        <v>1473</v>
      </c>
      <c r="B131" s="6" t="s">
        <v>407</v>
      </c>
      <c r="C131" s="6" t="s">
        <v>179</v>
      </c>
      <c r="D131" s="6" t="s">
        <v>91</v>
      </c>
      <c r="E131" s="7" t="s">
        <v>408</v>
      </c>
      <c r="F131" s="8" t="s">
        <v>409</v>
      </c>
      <c r="G131" s="13" t="s">
        <v>81</v>
      </c>
    </row>
    <row r="132" spans="1:7" x14ac:dyDescent="0.25">
      <c r="A132" s="12" t="s">
        <v>1474</v>
      </c>
      <c r="B132" s="6" t="s">
        <v>26</v>
      </c>
      <c r="C132" s="6" t="s">
        <v>27</v>
      </c>
      <c r="D132" s="6" t="s">
        <v>36</v>
      </c>
      <c r="E132" s="7" t="s">
        <v>410</v>
      </c>
      <c r="F132" s="8" t="s">
        <v>411</v>
      </c>
      <c r="G132" s="13" t="s">
        <v>25</v>
      </c>
    </row>
    <row r="133" spans="1:7" x14ac:dyDescent="0.25">
      <c r="A133" s="12" t="s">
        <v>1475</v>
      </c>
      <c r="B133" s="6" t="s">
        <v>274</v>
      </c>
      <c r="C133" s="6" t="s">
        <v>32</v>
      </c>
      <c r="D133" s="6" t="s">
        <v>36</v>
      </c>
      <c r="E133" s="7" t="s">
        <v>412</v>
      </c>
      <c r="F133" s="8" t="s">
        <v>413</v>
      </c>
      <c r="G133" s="13" t="s">
        <v>248</v>
      </c>
    </row>
    <row r="134" spans="1:7" x14ac:dyDescent="0.25">
      <c r="A134" s="12" t="s">
        <v>1476</v>
      </c>
      <c r="B134" s="6" t="s">
        <v>263</v>
      </c>
      <c r="C134" s="6" t="s">
        <v>8</v>
      </c>
      <c r="D134" s="6" t="s">
        <v>14</v>
      </c>
      <c r="E134" s="7" t="s">
        <v>414</v>
      </c>
      <c r="F134" s="8" t="s">
        <v>415</v>
      </c>
      <c r="G134" s="13" t="s">
        <v>286</v>
      </c>
    </row>
    <row r="135" spans="1:7" x14ac:dyDescent="0.25">
      <c r="A135" s="12" t="s">
        <v>1477</v>
      </c>
      <c r="B135" s="6" t="s">
        <v>416</v>
      </c>
      <c r="C135" s="6" t="s">
        <v>63</v>
      </c>
      <c r="D135" s="6" t="s">
        <v>91</v>
      </c>
      <c r="E135" s="7" t="s">
        <v>417</v>
      </c>
      <c r="F135" s="8" t="s">
        <v>418</v>
      </c>
      <c r="G135" s="13" t="s">
        <v>85</v>
      </c>
    </row>
    <row r="136" spans="1:7" x14ac:dyDescent="0.25">
      <c r="A136" s="12" t="s">
        <v>1478</v>
      </c>
      <c r="B136" s="6" t="s">
        <v>41</v>
      </c>
      <c r="C136" s="6" t="s">
        <v>42</v>
      </c>
      <c r="D136" s="6" t="s">
        <v>78</v>
      </c>
      <c r="E136" s="7" t="s">
        <v>419</v>
      </c>
      <c r="F136" s="8" t="s">
        <v>420</v>
      </c>
      <c r="G136" s="13" t="s">
        <v>174</v>
      </c>
    </row>
    <row r="137" spans="1:7" x14ac:dyDescent="0.25">
      <c r="A137" s="12" t="s">
        <v>1479</v>
      </c>
      <c r="B137" s="6" t="s">
        <v>110</v>
      </c>
      <c r="C137" s="6" t="s">
        <v>8</v>
      </c>
      <c r="D137" s="6" t="s">
        <v>78</v>
      </c>
      <c r="E137" s="7" t="s">
        <v>421</v>
      </c>
      <c r="F137" s="8" t="s">
        <v>422</v>
      </c>
      <c r="G137" s="13" t="s">
        <v>204</v>
      </c>
    </row>
    <row r="138" spans="1:7" x14ac:dyDescent="0.25">
      <c r="A138" s="12" t="s">
        <v>1480</v>
      </c>
      <c r="B138" s="6" t="s">
        <v>423</v>
      </c>
      <c r="C138" s="6" t="s">
        <v>18</v>
      </c>
      <c r="D138" s="6" t="s">
        <v>23</v>
      </c>
      <c r="E138" s="7" t="s">
        <v>424</v>
      </c>
      <c r="F138" s="8" t="s">
        <v>425</v>
      </c>
      <c r="G138" s="13" t="s">
        <v>153</v>
      </c>
    </row>
    <row r="139" spans="1:7" x14ac:dyDescent="0.25">
      <c r="A139" s="12" t="s">
        <v>1481</v>
      </c>
      <c r="B139" s="6" t="s">
        <v>407</v>
      </c>
      <c r="C139" s="6" t="s">
        <v>179</v>
      </c>
      <c r="D139" s="6" t="s">
        <v>123</v>
      </c>
      <c r="E139" s="7" t="s">
        <v>426</v>
      </c>
      <c r="F139" s="8" t="s">
        <v>427</v>
      </c>
      <c r="G139" s="13" t="s">
        <v>60</v>
      </c>
    </row>
    <row r="140" spans="1:7" x14ac:dyDescent="0.25">
      <c r="A140" s="12" t="s">
        <v>1482</v>
      </c>
      <c r="B140" s="6" t="s">
        <v>349</v>
      </c>
      <c r="C140" s="6" t="s">
        <v>179</v>
      </c>
      <c r="D140" s="6" t="s">
        <v>28</v>
      </c>
      <c r="E140" s="7" t="s">
        <v>428</v>
      </c>
      <c r="F140" s="8" t="s">
        <v>429</v>
      </c>
      <c r="G140" s="13" t="s">
        <v>249</v>
      </c>
    </row>
    <row r="141" spans="1:7" x14ac:dyDescent="0.25">
      <c r="A141" s="12" t="s">
        <v>1483</v>
      </c>
      <c r="B141" s="6" t="s">
        <v>7</v>
      </c>
      <c r="C141" s="6" t="s">
        <v>8</v>
      </c>
      <c r="D141" s="6" t="s">
        <v>14</v>
      </c>
      <c r="E141" s="7" t="s">
        <v>430</v>
      </c>
      <c r="F141" s="8" t="s">
        <v>431</v>
      </c>
      <c r="G141" s="13" t="s">
        <v>174</v>
      </c>
    </row>
    <row r="142" spans="1:7" x14ac:dyDescent="0.25">
      <c r="A142" s="12" t="s">
        <v>1484</v>
      </c>
      <c r="B142" s="6" t="s">
        <v>57</v>
      </c>
      <c r="C142" s="6" t="s">
        <v>42</v>
      </c>
      <c r="D142" s="6" t="s">
        <v>101</v>
      </c>
      <c r="E142" s="7" t="s">
        <v>432</v>
      </c>
      <c r="F142" s="8" t="s">
        <v>433</v>
      </c>
      <c r="G142" s="13" t="s">
        <v>40</v>
      </c>
    </row>
    <row r="143" spans="1:7" x14ac:dyDescent="0.25">
      <c r="A143" s="12" t="s">
        <v>1485</v>
      </c>
      <c r="B143" s="6" t="s">
        <v>434</v>
      </c>
      <c r="C143" s="6" t="s">
        <v>18</v>
      </c>
      <c r="D143" s="6" t="s">
        <v>9</v>
      </c>
      <c r="E143" s="7" t="s">
        <v>435</v>
      </c>
      <c r="F143" s="8" t="s">
        <v>436</v>
      </c>
      <c r="G143" s="13" t="s">
        <v>258</v>
      </c>
    </row>
    <row r="144" spans="1:7" x14ac:dyDescent="0.25">
      <c r="A144" s="12" t="s">
        <v>1486</v>
      </c>
      <c r="B144" s="6" t="s">
        <v>41</v>
      </c>
      <c r="C144" s="6" t="s">
        <v>42</v>
      </c>
      <c r="D144" s="6" t="s">
        <v>91</v>
      </c>
      <c r="E144" s="7" t="s">
        <v>437</v>
      </c>
      <c r="F144" s="8" t="s">
        <v>438</v>
      </c>
      <c r="G144" s="13" t="s">
        <v>113</v>
      </c>
    </row>
    <row r="145" spans="1:7" x14ac:dyDescent="0.25">
      <c r="A145" s="12" t="s">
        <v>1487</v>
      </c>
      <c r="B145" s="6" t="s">
        <v>41</v>
      </c>
      <c r="C145" s="6" t="s">
        <v>42</v>
      </c>
      <c r="D145" s="6" t="s">
        <v>14</v>
      </c>
      <c r="E145" s="7" t="s">
        <v>439</v>
      </c>
      <c r="F145" s="8" t="s">
        <v>440</v>
      </c>
      <c r="G145" s="13" t="s">
        <v>153</v>
      </c>
    </row>
    <row r="146" spans="1:7" x14ac:dyDescent="0.25">
      <c r="A146" s="12" t="s">
        <v>1488</v>
      </c>
      <c r="B146" s="6" t="s">
        <v>110</v>
      </c>
      <c r="C146" s="6" t="s">
        <v>8</v>
      </c>
      <c r="D146" s="6" t="s">
        <v>78</v>
      </c>
      <c r="E146" s="7" t="s">
        <v>441</v>
      </c>
      <c r="F146" s="8" t="s">
        <v>442</v>
      </c>
      <c r="G146" s="13" t="s">
        <v>55</v>
      </c>
    </row>
    <row r="147" spans="1:7" x14ac:dyDescent="0.25">
      <c r="A147" s="12" t="s">
        <v>1489</v>
      </c>
      <c r="B147" s="6" t="s">
        <v>22</v>
      </c>
      <c r="C147" s="6" t="s">
        <v>8</v>
      </c>
      <c r="D147" s="6" t="s">
        <v>101</v>
      </c>
      <c r="E147" s="7" t="s">
        <v>443</v>
      </c>
      <c r="F147" s="8" t="s">
        <v>444</v>
      </c>
      <c r="G147" s="13" t="s">
        <v>16</v>
      </c>
    </row>
    <row r="148" spans="1:7" x14ac:dyDescent="0.25">
      <c r="A148" s="12" t="s">
        <v>1490</v>
      </c>
      <c r="B148" s="6" t="s">
        <v>423</v>
      </c>
      <c r="C148" s="6" t="s">
        <v>18</v>
      </c>
      <c r="D148" s="6" t="s">
        <v>78</v>
      </c>
      <c r="E148" s="7" t="s">
        <v>445</v>
      </c>
      <c r="F148" s="8" t="s">
        <v>446</v>
      </c>
      <c r="G148" s="13" t="s">
        <v>205</v>
      </c>
    </row>
    <row r="149" spans="1:7" x14ac:dyDescent="0.25">
      <c r="A149" s="12" t="s">
        <v>1491</v>
      </c>
      <c r="B149" s="6" t="s">
        <v>110</v>
      </c>
      <c r="C149" s="6" t="s">
        <v>8</v>
      </c>
      <c r="D149" s="6" t="s">
        <v>78</v>
      </c>
      <c r="E149" s="7" t="s">
        <v>447</v>
      </c>
      <c r="F149" s="8" t="s">
        <v>448</v>
      </c>
      <c r="G149" s="13" t="s">
        <v>305</v>
      </c>
    </row>
    <row r="150" spans="1:7" x14ac:dyDescent="0.25">
      <c r="A150" s="12" t="s">
        <v>1492</v>
      </c>
      <c r="B150" s="6" t="s">
        <v>133</v>
      </c>
      <c r="C150" s="6" t="s">
        <v>52</v>
      </c>
      <c r="D150" s="6" t="s">
        <v>9</v>
      </c>
      <c r="E150" s="7" t="s">
        <v>449</v>
      </c>
      <c r="F150" s="8" t="s">
        <v>450</v>
      </c>
      <c r="G150" s="13" t="s">
        <v>156</v>
      </c>
    </row>
    <row r="151" spans="1:7" x14ac:dyDescent="0.25">
      <c r="A151" s="12" t="s">
        <v>1493</v>
      </c>
      <c r="B151" s="6" t="s">
        <v>142</v>
      </c>
      <c r="C151" s="6" t="s">
        <v>27</v>
      </c>
      <c r="D151" s="6" t="s">
        <v>19</v>
      </c>
      <c r="E151" s="7" t="s">
        <v>451</v>
      </c>
      <c r="F151" s="8" t="s">
        <v>452</v>
      </c>
      <c r="G151" s="13" t="s">
        <v>30</v>
      </c>
    </row>
    <row r="152" spans="1:7" x14ac:dyDescent="0.25">
      <c r="A152" s="12" t="s">
        <v>1494</v>
      </c>
      <c r="B152" s="6" t="s">
        <v>82</v>
      </c>
      <c r="C152" s="6" t="s">
        <v>63</v>
      </c>
      <c r="D152" s="6" t="s">
        <v>53</v>
      </c>
      <c r="E152" s="7" t="s">
        <v>453</v>
      </c>
      <c r="F152" s="8" t="s">
        <v>454</v>
      </c>
      <c r="G152" s="13" t="s">
        <v>145</v>
      </c>
    </row>
    <row r="153" spans="1:7" x14ac:dyDescent="0.25">
      <c r="A153" s="12" t="s">
        <v>1495</v>
      </c>
      <c r="B153" s="6" t="s">
        <v>455</v>
      </c>
      <c r="C153" s="6" t="s">
        <v>18</v>
      </c>
      <c r="D153" s="6" t="s">
        <v>101</v>
      </c>
      <c r="E153" s="7" t="s">
        <v>456</v>
      </c>
      <c r="F153" s="8" t="s">
        <v>457</v>
      </c>
      <c r="G153" s="13" t="s">
        <v>136</v>
      </c>
    </row>
    <row r="154" spans="1:7" x14ac:dyDescent="0.25">
      <c r="A154" s="12" t="s">
        <v>1496</v>
      </c>
      <c r="B154" s="6" t="s">
        <v>178</v>
      </c>
      <c r="C154" s="6" t="s">
        <v>179</v>
      </c>
      <c r="D154" s="6" t="s">
        <v>14</v>
      </c>
      <c r="E154" s="7" t="s">
        <v>458</v>
      </c>
      <c r="F154" s="8" t="s">
        <v>459</v>
      </c>
      <c r="G154" s="13" t="s">
        <v>160</v>
      </c>
    </row>
    <row r="155" spans="1:7" x14ac:dyDescent="0.25">
      <c r="A155" s="12" t="s">
        <v>1497</v>
      </c>
      <c r="B155" s="6" t="s">
        <v>255</v>
      </c>
      <c r="C155" s="6" t="s">
        <v>164</v>
      </c>
      <c r="D155" s="6" t="s">
        <v>53</v>
      </c>
      <c r="E155" s="7" t="s">
        <v>460</v>
      </c>
      <c r="F155" s="8" t="s">
        <v>461</v>
      </c>
      <c r="G155" s="13" t="s">
        <v>249</v>
      </c>
    </row>
    <row r="156" spans="1:7" x14ac:dyDescent="0.25">
      <c r="A156" s="12" t="s">
        <v>1498</v>
      </c>
      <c r="B156" s="6" t="s">
        <v>12</v>
      </c>
      <c r="C156" s="6" t="s">
        <v>13</v>
      </c>
      <c r="D156" s="6" t="s">
        <v>123</v>
      </c>
      <c r="E156" s="7" t="s">
        <v>462</v>
      </c>
      <c r="F156" s="8" t="s">
        <v>463</v>
      </c>
      <c r="G156" s="13" t="s">
        <v>174</v>
      </c>
    </row>
    <row r="157" spans="1:7" x14ac:dyDescent="0.25">
      <c r="A157" s="12" t="s">
        <v>1499</v>
      </c>
      <c r="B157" s="6" t="s">
        <v>178</v>
      </c>
      <c r="C157" s="6" t="s">
        <v>179</v>
      </c>
      <c r="D157" s="6" t="s">
        <v>91</v>
      </c>
      <c r="E157" s="7" t="s">
        <v>464</v>
      </c>
      <c r="F157" s="8" t="s">
        <v>465</v>
      </c>
      <c r="G157" s="13" t="s">
        <v>46</v>
      </c>
    </row>
    <row r="158" spans="1:7" x14ac:dyDescent="0.25">
      <c r="A158" s="12" t="s">
        <v>1500</v>
      </c>
      <c r="B158" s="6" t="s">
        <v>57</v>
      </c>
      <c r="C158" s="6" t="s">
        <v>42</v>
      </c>
      <c r="D158" s="6" t="s">
        <v>14</v>
      </c>
      <c r="E158" s="7" t="s">
        <v>466</v>
      </c>
      <c r="F158" s="8" t="s">
        <v>467</v>
      </c>
      <c r="G158" s="13" t="s">
        <v>208</v>
      </c>
    </row>
    <row r="159" spans="1:7" x14ac:dyDescent="0.25">
      <c r="A159" s="12" t="s">
        <v>1501</v>
      </c>
      <c r="B159" s="6" t="s">
        <v>468</v>
      </c>
      <c r="C159" s="6" t="s">
        <v>32</v>
      </c>
      <c r="D159" s="6" t="s">
        <v>78</v>
      </c>
      <c r="E159" s="7" t="s">
        <v>469</v>
      </c>
      <c r="F159" s="8" t="s">
        <v>470</v>
      </c>
      <c r="G159" s="13" t="s">
        <v>136</v>
      </c>
    </row>
    <row r="160" spans="1:7" x14ac:dyDescent="0.25">
      <c r="A160" s="12" t="s">
        <v>1502</v>
      </c>
      <c r="B160" s="6" t="s">
        <v>344</v>
      </c>
      <c r="C160" s="6" t="s">
        <v>63</v>
      </c>
      <c r="D160" s="6" t="s">
        <v>101</v>
      </c>
      <c r="E160" s="7" t="s">
        <v>471</v>
      </c>
      <c r="F160" s="8" t="s">
        <v>472</v>
      </c>
      <c r="G160" s="13" t="s">
        <v>305</v>
      </c>
    </row>
    <row r="161" spans="1:7" x14ac:dyDescent="0.25">
      <c r="A161" s="12" t="s">
        <v>1503</v>
      </c>
      <c r="B161" s="6" t="s">
        <v>178</v>
      </c>
      <c r="C161" s="6" t="s">
        <v>179</v>
      </c>
      <c r="D161" s="6" t="s">
        <v>91</v>
      </c>
      <c r="E161" s="7" t="s">
        <v>473</v>
      </c>
      <c r="F161" s="8" t="s">
        <v>474</v>
      </c>
      <c r="G161" s="13" t="s">
        <v>211</v>
      </c>
    </row>
    <row r="162" spans="1:7" x14ac:dyDescent="0.25">
      <c r="A162" s="12" t="s">
        <v>1504</v>
      </c>
      <c r="B162" s="6" t="s">
        <v>87</v>
      </c>
      <c r="C162" s="6" t="s">
        <v>42</v>
      </c>
      <c r="D162" s="6" t="s">
        <v>101</v>
      </c>
      <c r="E162" s="7" t="s">
        <v>475</v>
      </c>
      <c r="F162" s="8" t="s">
        <v>476</v>
      </c>
      <c r="G162" s="13" t="s">
        <v>77</v>
      </c>
    </row>
    <row r="163" spans="1:7" x14ac:dyDescent="0.25">
      <c r="A163" s="12" t="s">
        <v>1505</v>
      </c>
      <c r="B163" s="6" t="s">
        <v>398</v>
      </c>
      <c r="C163" s="6" t="s">
        <v>42</v>
      </c>
      <c r="D163" s="6" t="s">
        <v>14</v>
      </c>
      <c r="E163" s="7" t="s">
        <v>477</v>
      </c>
      <c r="F163" s="8" t="s">
        <v>478</v>
      </c>
      <c r="G163" s="13" t="s">
        <v>236</v>
      </c>
    </row>
    <row r="164" spans="1:7" x14ac:dyDescent="0.25">
      <c r="A164" s="12" t="s">
        <v>1506</v>
      </c>
      <c r="B164" s="6" t="s">
        <v>57</v>
      </c>
      <c r="C164" s="6" t="s">
        <v>42</v>
      </c>
      <c r="D164" s="6" t="s">
        <v>19</v>
      </c>
      <c r="E164" s="7" t="s">
        <v>479</v>
      </c>
      <c r="F164" s="8" t="s">
        <v>480</v>
      </c>
      <c r="G164" s="13" t="s">
        <v>30</v>
      </c>
    </row>
    <row r="165" spans="1:7" x14ac:dyDescent="0.25">
      <c r="A165" s="12" t="s">
        <v>1507</v>
      </c>
      <c r="B165" s="6" t="s">
        <v>364</v>
      </c>
      <c r="C165" s="6" t="s">
        <v>52</v>
      </c>
      <c r="D165" s="6" t="s">
        <v>53</v>
      </c>
      <c r="E165" s="7" t="s">
        <v>481</v>
      </c>
      <c r="F165" s="8" t="s">
        <v>482</v>
      </c>
      <c r="G165" s="13" t="s">
        <v>30</v>
      </c>
    </row>
    <row r="166" spans="1:7" x14ac:dyDescent="0.25">
      <c r="A166" s="12" t="s">
        <v>1508</v>
      </c>
      <c r="B166" s="6" t="s">
        <v>110</v>
      </c>
      <c r="C166" s="6" t="s">
        <v>8</v>
      </c>
      <c r="D166" s="6" t="s">
        <v>91</v>
      </c>
      <c r="E166" s="7" t="s">
        <v>483</v>
      </c>
      <c r="F166" s="8" t="s">
        <v>484</v>
      </c>
      <c r="G166" s="13" t="s">
        <v>95</v>
      </c>
    </row>
    <row r="167" spans="1:7" x14ac:dyDescent="0.25">
      <c r="A167" s="12" t="s">
        <v>1509</v>
      </c>
      <c r="B167" s="6" t="s">
        <v>82</v>
      </c>
      <c r="C167" s="6" t="s">
        <v>63</v>
      </c>
      <c r="D167" s="6" t="s">
        <v>91</v>
      </c>
      <c r="E167" s="7" t="s">
        <v>485</v>
      </c>
      <c r="F167" s="8" t="s">
        <v>486</v>
      </c>
      <c r="G167" s="13" t="s">
        <v>145</v>
      </c>
    </row>
    <row r="168" spans="1:7" x14ac:dyDescent="0.25">
      <c r="A168" s="12" t="s">
        <v>1510</v>
      </c>
      <c r="B168" s="6" t="s">
        <v>263</v>
      </c>
      <c r="C168" s="6" t="s">
        <v>8</v>
      </c>
      <c r="D168" s="6" t="s">
        <v>53</v>
      </c>
      <c r="E168" s="7" t="s">
        <v>487</v>
      </c>
      <c r="F168" s="8" t="s">
        <v>488</v>
      </c>
      <c r="G168" s="13" t="s">
        <v>248</v>
      </c>
    </row>
    <row r="169" spans="1:7" x14ac:dyDescent="0.25">
      <c r="A169" s="12" t="s">
        <v>1511</v>
      </c>
      <c r="B169" s="6" t="s">
        <v>274</v>
      </c>
      <c r="C169" s="6" t="s">
        <v>32</v>
      </c>
      <c r="D169" s="6" t="s">
        <v>14</v>
      </c>
      <c r="E169" s="7" t="s">
        <v>489</v>
      </c>
      <c r="F169" s="8" t="s">
        <v>490</v>
      </c>
      <c r="G169" s="13" t="s">
        <v>211</v>
      </c>
    </row>
    <row r="170" spans="1:7" x14ac:dyDescent="0.25">
      <c r="A170" s="12" t="s">
        <v>1512</v>
      </c>
      <c r="B170" s="6" t="s">
        <v>197</v>
      </c>
      <c r="C170" s="6" t="s">
        <v>18</v>
      </c>
      <c r="D170" s="6" t="s">
        <v>9</v>
      </c>
      <c r="E170" s="7" t="s">
        <v>491</v>
      </c>
      <c r="F170" s="8" t="s">
        <v>492</v>
      </c>
      <c r="G170" s="13" t="s">
        <v>171</v>
      </c>
    </row>
    <row r="171" spans="1:7" x14ac:dyDescent="0.25">
      <c r="A171" s="12" t="s">
        <v>1513</v>
      </c>
      <c r="B171" s="6" t="s">
        <v>398</v>
      </c>
      <c r="C171" s="6" t="s">
        <v>42</v>
      </c>
      <c r="D171" s="6" t="s">
        <v>28</v>
      </c>
      <c r="E171" s="7" t="s">
        <v>493</v>
      </c>
      <c r="F171" s="8" t="s">
        <v>494</v>
      </c>
      <c r="G171" s="13" t="s">
        <v>34</v>
      </c>
    </row>
    <row r="172" spans="1:7" x14ac:dyDescent="0.25">
      <c r="A172" s="12" t="s">
        <v>1514</v>
      </c>
      <c r="B172" s="6" t="s">
        <v>349</v>
      </c>
      <c r="C172" s="6" t="s">
        <v>179</v>
      </c>
      <c r="D172" s="6" t="s">
        <v>19</v>
      </c>
      <c r="E172" s="7" t="s">
        <v>495</v>
      </c>
      <c r="F172" s="8" t="s">
        <v>496</v>
      </c>
      <c r="G172" s="13" t="s">
        <v>25</v>
      </c>
    </row>
    <row r="173" spans="1:7" x14ac:dyDescent="0.25">
      <c r="A173" s="12" t="s">
        <v>1515</v>
      </c>
      <c r="B173" s="6" t="s">
        <v>31</v>
      </c>
      <c r="C173" s="6" t="s">
        <v>32</v>
      </c>
      <c r="D173" s="6" t="s">
        <v>58</v>
      </c>
      <c r="E173" s="7" t="s">
        <v>497</v>
      </c>
      <c r="F173" s="8" t="s">
        <v>498</v>
      </c>
      <c r="G173" s="13" t="s">
        <v>34</v>
      </c>
    </row>
    <row r="174" spans="1:7" x14ac:dyDescent="0.25">
      <c r="A174" s="12" t="s">
        <v>1516</v>
      </c>
      <c r="B174" s="6" t="s">
        <v>214</v>
      </c>
      <c r="C174" s="6" t="s">
        <v>164</v>
      </c>
      <c r="D174" s="6" t="s">
        <v>9</v>
      </c>
      <c r="E174" s="7" t="s">
        <v>499</v>
      </c>
      <c r="F174" s="8" t="s">
        <v>500</v>
      </c>
      <c r="G174" s="13" t="s">
        <v>227</v>
      </c>
    </row>
    <row r="175" spans="1:7" x14ac:dyDescent="0.25">
      <c r="A175" s="12" t="s">
        <v>1517</v>
      </c>
      <c r="B175" s="6" t="s">
        <v>184</v>
      </c>
      <c r="C175" s="6" t="s">
        <v>164</v>
      </c>
      <c r="D175" s="6" t="s">
        <v>78</v>
      </c>
      <c r="E175" s="7" t="s">
        <v>501</v>
      </c>
      <c r="F175" s="8" t="s">
        <v>502</v>
      </c>
      <c r="G175" s="13" t="s">
        <v>211</v>
      </c>
    </row>
    <row r="176" spans="1:7" x14ac:dyDescent="0.25">
      <c r="A176" s="12" t="s">
        <v>1518</v>
      </c>
      <c r="B176" s="6" t="s">
        <v>26</v>
      </c>
      <c r="C176" s="6" t="s">
        <v>27</v>
      </c>
      <c r="D176" s="6" t="s">
        <v>23</v>
      </c>
      <c r="E176" s="7" t="s">
        <v>503</v>
      </c>
      <c r="F176" s="8" t="s">
        <v>504</v>
      </c>
      <c r="G176" s="13" t="s">
        <v>240</v>
      </c>
    </row>
    <row r="177" spans="1:7" x14ac:dyDescent="0.25">
      <c r="A177" s="12" t="s">
        <v>1519</v>
      </c>
      <c r="B177" s="6" t="s">
        <v>416</v>
      </c>
      <c r="C177" s="6" t="s">
        <v>63</v>
      </c>
      <c r="D177" s="6" t="s">
        <v>36</v>
      </c>
      <c r="E177" s="7" t="s">
        <v>505</v>
      </c>
      <c r="F177" s="8" t="s">
        <v>506</v>
      </c>
      <c r="G177" s="13" t="s">
        <v>322</v>
      </c>
    </row>
    <row r="178" spans="1:7" x14ac:dyDescent="0.25">
      <c r="A178" s="12" t="s">
        <v>1520</v>
      </c>
      <c r="B178" s="6" t="s">
        <v>361</v>
      </c>
      <c r="C178" s="6" t="s">
        <v>179</v>
      </c>
      <c r="D178" s="6" t="s">
        <v>14</v>
      </c>
      <c r="E178" s="7" t="s">
        <v>507</v>
      </c>
      <c r="F178" s="8" t="s">
        <v>508</v>
      </c>
      <c r="G178" s="13" t="s">
        <v>16</v>
      </c>
    </row>
    <row r="179" spans="1:7" x14ac:dyDescent="0.25">
      <c r="A179" s="12" t="s">
        <v>1521</v>
      </c>
      <c r="B179" s="6" t="s">
        <v>509</v>
      </c>
      <c r="C179" s="6" t="s">
        <v>18</v>
      </c>
      <c r="D179" s="6" t="s">
        <v>14</v>
      </c>
      <c r="E179" s="7" t="s">
        <v>510</v>
      </c>
      <c r="F179" s="8" t="s">
        <v>511</v>
      </c>
      <c r="G179" s="13" t="s">
        <v>208</v>
      </c>
    </row>
    <row r="180" spans="1:7" x14ac:dyDescent="0.25">
      <c r="A180" s="12" t="s">
        <v>1522</v>
      </c>
      <c r="B180" s="6" t="s">
        <v>214</v>
      </c>
      <c r="C180" s="6" t="s">
        <v>164</v>
      </c>
      <c r="D180" s="6" t="s">
        <v>9</v>
      </c>
      <c r="E180" s="7" t="s">
        <v>512</v>
      </c>
      <c r="F180" s="8" t="s">
        <v>513</v>
      </c>
      <c r="G180" s="13" t="s">
        <v>205</v>
      </c>
    </row>
    <row r="181" spans="1:7" x14ac:dyDescent="0.25">
      <c r="A181" s="12" t="s">
        <v>1523</v>
      </c>
      <c r="B181" s="6" t="s">
        <v>35</v>
      </c>
      <c r="C181" s="6" t="s">
        <v>13</v>
      </c>
      <c r="D181" s="6" t="s">
        <v>101</v>
      </c>
      <c r="E181" s="7" t="s">
        <v>514</v>
      </c>
      <c r="F181" s="8" t="s">
        <v>515</v>
      </c>
      <c r="G181" s="13" t="s">
        <v>49</v>
      </c>
    </row>
    <row r="182" spans="1:7" x14ac:dyDescent="0.25">
      <c r="A182" s="12" t="s">
        <v>1524</v>
      </c>
      <c r="B182" s="6" t="s">
        <v>12</v>
      </c>
      <c r="C182" s="6" t="s">
        <v>13</v>
      </c>
      <c r="D182" s="6" t="s">
        <v>78</v>
      </c>
      <c r="E182" s="7" t="s">
        <v>516</v>
      </c>
      <c r="F182" s="8" t="s">
        <v>517</v>
      </c>
      <c r="G182" s="13" t="s">
        <v>289</v>
      </c>
    </row>
    <row r="183" spans="1:7" x14ac:dyDescent="0.25">
      <c r="A183" s="12" t="s">
        <v>1525</v>
      </c>
      <c r="B183" s="6" t="s">
        <v>518</v>
      </c>
      <c r="C183" s="6" t="s">
        <v>164</v>
      </c>
      <c r="D183" s="6" t="s">
        <v>123</v>
      </c>
      <c r="E183" s="7" t="s">
        <v>519</v>
      </c>
      <c r="F183" s="8" t="s">
        <v>520</v>
      </c>
      <c r="G183" s="13" t="s">
        <v>171</v>
      </c>
    </row>
    <row r="184" spans="1:7" x14ac:dyDescent="0.25">
      <c r="A184" s="12" t="s">
        <v>1526</v>
      </c>
      <c r="B184" s="6" t="s">
        <v>110</v>
      </c>
      <c r="C184" s="6" t="s">
        <v>8</v>
      </c>
      <c r="D184" s="6" t="s">
        <v>78</v>
      </c>
      <c r="E184" s="7" t="s">
        <v>521</v>
      </c>
      <c r="F184" s="8" t="s">
        <v>522</v>
      </c>
      <c r="G184" s="13" t="s">
        <v>319</v>
      </c>
    </row>
    <row r="185" spans="1:7" x14ac:dyDescent="0.25">
      <c r="A185" s="12" t="s">
        <v>1527</v>
      </c>
      <c r="B185" s="6" t="s">
        <v>523</v>
      </c>
      <c r="C185" s="6" t="s">
        <v>18</v>
      </c>
      <c r="D185" s="6" t="s">
        <v>23</v>
      </c>
      <c r="E185" s="7" t="s">
        <v>524</v>
      </c>
      <c r="F185" s="8" t="s">
        <v>525</v>
      </c>
      <c r="G185" s="13" t="s">
        <v>175</v>
      </c>
    </row>
    <row r="186" spans="1:7" x14ac:dyDescent="0.25">
      <c r="A186" s="12" t="s">
        <v>1528</v>
      </c>
      <c r="B186" s="6" t="s">
        <v>17</v>
      </c>
      <c r="C186" s="6" t="s">
        <v>18</v>
      </c>
      <c r="D186" s="6" t="s">
        <v>23</v>
      </c>
      <c r="E186" s="7" t="s">
        <v>526</v>
      </c>
      <c r="F186" s="8" t="s">
        <v>527</v>
      </c>
      <c r="G186" s="13" t="s">
        <v>286</v>
      </c>
    </row>
    <row r="187" spans="1:7" x14ac:dyDescent="0.25">
      <c r="A187" s="12" t="s">
        <v>1529</v>
      </c>
      <c r="B187" s="6" t="s">
        <v>344</v>
      </c>
      <c r="C187" s="6" t="s">
        <v>63</v>
      </c>
      <c r="D187" s="6" t="s">
        <v>19</v>
      </c>
      <c r="E187" s="7" t="s">
        <v>528</v>
      </c>
      <c r="F187" s="8" t="s">
        <v>529</v>
      </c>
      <c r="G187" s="13" t="s">
        <v>77</v>
      </c>
    </row>
    <row r="188" spans="1:7" x14ac:dyDescent="0.25">
      <c r="A188" s="12" t="s">
        <v>1530</v>
      </c>
      <c r="B188" s="6" t="s">
        <v>398</v>
      </c>
      <c r="C188" s="6" t="s">
        <v>42</v>
      </c>
      <c r="D188" s="6" t="s">
        <v>23</v>
      </c>
      <c r="E188" s="7" t="s">
        <v>530</v>
      </c>
      <c r="F188" s="8" t="s">
        <v>531</v>
      </c>
      <c r="G188" s="13" t="s">
        <v>211</v>
      </c>
    </row>
    <row r="189" spans="1:7" x14ac:dyDescent="0.25">
      <c r="A189" s="12" t="s">
        <v>1531</v>
      </c>
      <c r="B189" s="6" t="s">
        <v>163</v>
      </c>
      <c r="C189" s="6" t="s">
        <v>164</v>
      </c>
      <c r="D189" s="6" t="s">
        <v>58</v>
      </c>
      <c r="E189" s="7" t="s">
        <v>532</v>
      </c>
      <c r="F189" s="8" t="s">
        <v>533</v>
      </c>
      <c r="G189" s="13" t="s">
        <v>56</v>
      </c>
    </row>
    <row r="190" spans="1:7" x14ac:dyDescent="0.25">
      <c r="A190" s="12" t="s">
        <v>1532</v>
      </c>
      <c r="B190" s="6" t="s">
        <v>31</v>
      </c>
      <c r="C190" s="6" t="s">
        <v>32</v>
      </c>
      <c r="D190" s="6" t="s">
        <v>101</v>
      </c>
      <c r="E190" s="7" t="s">
        <v>534</v>
      </c>
      <c r="F190" s="8" t="s">
        <v>535</v>
      </c>
      <c r="G190" s="13" t="s">
        <v>277</v>
      </c>
    </row>
    <row r="191" spans="1:7" x14ac:dyDescent="0.25">
      <c r="A191" s="12" t="s">
        <v>1533</v>
      </c>
      <c r="B191" s="6" t="s">
        <v>518</v>
      </c>
      <c r="C191" s="6" t="s">
        <v>164</v>
      </c>
      <c r="D191" s="6" t="s">
        <v>78</v>
      </c>
      <c r="E191" s="7" t="s">
        <v>287</v>
      </c>
      <c r="F191" s="8" t="s">
        <v>536</v>
      </c>
      <c r="G191" s="13" t="s">
        <v>270</v>
      </c>
    </row>
    <row r="192" spans="1:7" x14ac:dyDescent="0.25">
      <c r="A192" s="12" t="s">
        <v>1534</v>
      </c>
      <c r="B192" s="6" t="s">
        <v>41</v>
      </c>
      <c r="C192" s="6" t="s">
        <v>42</v>
      </c>
      <c r="D192" s="6" t="s">
        <v>91</v>
      </c>
      <c r="E192" s="7" t="s">
        <v>537</v>
      </c>
      <c r="F192" s="8" t="s">
        <v>538</v>
      </c>
      <c r="G192" s="13" t="s">
        <v>204</v>
      </c>
    </row>
    <row r="193" spans="1:7" x14ac:dyDescent="0.25">
      <c r="A193" s="12" t="s">
        <v>1535</v>
      </c>
      <c r="B193" s="6" t="s">
        <v>87</v>
      </c>
      <c r="C193" s="6" t="s">
        <v>42</v>
      </c>
      <c r="D193" s="6" t="s">
        <v>36</v>
      </c>
      <c r="E193" s="7" t="s">
        <v>539</v>
      </c>
      <c r="F193" s="8" t="s">
        <v>540</v>
      </c>
      <c r="G193" s="13" t="s">
        <v>226</v>
      </c>
    </row>
    <row r="194" spans="1:7" x14ac:dyDescent="0.25">
      <c r="A194" s="12" t="s">
        <v>1536</v>
      </c>
      <c r="B194" s="6" t="s">
        <v>150</v>
      </c>
      <c r="C194" s="6" t="s">
        <v>32</v>
      </c>
      <c r="D194" s="6" t="s">
        <v>36</v>
      </c>
      <c r="E194" s="7" t="s">
        <v>541</v>
      </c>
      <c r="F194" s="8" t="s">
        <v>542</v>
      </c>
      <c r="G194" s="13" t="s">
        <v>262</v>
      </c>
    </row>
    <row r="195" spans="1:7" x14ac:dyDescent="0.25">
      <c r="A195" s="12" t="s">
        <v>1537</v>
      </c>
      <c r="B195" s="6" t="s">
        <v>344</v>
      </c>
      <c r="C195" s="6" t="s">
        <v>63</v>
      </c>
      <c r="D195" s="6" t="s">
        <v>58</v>
      </c>
      <c r="E195" s="7" t="s">
        <v>543</v>
      </c>
      <c r="F195" s="8" t="s">
        <v>544</v>
      </c>
      <c r="G195" s="13" t="s">
        <v>337</v>
      </c>
    </row>
    <row r="196" spans="1:7" x14ac:dyDescent="0.25">
      <c r="A196" s="12" t="s">
        <v>1538</v>
      </c>
      <c r="B196" s="6" t="s">
        <v>82</v>
      </c>
      <c r="C196" s="6" t="s">
        <v>63</v>
      </c>
      <c r="D196" s="6" t="s">
        <v>28</v>
      </c>
      <c r="E196" s="7" t="s">
        <v>545</v>
      </c>
      <c r="F196" s="8" t="s">
        <v>546</v>
      </c>
      <c r="G196" s="13" t="s">
        <v>34</v>
      </c>
    </row>
    <row r="197" spans="1:7" x14ac:dyDescent="0.25">
      <c r="A197" s="12" t="s">
        <v>1539</v>
      </c>
      <c r="B197" s="6" t="s">
        <v>356</v>
      </c>
      <c r="C197" s="6" t="s">
        <v>18</v>
      </c>
      <c r="D197" s="6" t="s">
        <v>23</v>
      </c>
      <c r="E197" s="7" t="s">
        <v>547</v>
      </c>
      <c r="F197" s="8" t="s">
        <v>548</v>
      </c>
      <c r="G197" s="13" t="s">
        <v>337</v>
      </c>
    </row>
    <row r="198" spans="1:7" x14ac:dyDescent="0.25">
      <c r="A198" s="12" t="s">
        <v>1540</v>
      </c>
      <c r="B198" s="6" t="s">
        <v>385</v>
      </c>
      <c r="C198" s="6" t="s">
        <v>32</v>
      </c>
      <c r="D198" s="6" t="s">
        <v>14</v>
      </c>
      <c r="E198" s="7" t="s">
        <v>549</v>
      </c>
      <c r="F198" s="8" t="s">
        <v>550</v>
      </c>
      <c r="G198" s="13" t="s">
        <v>160</v>
      </c>
    </row>
    <row r="199" spans="1:7" x14ac:dyDescent="0.25">
      <c r="A199" s="12" t="s">
        <v>1541</v>
      </c>
      <c r="B199" s="6" t="s">
        <v>468</v>
      </c>
      <c r="C199" s="6" t="s">
        <v>32</v>
      </c>
      <c r="D199" s="6" t="s">
        <v>19</v>
      </c>
      <c r="E199" s="7" t="s">
        <v>551</v>
      </c>
      <c r="F199" s="8" t="s">
        <v>552</v>
      </c>
      <c r="G199" s="13" t="s">
        <v>56</v>
      </c>
    </row>
    <row r="200" spans="1:7" x14ac:dyDescent="0.25">
      <c r="A200" s="12" t="s">
        <v>1542</v>
      </c>
      <c r="B200" s="6" t="s">
        <v>35</v>
      </c>
      <c r="C200" s="6" t="s">
        <v>13</v>
      </c>
      <c r="D200" s="6" t="s">
        <v>78</v>
      </c>
      <c r="E200" s="7" t="s">
        <v>553</v>
      </c>
      <c r="F200" s="8" t="s">
        <v>554</v>
      </c>
      <c r="G200" s="13" t="s">
        <v>85</v>
      </c>
    </row>
    <row r="201" spans="1:7" x14ac:dyDescent="0.25">
      <c r="A201" s="12" t="s">
        <v>1543</v>
      </c>
      <c r="B201" s="6" t="s">
        <v>157</v>
      </c>
      <c r="C201" s="6" t="s">
        <v>27</v>
      </c>
      <c r="D201" s="6" t="s">
        <v>23</v>
      </c>
      <c r="E201" s="7" t="s">
        <v>555</v>
      </c>
      <c r="F201" s="8" t="s">
        <v>556</v>
      </c>
      <c r="G201" s="13" t="s">
        <v>211</v>
      </c>
    </row>
    <row r="202" spans="1:7" x14ac:dyDescent="0.25">
      <c r="A202" s="12" t="s">
        <v>1544</v>
      </c>
      <c r="B202" s="6" t="s">
        <v>250</v>
      </c>
      <c r="C202" s="6" t="s">
        <v>63</v>
      </c>
      <c r="D202" s="6" t="s">
        <v>123</v>
      </c>
      <c r="E202" s="7" t="s">
        <v>557</v>
      </c>
      <c r="F202" s="8" t="s">
        <v>558</v>
      </c>
      <c r="G202" s="13" t="s">
        <v>77</v>
      </c>
    </row>
    <row r="203" spans="1:7" x14ac:dyDescent="0.25">
      <c r="A203" s="12" t="s">
        <v>1545</v>
      </c>
      <c r="B203" s="6" t="s">
        <v>250</v>
      </c>
      <c r="C203" s="6" t="s">
        <v>63</v>
      </c>
      <c r="D203" s="6" t="s">
        <v>101</v>
      </c>
      <c r="E203" s="7" t="s">
        <v>559</v>
      </c>
      <c r="F203" s="8" t="s">
        <v>560</v>
      </c>
      <c r="G203" s="13" t="s">
        <v>45</v>
      </c>
    </row>
    <row r="204" spans="1:7" x14ac:dyDescent="0.25">
      <c r="A204" s="12" t="s">
        <v>1546</v>
      </c>
      <c r="B204" s="6" t="s">
        <v>51</v>
      </c>
      <c r="C204" s="6" t="s">
        <v>52</v>
      </c>
      <c r="D204" s="6" t="s">
        <v>101</v>
      </c>
      <c r="E204" s="7" t="s">
        <v>561</v>
      </c>
      <c r="F204" s="8" t="s">
        <v>562</v>
      </c>
      <c r="G204" s="13" t="s">
        <v>117</v>
      </c>
    </row>
    <row r="205" spans="1:7" x14ac:dyDescent="0.25">
      <c r="A205" s="12" t="s">
        <v>1547</v>
      </c>
      <c r="B205" s="6" t="s">
        <v>563</v>
      </c>
      <c r="C205" s="6" t="s">
        <v>52</v>
      </c>
      <c r="D205" s="6" t="s">
        <v>9</v>
      </c>
      <c r="E205" s="7" t="s">
        <v>564</v>
      </c>
      <c r="F205" s="8" t="s">
        <v>565</v>
      </c>
      <c r="G205" s="13" t="s">
        <v>121</v>
      </c>
    </row>
    <row r="206" spans="1:7" x14ac:dyDescent="0.25">
      <c r="A206" s="12" t="s">
        <v>1548</v>
      </c>
      <c r="B206" s="6" t="s">
        <v>178</v>
      </c>
      <c r="C206" s="6" t="s">
        <v>179</v>
      </c>
      <c r="D206" s="6" t="s">
        <v>23</v>
      </c>
      <c r="E206" s="7" t="s">
        <v>566</v>
      </c>
      <c r="F206" s="8" t="s">
        <v>567</v>
      </c>
      <c r="G206" s="13" t="s">
        <v>113</v>
      </c>
    </row>
    <row r="207" spans="1:7" x14ac:dyDescent="0.25">
      <c r="A207" s="12" t="s">
        <v>1549</v>
      </c>
      <c r="B207" s="6" t="s">
        <v>47</v>
      </c>
      <c r="C207" s="6" t="s">
        <v>42</v>
      </c>
      <c r="D207" s="6" t="s">
        <v>78</v>
      </c>
      <c r="E207" s="7" t="s">
        <v>568</v>
      </c>
      <c r="F207" s="8" t="s">
        <v>569</v>
      </c>
      <c r="G207" s="13" t="s">
        <v>76</v>
      </c>
    </row>
    <row r="208" spans="1:7" x14ac:dyDescent="0.25">
      <c r="A208" s="12" t="s">
        <v>1550</v>
      </c>
      <c r="B208" s="6" t="s">
        <v>35</v>
      </c>
      <c r="C208" s="6" t="s">
        <v>13</v>
      </c>
      <c r="D208" s="6" t="s">
        <v>123</v>
      </c>
      <c r="E208" s="7" t="s">
        <v>570</v>
      </c>
      <c r="F208" s="8" t="s">
        <v>571</v>
      </c>
      <c r="G208" s="13" t="s">
        <v>104</v>
      </c>
    </row>
    <row r="209" spans="1:7" x14ac:dyDescent="0.25">
      <c r="A209" s="12" t="s">
        <v>1551</v>
      </c>
      <c r="B209" s="6" t="s">
        <v>12</v>
      </c>
      <c r="C209" s="6" t="s">
        <v>13</v>
      </c>
      <c r="D209" s="6" t="s">
        <v>14</v>
      </c>
      <c r="E209" s="7" t="s">
        <v>572</v>
      </c>
      <c r="F209" s="8" t="s">
        <v>573</v>
      </c>
      <c r="G209" s="13" t="s">
        <v>239</v>
      </c>
    </row>
    <row r="210" spans="1:7" x14ac:dyDescent="0.25">
      <c r="A210" s="12" t="s">
        <v>1552</v>
      </c>
      <c r="B210" s="6" t="s">
        <v>349</v>
      </c>
      <c r="C210" s="6" t="s">
        <v>179</v>
      </c>
      <c r="D210" s="6" t="s">
        <v>36</v>
      </c>
      <c r="E210" s="7" t="s">
        <v>574</v>
      </c>
      <c r="F210" s="8" t="s">
        <v>575</v>
      </c>
      <c r="G210" s="13" t="s">
        <v>11</v>
      </c>
    </row>
    <row r="211" spans="1:7" x14ac:dyDescent="0.25">
      <c r="A211" s="12" t="s">
        <v>1553</v>
      </c>
      <c r="B211" s="6" t="s">
        <v>576</v>
      </c>
      <c r="C211" s="6" t="s">
        <v>63</v>
      </c>
      <c r="D211" s="6" t="s">
        <v>58</v>
      </c>
      <c r="E211" s="7" t="s">
        <v>577</v>
      </c>
      <c r="F211" s="8" t="s">
        <v>578</v>
      </c>
      <c r="G211" s="13" t="s">
        <v>129</v>
      </c>
    </row>
    <row r="212" spans="1:7" x14ac:dyDescent="0.25">
      <c r="A212" s="12" t="s">
        <v>1554</v>
      </c>
      <c r="B212" s="6" t="s">
        <v>184</v>
      </c>
      <c r="C212" s="6" t="s">
        <v>164</v>
      </c>
      <c r="D212" s="6" t="s">
        <v>14</v>
      </c>
      <c r="E212" s="7" t="s">
        <v>579</v>
      </c>
      <c r="F212" s="8" t="s">
        <v>580</v>
      </c>
      <c r="G212" s="13" t="s">
        <v>46</v>
      </c>
    </row>
    <row r="213" spans="1:7" x14ac:dyDescent="0.25">
      <c r="A213" s="12" t="s">
        <v>1555</v>
      </c>
      <c r="B213" s="6" t="s">
        <v>62</v>
      </c>
      <c r="C213" s="6" t="s">
        <v>63</v>
      </c>
      <c r="D213" s="6" t="s">
        <v>36</v>
      </c>
      <c r="E213" s="7" t="s">
        <v>581</v>
      </c>
      <c r="F213" s="8" t="s">
        <v>582</v>
      </c>
      <c r="G213" s="13" t="s">
        <v>81</v>
      </c>
    </row>
    <row r="214" spans="1:7" x14ac:dyDescent="0.25">
      <c r="A214" s="12" t="s">
        <v>1556</v>
      </c>
      <c r="B214" s="6" t="s">
        <v>82</v>
      </c>
      <c r="C214" s="6" t="s">
        <v>63</v>
      </c>
      <c r="D214" s="6" t="s">
        <v>19</v>
      </c>
      <c r="E214" s="7" t="s">
        <v>583</v>
      </c>
      <c r="F214" s="8" t="s">
        <v>584</v>
      </c>
      <c r="G214" s="13" t="s">
        <v>319</v>
      </c>
    </row>
    <row r="215" spans="1:7" x14ac:dyDescent="0.25">
      <c r="A215" s="12" t="s">
        <v>1557</v>
      </c>
      <c r="B215" s="6" t="s">
        <v>385</v>
      </c>
      <c r="C215" s="6" t="s">
        <v>32</v>
      </c>
      <c r="D215" s="6" t="s">
        <v>9</v>
      </c>
      <c r="E215" s="7" t="s">
        <v>585</v>
      </c>
      <c r="F215" s="8" t="s">
        <v>586</v>
      </c>
      <c r="G215" s="13" t="s">
        <v>211</v>
      </c>
    </row>
    <row r="216" spans="1:7" x14ac:dyDescent="0.25">
      <c r="A216" s="12" t="s">
        <v>1558</v>
      </c>
      <c r="B216" s="6" t="s">
        <v>184</v>
      </c>
      <c r="C216" s="6" t="s">
        <v>164</v>
      </c>
      <c r="D216" s="6" t="s">
        <v>36</v>
      </c>
      <c r="E216" s="7" t="s">
        <v>587</v>
      </c>
      <c r="F216" s="8" t="s">
        <v>588</v>
      </c>
      <c r="G216" s="13" t="s">
        <v>239</v>
      </c>
    </row>
    <row r="217" spans="1:7" x14ac:dyDescent="0.25">
      <c r="A217" s="12" t="s">
        <v>1559</v>
      </c>
      <c r="B217" s="6" t="s">
        <v>47</v>
      </c>
      <c r="C217" s="6" t="s">
        <v>42</v>
      </c>
      <c r="D217" s="6" t="s">
        <v>28</v>
      </c>
      <c r="E217" s="7" t="s">
        <v>589</v>
      </c>
      <c r="F217" s="8" t="s">
        <v>590</v>
      </c>
      <c r="G217" s="13" t="s">
        <v>223</v>
      </c>
    </row>
    <row r="218" spans="1:7" x14ac:dyDescent="0.25">
      <c r="A218" s="12" t="s">
        <v>1560</v>
      </c>
      <c r="B218" s="6" t="s">
        <v>591</v>
      </c>
      <c r="C218" s="6" t="s">
        <v>18</v>
      </c>
      <c r="D218" s="6" t="s">
        <v>101</v>
      </c>
      <c r="E218" s="7" t="s">
        <v>592</v>
      </c>
      <c r="F218" s="8" t="s">
        <v>593</v>
      </c>
      <c r="G218" s="13" t="s">
        <v>217</v>
      </c>
    </row>
    <row r="219" spans="1:7" x14ac:dyDescent="0.25">
      <c r="A219" s="12" t="s">
        <v>1561</v>
      </c>
      <c r="B219" s="6" t="s">
        <v>594</v>
      </c>
      <c r="C219" s="6" t="s">
        <v>63</v>
      </c>
      <c r="D219" s="6" t="s">
        <v>19</v>
      </c>
      <c r="E219" s="7" t="s">
        <v>595</v>
      </c>
      <c r="F219" s="8" t="s">
        <v>596</v>
      </c>
      <c r="G219" s="13" t="s">
        <v>233</v>
      </c>
    </row>
    <row r="220" spans="1:7" x14ac:dyDescent="0.25">
      <c r="A220" s="12" t="s">
        <v>1562</v>
      </c>
      <c r="B220" s="6" t="s">
        <v>142</v>
      </c>
      <c r="C220" s="6" t="s">
        <v>27</v>
      </c>
      <c r="D220" s="6" t="s">
        <v>9</v>
      </c>
      <c r="E220" s="7" t="s">
        <v>597</v>
      </c>
      <c r="F220" s="8" t="s">
        <v>598</v>
      </c>
      <c r="G220" s="13" t="s">
        <v>217</v>
      </c>
    </row>
    <row r="221" spans="1:7" x14ac:dyDescent="0.25">
      <c r="A221" s="12" t="s">
        <v>1563</v>
      </c>
      <c r="B221" s="6" t="s">
        <v>178</v>
      </c>
      <c r="C221" s="6" t="s">
        <v>179</v>
      </c>
      <c r="D221" s="6" t="s">
        <v>14</v>
      </c>
      <c r="E221" s="7" t="s">
        <v>599</v>
      </c>
      <c r="F221" s="8" t="s">
        <v>600</v>
      </c>
      <c r="G221" s="13" t="s">
        <v>305</v>
      </c>
    </row>
    <row r="222" spans="1:7" x14ac:dyDescent="0.25">
      <c r="A222" s="12" t="s">
        <v>1564</v>
      </c>
      <c r="B222" s="6" t="s">
        <v>591</v>
      </c>
      <c r="C222" s="6" t="s">
        <v>18</v>
      </c>
      <c r="D222" s="6" t="s">
        <v>53</v>
      </c>
      <c r="E222" s="7" t="s">
        <v>601</v>
      </c>
      <c r="F222" s="8" t="s">
        <v>602</v>
      </c>
      <c r="G222" s="13" t="s">
        <v>145</v>
      </c>
    </row>
    <row r="223" spans="1:7" x14ac:dyDescent="0.25">
      <c r="A223" s="12" t="s">
        <v>1565</v>
      </c>
      <c r="B223" s="6" t="s">
        <v>12</v>
      </c>
      <c r="C223" s="6" t="s">
        <v>13</v>
      </c>
      <c r="D223" s="6" t="s">
        <v>14</v>
      </c>
      <c r="E223" s="7" t="s">
        <v>603</v>
      </c>
      <c r="F223" s="8" t="s">
        <v>604</v>
      </c>
      <c r="G223" s="13" t="s">
        <v>204</v>
      </c>
    </row>
    <row r="224" spans="1:7" x14ac:dyDescent="0.25">
      <c r="A224" s="12" t="s">
        <v>1566</v>
      </c>
      <c r="B224" s="6" t="s">
        <v>7</v>
      </c>
      <c r="C224" s="6" t="s">
        <v>8</v>
      </c>
      <c r="D224" s="6" t="s">
        <v>23</v>
      </c>
      <c r="E224" s="7" t="s">
        <v>605</v>
      </c>
      <c r="F224" s="8" t="s">
        <v>606</v>
      </c>
      <c r="G224" s="13" t="s">
        <v>38</v>
      </c>
    </row>
    <row r="225" spans="1:7" x14ac:dyDescent="0.25">
      <c r="A225" s="12" t="s">
        <v>1567</v>
      </c>
      <c r="B225" s="6" t="s">
        <v>364</v>
      </c>
      <c r="C225" s="6" t="s">
        <v>52</v>
      </c>
      <c r="D225" s="6" t="s">
        <v>9</v>
      </c>
      <c r="E225" s="7" t="s">
        <v>607</v>
      </c>
      <c r="F225" s="8" t="s">
        <v>608</v>
      </c>
      <c r="G225" s="13" t="s">
        <v>308</v>
      </c>
    </row>
    <row r="226" spans="1:7" x14ac:dyDescent="0.25">
      <c r="A226" s="12" t="s">
        <v>1568</v>
      </c>
      <c r="B226" s="6" t="s">
        <v>250</v>
      </c>
      <c r="C226" s="6" t="s">
        <v>63</v>
      </c>
      <c r="D226" s="6" t="s">
        <v>9</v>
      </c>
      <c r="E226" s="7" t="s">
        <v>609</v>
      </c>
      <c r="F226" s="8" t="s">
        <v>610</v>
      </c>
      <c r="G226" s="13" t="s">
        <v>182</v>
      </c>
    </row>
    <row r="227" spans="1:7" x14ac:dyDescent="0.25">
      <c r="A227" s="12" t="s">
        <v>1569</v>
      </c>
      <c r="B227" s="6" t="s">
        <v>364</v>
      </c>
      <c r="C227" s="6" t="s">
        <v>52</v>
      </c>
      <c r="D227" s="6" t="s">
        <v>28</v>
      </c>
      <c r="E227" s="7" t="s">
        <v>611</v>
      </c>
      <c r="F227" s="8" t="s">
        <v>612</v>
      </c>
      <c r="G227" s="13" t="s">
        <v>258</v>
      </c>
    </row>
    <row r="228" spans="1:7" x14ac:dyDescent="0.25">
      <c r="A228" s="12" t="s">
        <v>1570</v>
      </c>
      <c r="B228" s="6" t="s">
        <v>41</v>
      </c>
      <c r="C228" s="6" t="s">
        <v>42</v>
      </c>
      <c r="D228" s="6" t="s">
        <v>28</v>
      </c>
      <c r="E228" s="7" t="s">
        <v>613</v>
      </c>
      <c r="F228" s="8" t="s">
        <v>614</v>
      </c>
      <c r="G228" s="13" t="s">
        <v>174</v>
      </c>
    </row>
    <row r="229" spans="1:7" x14ac:dyDescent="0.25">
      <c r="A229" s="12" t="s">
        <v>1571</v>
      </c>
      <c r="B229" s="6" t="s">
        <v>41</v>
      </c>
      <c r="C229" s="6" t="s">
        <v>42</v>
      </c>
      <c r="D229" s="6" t="s">
        <v>19</v>
      </c>
      <c r="E229" s="7" t="s">
        <v>615</v>
      </c>
      <c r="F229" s="8" t="s">
        <v>616</v>
      </c>
      <c r="G229" s="13" t="s">
        <v>204</v>
      </c>
    </row>
    <row r="230" spans="1:7" x14ac:dyDescent="0.25">
      <c r="A230" s="12" t="s">
        <v>1572</v>
      </c>
      <c r="B230" s="6" t="s">
        <v>263</v>
      </c>
      <c r="C230" s="6" t="s">
        <v>8</v>
      </c>
      <c r="D230" s="6" t="s">
        <v>36</v>
      </c>
      <c r="E230" s="7" t="s">
        <v>617</v>
      </c>
      <c r="F230" s="8" t="s">
        <v>618</v>
      </c>
      <c r="G230" s="13" t="s">
        <v>30</v>
      </c>
    </row>
    <row r="231" spans="1:7" x14ac:dyDescent="0.25">
      <c r="A231" s="12" t="s">
        <v>1573</v>
      </c>
      <c r="B231" s="6" t="s">
        <v>26</v>
      </c>
      <c r="C231" s="6" t="s">
        <v>27</v>
      </c>
      <c r="D231" s="6" t="s">
        <v>23</v>
      </c>
      <c r="E231" s="7" t="s">
        <v>619</v>
      </c>
      <c r="F231" s="8" t="s">
        <v>620</v>
      </c>
      <c r="G231" s="13" t="s">
        <v>220</v>
      </c>
    </row>
    <row r="232" spans="1:7" x14ac:dyDescent="0.25">
      <c r="A232" s="12" t="s">
        <v>1574</v>
      </c>
      <c r="B232" s="6" t="s">
        <v>178</v>
      </c>
      <c r="C232" s="6" t="s">
        <v>179</v>
      </c>
      <c r="D232" s="6" t="s">
        <v>78</v>
      </c>
      <c r="E232" s="7" t="s">
        <v>621</v>
      </c>
      <c r="F232" s="8" t="s">
        <v>622</v>
      </c>
      <c r="G232" s="13" t="s">
        <v>240</v>
      </c>
    </row>
    <row r="233" spans="1:7" x14ac:dyDescent="0.25">
      <c r="A233" s="12" t="s">
        <v>1575</v>
      </c>
      <c r="B233" s="6" t="s">
        <v>228</v>
      </c>
      <c r="C233" s="6" t="s">
        <v>63</v>
      </c>
      <c r="D233" s="6" t="s">
        <v>101</v>
      </c>
      <c r="E233" s="7" t="s">
        <v>623</v>
      </c>
      <c r="F233" s="8" t="s">
        <v>624</v>
      </c>
      <c r="G233" s="13" t="s">
        <v>45</v>
      </c>
    </row>
    <row r="234" spans="1:7" x14ac:dyDescent="0.25">
      <c r="A234" s="12" t="s">
        <v>1576</v>
      </c>
      <c r="B234" s="6" t="s">
        <v>364</v>
      </c>
      <c r="C234" s="6" t="s">
        <v>52</v>
      </c>
      <c r="D234" s="6" t="s">
        <v>101</v>
      </c>
      <c r="E234" s="7" t="s">
        <v>625</v>
      </c>
      <c r="F234" s="8" t="s">
        <v>626</v>
      </c>
      <c r="G234" s="13" t="s">
        <v>175</v>
      </c>
    </row>
    <row r="235" spans="1:7" x14ac:dyDescent="0.25">
      <c r="A235" s="12" t="s">
        <v>1577</v>
      </c>
      <c r="B235" s="6" t="s">
        <v>26</v>
      </c>
      <c r="C235" s="6" t="s">
        <v>27</v>
      </c>
      <c r="D235" s="6" t="s">
        <v>78</v>
      </c>
      <c r="E235" s="7" t="s">
        <v>627</v>
      </c>
      <c r="F235" s="8" t="s">
        <v>628</v>
      </c>
      <c r="G235" s="13" t="s">
        <v>95</v>
      </c>
    </row>
    <row r="236" spans="1:7" x14ac:dyDescent="0.25">
      <c r="A236" s="12" t="s">
        <v>1578</v>
      </c>
      <c r="B236" s="6" t="s">
        <v>361</v>
      </c>
      <c r="C236" s="6" t="s">
        <v>179</v>
      </c>
      <c r="D236" s="6" t="s">
        <v>9</v>
      </c>
      <c r="E236" s="7" t="s">
        <v>629</v>
      </c>
      <c r="F236" s="8" t="s">
        <v>630</v>
      </c>
      <c r="G236" s="13" t="s">
        <v>289</v>
      </c>
    </row>
    <row r="237" spans="1:7" x14ac:dyDescent="0.25">
      <c r="A237" s="12" t="s">
        <v>1579</v>
      </c>
      <c r="B237" s="6" t="s">
        <v>214</v>
      </c>
      <c r="C237" s="6" t="s">
        <v>164</v>
      </c>
      <c r="D237" s="6" t="s">
        <v>53</v>
      </c>
      <c r="E237" s="7" t="s">
        <v>631</v>
      </c>
      <c r="F237" s="8" t="s">
        <v>632</v>
      </c>
      <c r="G237" s="13" t="s">
        <v>171</v>
      </c>
    </row>
    <row r="238" spans="1:7" x14ac:dyDescent="0.25">
      <c r="A238" s="12" t="s">
        <v>1580</v>
      </c>
      <c r="B238" s="6" t="s">
        <v>87</v>
      </c>
      <c r="C238" s="6" t="s">
        <v>42</v>
      </c>
      <c r="D238" s="6" t="s">
        <v>53</v>
      </c>
      <c r="E238" s="7" t="s">
        <v>633</v>
      </c>
      <c r="F238" s="8" t="s">
        <v>634</v>
      </c>
      <c r="G238" s="13" t="s">
        <v>249</v>
      </c>
    </row>
    <row r="239" spans="1:7" x14ac:dyDescent="0.25">
      <c r="A239" s="12" t="s">
        <v>1581</v>
      </c>
      <c r="B239" s="6" t="s">
        <v>74</v>
      </c>
      <c r="C239" s="6" t="s">
        <v>8</v>
      </c>
      <c r="D239" s="6" t="s">
        <v>101</v>
      </c>
      <c r="E239" s="7" t="s">
        <v>635</v>
      </c>
      <c r="F239" s="8" t="s">
        <v>636</v>
      </c>
      <c r="G239" s="13" t="s">
        <v>77</v>
      </c>
    </row>
    <row r="240" spans="1:7" x14ac:dyDescent="0.25">
      <c r="A240" s="12" t="s">
        <v>1582</v>
      </c>
      <c r="B240" s="6" t="s">
        <v>364</v>
      </c>
      <c r="C240" s="6" t="s">
        <v>52</v>
      </c>
      <c r="D240" s="6" t="s">
        <v>58</v>
      </c>
      <c r="E240" s="7" t="s">
        <v>637</v>
      </c>
      <c r="F240" s="8" t="s">
        <v>638</v>
      </c>
      <c r="G240" s="13" t="s">
        <v>226</v>
      </c>
    </row>
    <row r="241" spans="1:7" x14ac:dyDescent="0.25">
      <c r="A241" s="12" t="s">
        <v>1583</v>
      </c>
      <c r="B241" s="6" t="s">
        <v>349</v>
      </c>
      <c r="C241" s="6" t="s">
        <v>179</v>
      </c>
      <c r="D241" s="6" t="s">
        <v>58</v>
      </c>
      <c r="E241" s="7" t="s">
        <v>639</v>
      </c>
      <c r="F241" s="8" t="s">
        <v>640</v>
      </c>
      <c r="G241" s="13" t="s">
        <v>160</v>
      </c>
    </row>
    <row r="242" spans="1:7" x14ac:dyDescent="0.25">
      <c r="A242" s="12" t="s">
        <v>1584</v>
      </c>
      <c r="B242" s="6" t="s">
        <v>82</v>
      </c>
      <c r="C242" s="6" t="s">
        <v>63</v>
      </c>
      <c r="D242" s="6" t="s">
        <v>19</v>
      </c>
      <c r="E242" s="7" t="s">
        <v>641</v>
      </c>
      <c r="F242" s="8" t="s">
        <v>642</v>
      </c>
      <c r="G242" s="13" t="s">
        <v>239</v>
      </c>
    </row>
    <row r="243" spans="1:7" x14ac:dyDescent="0.25">
      <c r="A243" s="12" t="s">
        <v>1585</v>
      </c>
      <c r="B243" s="6" t="s">
        <v>35</v>
      </c>
      <c r="C243" s="6" t="s">
        <v>13</v>
      </c>
      <c r="D243" s="6" t="s">
        <v>23</v>
      </c>
      <c r="E243" s="7" t="s">
        <v>643</v>
      </c>
      <c r="F243" s="8" t="s">
        <v>644</v>
      </c>
      <c r="G243" s="13" t="s">
        <v>211</v>
      </c>
    </row>
    <row r="244" spans="1:7" x14ac:dyDescent="0.25">
      <c r="A244" s="12" t="s">
        <v>1586</v>
      </c>
      <c r="B244" s="6" t="s">
        <v>82</v>
      </c>
      <c r="C244" s="6" t="s">
        <v>63</v>
      </c>
      <c r="D244" s="6" t="s">
        <v>28</v>
      </c>
      <c r="E244" s="7" t="s">
        <v>645</v>
      </c>
      <c r="F244" s="8" t="s">
        <v>646</v>
      </c>
      <c r="G244" s="13" t="s">
        <v>56</v>
      </c>
    </row>
    <row r="245" spans="1:7" x14ac:dyDescent="0.25">
      <c r="A245" s="12" t="s">
        <v>1587</v>
      </c>
      <c r="B245" s="6" t="s">
        <v>647</v>
      </c>
      <c r="C245" s="6" t="s">
        <v>63</v>
      </c>
      <c r="D245" s="6" t="s">
        <v>123</v>
      </c>
      <c r="E245" s="7" t="s">
        <v>648</v>
      </c>
      <c r="F245" s="8" t="s">
        <v>649</v>
      </c>
      <c r="G245" s="13" t="s">
        <v>81</v>
      </c>
    </row>
    <row r="246" spans="1:7" x14ac:dyDescent="0.25">
      <c r="A246" s="12" t="s">
        <v>1588</v>
      </c>
      <c r="B246" s="6" t="s">
        <v>650</v>
      </c>
      <c r="C246" s="6" t="s">
        <v>32</v>
      </c>
      <c r="D246" s="6" t="s">
        <v>19</v>
      </c>
      <c r="E246" s="7" t="s">
        <v>651</v>
      </c>
      <c r="F246" s="8" t="s">
        <v>652</v>
      </c>
      <c r="G246" s="13" t="s">
        <v>55</v>
      </c>
    </row>
    <row r="247" spans="1:7" x14ac:dyDescent="0.25">
      <c r="A247" s="12" t="s">
        <v>1589</v>
      </c>
      <c r="B247" s="6" t="s">
        <v>364</v>
      </c>
      <c r="C247" s="6" t="s">
        <v>52</v>
      </c>
      <c r="D247" s="6" t="s">
        <v>9</v>
      </c>
      <c r="E247" s="7" t="s">
        <v>653</v>
      </c>
      <c r="F247" s="8" t="s">
        <v>654</v>
      </c>
      <c r="G247" s="13" t="s">
        <v>38</v>
      </c>
    </row>
    <row r="248" spans="1:7" x14ac:dyDescent="0.25">
      <c r="A248" s="12" t="s">
        <v>1590</v>
      </c>
      <c r="B248" s="6" t="s">
        <v>407</v>
      </c>
      <c r="C248" s="6" t="s">
        <v>179</v>
      </c>
      <c r="D248" s="6" t="s">
        <v>78</v>
      </c>
      <c r="E248" s="7" t="s">
        <v>655</v>
      </c>
      <c r="F248" s="8" t="s">
        <v>656</v>
      </c>
      <c r="G248" s="13" t="s">
        <v>34</v>
      </c>
    </row>
    <row r="249" spans="1:7" x14ac:dyDescent="0.25">
      <c r="A249" s="12" t="s">
        <v>1591</v>
      </c>
      <c r="B249" s="6" t="s">
        <v>35</v>
      </c>
      <c r="C249" s="6" t="s">
        <v>13</v>
      </c>
      <c r="D249" s="6" t="s">
        <v>101</v>
      </c>
      <c r="E249" s="7" t="s">
        <v>657</v>
      </c>
      <c r="F249" s="8" t="s">
        <v>658</v>
      </c>
      <c r="G249" s="13" t="s">
        <v>171</v>
      </c>
    </row>
    <row r="250" spans="1:7" x14ac:dyDescent="0.25">
      <c r="A250" s="12" t="s">
        <v>1592</v>
      </c>
      <c r="B250" s="6" t="s">
        <v>184</v>
      </c>
      <c r="C250" s="6" t="s">
        <v>164</v>
      </c>
      <c r="D250" s="6" t="s">
        <v>14</v>
      </c>
      <c r="E250" s="7" t="s">
        <v>659</v>
      </c>
      <c r="F250" s="8" t="s">
        <v>660</v>
      </c>
      <c r="G250" s="13" t="s">
        <v>132</v>
      </c>
    </row>
    <row r="251" spans="1:7" x14ac:dyDescent="0.25">
      <c r="A251" s="12" t="s">
        <v>1593</v>
      </c>
      <c r="B251" s="6" t="s">
        <v>163</v>
      </c>
      <c r="C251" s="6" t="s">
        <v>164</v>
      </c>
      <c r="D251" s="6" t="s">
        <v>28</v>
      </c>
      <c r="E251" s="7" t="s">
        <v>661</v>
      </c>
      <c r="F251" s="8" t="s">
        <v>662</v>
      </c>
      <c r="G251" s="13" t="s">
        <v>68</v>
      </c>
    </row>
    <row r="252" spans="1:7" x14ac:dyDescent="0.25">
      <c r="A252" s="12" t="s">
        <v>1594</v>
      </c>
      <c r="B252" s="6" t="s">
        <v>663</v>
      </c>
      <c r="C252" s="6" t="s">
        <v>18</v>
      </c>
      <c r="D252" s="6" t="s">
        <v>14</v>
      </c>
      <c r="E252" s="7" t="s">
        <v>664</v>
      </c>
      <c r="F252" s="8" t="s">
        <v>665</v>
      </c>
      <c r="G252" s="13" t="s">
        <v>145</v>
      </c>
    </row>
    <row r="253" spans="1:7" x14ac:dyDescent="0.25">
      <c r="A253" s="12" t="s">
        <v>1595</v>
      </c>
      <c r="B253" s="6" t="s">
        <v>110</v>
      </c>
      <c r="C253" s="6" t="s">
        <v>8</v>
      </c>
      <c r="D253" s="6" t="s">
        <v>91</v>
      </c>
      <c r="E253" s="7" t="s">
        <v>666</v>
      </c>
      <c r="F253" s="8" t="s">
        <v>667</v>
      </c>
      <c r="G253" s="13" t="s">
        <v>145</v>
      </c>
    </row>
    <row r="254" spans="1:7" x14ac:dyDescent="0.25">
      <c r="A254" s="12" t="s">
        <v>1596</v>
      </c>
      <c r="B254" s="6" t="s">
        <v>35</v>
      </c>
      <c r="C254" s="6" t="s">
        <v>13</v>
      </c>
      <c r="D254" s="6" t="s">
        <v>19</v>
      </c>
      <c r="E254" s="7" t="s">
        <v>668</v>
      </c>
      <c r="F254" s="8" t="s">
        <v>669</v>
      </c>
      <c r="G254" s="13" t="s">
        <v>113</v>
      </c>
    </row>
    <row r="255" spans="1:7" x14ac:dyDescent="0.25">
      <c r="A255" s="12" t="s">
        <v>1597</v>
      </c>
      <c r="B255" s="6" t="s">
        <v>349</v>
      </c>
      <c r="C255" s="6" t="s">
        <v>179</v>
      </c>
      <c r="D255" s="6" t="s">
        <v>123</v>
      </c>
      <c r="E255" s="7" t="s">
        <v>670</v>
      </c>
      <c r="F255" s="8" t="s">
        <v>671</v>
      </c>
      <c r="G255" s="13" t="s">
        <v>160</v>
      </c>
    </row>
    <row r="256" spans="1:7" x14ac:dyDescent="0.25">
      <c r="A256" s="12" t="s">
        <v>1598</v>
      </c>
      <c r="B256" s="6" t="s">
        <v>250</v>
      </c>
      <c r="C256" s="6" t="s">
        <v>63</v>
      </c>
      <c r="D256" s="6" t="s">
        <v>91</v>
      </c>
      <c r="E256" s="7" t="s">
        <v>672</v>
      </c>
      <c r="F256" s="8" t="s">
        <v>673</v>
      </c>
      <c r="G256" s="13" t="s">
        <v>240</v>
      </c>
    </row>
    <row r="257" spans="1:7" x14ac:dyDescent="0.25">
      <c r="A257" s="12" t="s">
        <v>1599</v>
      </c>
      <c r="B257" s="6" t="s">
        <v>122</v>
      </c>
      <c r="C257" s="6" t="s">
        <v>18</v>
      </c>
      <c r="D257" s="6" t="s">
        <v>28</v>
      </c>
      <c r="E257" s="7" t="s">
        <v>674</v>
      </c>
      <c r="F257" s="8" t="s">
        <v>675</v>
      </c>
      <c r="G257" s="13" t="s">
        <v>337</v>
      </c>
    </row>
    <row r="258" spans="1:7" x14ac:dyDescent="0.25">
      <c r="A258" s="12" t="s">
        <v>1600</v>
      </c>
      <c r="B258" s="6" t="s">
        <v>100</v>
      </c>
      <c r="C258" s="6" t="s">
        <v>52</v>
      </c>
      <c r="D258" s="6" t="s">
        <v>14</v>
      </c>
      <c r="E258" s="7" t="s">
        <v>676</v>
      </c>
      <c r="F258" s="8" t="s">
        <v>677</v>
      </c>
      <c r="G258" s="13" t="s">
        <v>139</v>
      </c>
    </row>
    <row r="259" spans="1:7" x14ac:dyDescent="0.25">
      <c r="A259" s="12" t="s">
        <v>1601</v>
      </c>
      <c r="B259" s="6" t="s">
        <v>361</v>
      </c>
      <c r="C259" s="6" t="s">
        <v>179</v>
      </c>
      <c r="D259" s="6" t="s">
        <v>58</v>
      </c>
      <c r="E259" s="7" t="s">
        <v>678</v>
      </c>
      <c r="F259" s="8" t="s">
        <v>679</v>
      </c>
      <c r="G259" s="13" t="s">
        <v>95</v>
      </c>
    </row>
    <row r="260" spans="1:7" x14ac:dyDescent="0.25">
      <c r="A260" s="12" t="s">
        <v>1602</v>
      </c>
      <c r="B260" s="6" t="s">
        <v>214</v>
      </c>
      <c r="C260" s="6" t="s">
        <v>164</v>
      </c>
      <c r="D260" s="6" t="s">
        <v>14</v>
      </c>
      <c r="E260" s="7" t="s">
        <v>680</v>
      </c>
      <c r="F260" s="8" t="s">
        <v>681</v>
      </c>
      <c r="G260" s="13" t="s">
        <v>182</v>
      </c>
    </row>
    <row r="261" spans="1:7" x14ac:dyDescent="0.25">
      <c r="A261" s="12" t="s">
        <v>1603</v>
      </c>
      <c r="B261" s="6" t="s">
        <v>100</v>
      </c>
      <c r="C261" s="6" t="s">
        <v>52</v>
      </c>
      <c r="D261" s="6" t="s">
        <v>78</v>
      </c>
      <c r="E261" s="7" t="s">
        <v>682</v>
      </c>
      <c r="F261" s="8" t="s">
        <v>683</v>
      </c>
      <c r="G261" s="13" t="s">
        <v>308</v>
      </c>
    </row>
    <row r="262" spans="1:7" x14ac:dyDescent="0.25">
      <c r="A262" s="12" t="s">
        <v>1604</v>
      </c>
      <c r="B262" s="6" t="s">
        <v>12</v>
      </c>
      <c r="C262" s="6" t="s">
        <v>13</v>
      </c>
      <c r="D262" s="6" t="s">
        <v>78</v>
      </c>
      <c r="E262" s="7" t="s">
        <v>684</v>
      </c>
      <c r="F262" s="8" t="s">
        <v>685</v>
      </c>
      <c r="G262" s="13" t="s">
        <v>217</v>
      </c>
    </row>
    <row r="263" spans="1:7" x14ac:dyDescent="0.25">
      <c r="A263" s="12" t="s">
        <v>1605</v>
      </c>
      <c r="B263" s="6" t="s">
        <v>7</v>
      </c>
      <c r="C263" s="6" t="s">
        <v>8</v>
      </c>
      <c r="D263" s="6" t="s">
        <v>19</v>
      </c>
      <c r="E263" s="7" t="s">
        <v>686</v>
      </c>
      <c r="F263" s="8" t="s">
        <v>687</v>
      </c>
      <c r="G263" s="13" t="s">
        <v>132</v>
      </c>
    </row>
    <row r="264" spans="1:7" x14ac:dyDescent="0.25">
      <c r="A264" s="12" t="s">
        <v>1606</v>
      </c>
      <c r="B264" s="6" t="s">
        <v>364</v>
      </c>
      <c r="C264" s="6" t="s">
        <v>52</v>
      </c>
      <c r="D264" s="6" t="s">
        <v>36</v>
      </c>
      <c r="E264" s="7" t="s">
        <v>688</v>
      </c>
      <c r="F264" s="8" t="s">
        <v>689</v>
      </c>
      <c r="G264" s="13" t="s">
        <v>81</v>
      </c>
    </row>
    <row r="265" spans="1:7" x14ac:dyDescent="0.25">
      <c r="A265" s="12" t="s">
        <v>1607</v>
      </c>
      <c r="B265" s="6" t="s">
        <v>385</v>
      </c>
      <c r="C265" s="6" t="s">
        <v>32</v>
      </c>
      <c r="D265" s="6" t="s">
        <v>91</v>
      </c>
      <c r="E265" s="7" t="s">
        <v>690</v>
      </c>
      <c r="F265" s="8" t="s">
        <v>691</v>
      </c>
      <c r="G265" s="13" t="s">
        <v>289</v>
      </c>
    </row>
    <row r="266" spans="1:7" x14ac:dyDescent="0.25">
      <c r="A266" s="12" t="s">
        <v>1608</v>
      </c>
      <c r="B266" s="6" t="s">
        <v>241</v>
      </c>
      <c r="C266" s="6" t="s">
        <v>27</v>
      </c>
      <c r="D266" s="6" t="s">
        <v>14</v>
      </c>
      <c r="E266" s="7" t="s">
        <v>692</v>
      </c>
      <c r="F266" s="8" t="s">
        <v>693</v>
      </c>
      <c r="G266" s="13" t="s">
        <v>292</v>
      </c>
    </row>
    <row r="267" spans="1:7" x14ac:dyDescent="0.25">
      <c r="A267" s="12" t="s">
        <v>1609</v>
      </c>
      <c r="B267" s="6" t="s">
        <v>468</v>
      </c>
      <c r="C267" s="6" t="s">
        <v>32</v>
      </c>
      <c r="D267" s="6" t="s">
        <v>23</v>
      </c>
      <c r="E267" s="7" t="s">
        <v>694</v>
      </c>
      <c r="F267" s="8" t="s">
        <v>695</v>
      </c>
      <c r="G267" s="13" t="s">
        <v>99</v>
      </c>
    </row>
    <row r="268" spans="1:7" x14ac:dyDescent="0.25">
      <c r="A268" s="12" t="s">
        <v>1610</v>
      </c>
      <c r="B268" s="6" t="s">
        <v>356</v>
      </c>
      <c r="C268" s="6" t="s">
        <v>18</v>
      </c>
      <c r="D268" s="6" t="s">
        <v>53</v>
      </c>
      <c r="E268" s="7" t="s">
        <v>696</v>
      </c>
      <c r="F268" s="8" t="s">
        <v>697</v>
      </c>
      <c r="G268" s="13" t="s">
        <v>38</v>
      </c>
    </row>
    <row r="269" spans="1:7" x14ac:dyDescent="0.25">
      <c r="A269" s="12" t="s">
        <v>1611</v>
      </c>
      <c r="B269" s="6" t="s">
        <v>31</v>
      </c>
      <c r="C269" s="6" t="s">
        <v>32</v>
      </c>
      <c r="D269" s="6" t="s">
        <v>53</v>
      </c>
      <c r="E269" s="7" t="s">
        <v>698</v>
      </c>
      <c r="F269" s="8" t="s">
        <v>699</v>
      </c>
      <c r="G269" s="13" t="s">
        <v>85</v>
      </c>
    </row>
    <row r="270" spans="1:7" x14ac:dyDescent="0.25">
      <c r="A270" s="12" t="s">
        <v>1612</v>
      </c>
      <c r="B270" s="6" t="s">
        <v>407</v>
      </c>
      <c r="C270" s="6" t="s">
        <v>179</v>
      </c>
      <c r="D270" s="6" t="s">
        <v>36</v>
      </c>
      <c r="E270" s="7" t="s">
        <v>700</v>
      </c>
      <c r="F270" s="8" t="s">
        <v>701</v>
      </c>
      <c r="G270" s="13" t="s">
        <v>132</v>
      </c>
    </row>
    <row r="271" spans="1:7" x14ac:dyDescent="0.25">
      <c r="A271" s="12" t="s">
        <v>1613</v>
      </c>
      <c r="B271" s="6" t="s">
        <v>509</v>
      </c>
      <c r="C271" s="6" t="s">
        <v>18</v>
      </c>
      <c r="D271" s="6" t="s">
        <v>53</v>
      </c>
      <c r="E271" s="7" t="s">
        <v>702</v>
      </c>
      <c r="F271" s="8" t="s">
        <v>703</v>
      </c>
      <c r="G271" s="13" t="s">
        <v>217</v>
      </c>
    </row>
    <row r="272" spans="1:7" x14ac:dyDescent="0.25">
      <c r="A272" s="12" t="s">
        <v>1614</v>
      </c>
      <c r="B272" s="6" t="s">
        <v>31</v>
      </c>
      <c r="C272" s="6" t="s">
        <v>32</v>
      </c>
      <c r="D272" s="6" t="s">
        <v>9</v>
      </c>
      <c r="E272" s="7" t="s">
        <v>704</v>
      </c>
      <c r="F272" s="8" t="s">
        <v>705</v>
      </c>
      <c r="G272" s="13" t="s">
        <v>90</v>
      </c>
    </row>
    <row r="273" spans="1:7" x14ac:dyDescent="0.25">
      <c r="A273" s="12" t="s">
        <v>1615</v>
      </c>
      <c r="B273" s="6" t="s">
        <v>163</v>
      </c>
      <c r="C273" s="6" t="s">
        <v>164</v>
      </c>
      <c r="D273" s="6" t="s">
        <v>91</v>
      </c>
      <c r="E273" s="7" t="s">
        <v>706</v>
      </c>
      <c r="F273" s="8" t="s">
        <v>707</v>
      </c>
      <c r="G273" s="13" t="s">
        <v>314</v>
      </c>
    </row>
    <row r="274" spans="1:7" x14ac:dyDescent="0.25">
      <c r="A274" s="12" t="s">
        <v>1616</v>
      </c>
      <c r="B274" s="6" t="s">
        <v>110</v>
      </c>
      <c r="C274" s="6" t="s">
        <v>8</v>
      </c>
      <c r="D274" s="6" t="s">
        <v>23</v>
      </c>
      <c r="E274" s="7" t="s">
        <v>708</v>
      </c>
      <c r="F274" s="8" t="s">
        <v>709</v>
      </c>
      <c r="G274" s="13" t="s">
        <v>174</v>
      </c>
    </row>
    <row r="275" spans="1:7" x14ac:dyDescent="0.25">
      <c r="A275" s="12" t="s">
        <v>1617</v>
      </c>
      <c r="B275" s="6" t="s">
        <v>263</v>
      </c>
      <c r="C275" s="6" t="s">
        <v>8</v>
      </c>
      <c r="D275" s="6" t="s">
        <v>9</v>
      </c>
      <c r="E275" s="7" t="s">
        <v>710</v>
      </c>
      <c r="F275" s="8" t="s">
        <v>711</v>
      </c>
      <c r="G275" s="13" t="s">
        <v>81</v>
      </c>
    </row>
    <row r="276" spans="1:7" x14ac:dyDescent="0.25">
      <c r="A276" s="12" t="s">
        <v>1618</v>
      </c>
      <c r="B276" s="6" t="s">
        <v>518</v>
      </c>
      <c r="C276" s="6" t="s">
        <v>164</v>
      </c>
      <c r="D276" s="6" t="s">
        <v>58</v>
      </c>
      <c r="E276" s="7" t="s">
        <v>712</v>
      </c>
      <c r="F276" s="8" t="s">
        <v>713</v>
      </c>
      <c r="G276" s="13" t="s">
        <v>286</v>
      </c>
    </row>
    <row r="277" spans="1:7" x14ac:dyDescent="0.25">
      <c r="A277" s="12" t="s">
        <v>1619</v>
      </c>
      <c r="B277" s="6" t="s">
        <v>157</v>
      </c>
      <c r="C277" s="6" t="s">
        <v>27</v>
      </c>
      <c r="D277" s="6" t="s">
        <v>9</v>
      </c>
      <c r="E277" s="7" t="s">
        <v>714</v>
      </c>
      <c r="F277" s="8" t="s">
        <v>715</v>
      </c>
      <c r="G277" s="13" t="s">
        <v>50</v>
      </c>
    </row>
    <row r="278" spans="1:7" x14ac:dyDescent="0.25">
      <c r="A278" s="12" t="s">
        <v>1620</v>
      </c>
      <c r="B278" s="6" t="s">
        <v>12</v>
      </c>
      <c r="C278" s="6" t="s">
        <v>13</v>
      </c>
      <c r="D278" s="6" t="s">
        <v>91</v>
      </c>
      <c r="E278" s="7" t="s">
        <v>716</v>
      </c>
      <c r="F278" s="8" t="s">
        <v>717</v>
      </c>
      <c r="G278" s="13" t="s">
        <v>66</v>
      </c>
    </row>
    <row r="279" spans="1:7" x14ac:dyDescent="0.25">
      <c r="A279" s="12" t="s">
        <v>1621</v>
      </c>
      <c r="B279" s="6" t="s">
        <v>468</v>
      </c>
      <c r="C279" s="6" t="s">
        <v>32</v>
      </c>
      <c r="D279" s="6" t="s">
        <v>36</v>
      </c>
      <c r="E279" s="7" t="s">
        <v>718</v>
      </c>
      <c r="F279" s="8" t="s">
        <v>719</v>
      </c>
      <c r="G279" s="13" t="s">
        <v>160</v>
      </c>
    </row>
    <row r="280" spans="1:7" x14ac:dyDescent="0.25">
      <c r="A280" s="12" t="s">
        <v>1622</v>
      </c>
      <c r="B280" s="6" t="s">
        <v>26</v>
      </c>
      <c r="C280" s="6" t="s">
        <v>27</v>
      </c>
      <c r="D280" s="6" t="s">
        <v>9</v>
      </c>
      <c r="E280" s="7" t="s">
        <v>720</v>
      </c>
      <c r="F280" s="8" t="s">
        <v>721</v>
      </c>
      <c r="G280" s="13" t="s">
        <v>286</v>
      </c>
    </row>
    <row r="281" spans="1:7" x14ac:dyDescent="0.25">
      <c r="A281" s="12" t="s">
        <v>1623</v>
      </c>
      <c r="B281" s="6" t="s">
        <v>100</v>
      </c>
      <c r="C281" s="6" t="s">
        <v>52</v>
      </c>
      <c r="D281" s="6" t="s">
        <v>58</v>
      </c>
      <c r="E281" s="7" t="s">
        <v>722</v>
      </c>
      <c r="F281" s="8" t="s">
        <v>723</v>
      </c>
      <c r="G281" s="13" t="s">
        <v>273</v>
      </c>
    </row>
    <row r="282" spans="1:7" x14ac:dyDescent="0.25">
      <c r="A282" s="12" t="s">
        <v>1624</v>
      </c>
      <c r="B282" s="6" t="s">
        <v>12</v>
      </c>
      <c r="C282" s="6" t="s">
        <v>13</v>
      </c>
      <c r="D282" s="6" t="s">
        <v>91</v>
      </c>
      <c r="E282" s="7" t="s">
        <v>724</v>
      </c>
      <c r="F282" s="8" t="s">
        <v>725</v>
      </c>
      <c r="G282" s="13" t="s">
        <v>145</v>
      </c>
    </row>
    <row r="283" spans="1:7" x14ac:dyDescent="0.25">
      <c r="A283" s="12" t="s">
        <v>1625</v>
      </c>
      <c r="B283" s="6" t="s">
        <v>726</v>
      </c>
      <c r="C283" s="6" t="s">
        <v>18</v>
      </c>
      <c r="D283" s="6" t="s">
        <v>9</v>
      </c>
      <c r="E283" s="7" t="s">
        <v>727</v>
      </c>
      <c r="F283" s="8" t="s">
        <v>728</v>
      </c>
      <c r="G283" s="13" t="s">
        <v>55</v>
      </c>
    </row>
    <row r="284" spans="1:7" x14ac:dyDescent="0.25">
      <c r="A284" s="12" t="s">
        <v>1626</v>
      </c>
      <c r="B284" s="6" t="s">
        <v>57</v>
      </c>
      <c r="C284" s="6" t="s">
        <v>42</v>
      </c>
      <c r="D284" s="6" t="s">
        <v>19</v>
      </c>
      <c r="E284" s="7" t="s">
        <v>729</v>
      </c>
      <c r="F284" s="8" t="s">
        <v>730</v>
      </c>
      <c r="G284" s="13" t="s">
        <v>25</v>
      </c>
    </row>
    <row r="285" spans="1:7" x14ac:dyDescent="0.25">
      <c r="A285" s="12" t="s">
        <v>1627</v>
      </c>
      <c r="B285" s="6" t="s">
        <v>385</v>
      </c>
      <c r="C285" s="6" t="s">
        <v>32</v>
      </c>
      <c r="D285" s="6" t="s">
        <v>91</v>
      </c>
      <c r="E285" s="7" t="s">
        <v>731</v>
      </c>
      <c r="F285" s="8" t="s">
        <v>732</v>
      </c>
      <c r="G285" s="13" t="s">
        <v>322</v>
      </c>
    </row>
    <row r="286" spans="1:7" x14ac:dyDescent="0.25">
      <c r="A286" s="12" t="s">
        <v>1628</v>
      </c>
      <c r="B286" s="6" t="s">
        <v>12</v>
      </c>
      <c r="C286" s="6" t="s">
        <v>13</v>
      </c>
      <c r="D286" s="6" t="s">
        <v>53</v>
      </c>
      <c r="E286" s="7" t="s">
        <v>733</v>
      </c>
      <c r="F286" s="8" t="s">
        <v>734</v>
      </c>
      <c r="G286" s="13" t="s">
        <v>168</v>
      </c>
    </row>
    <row r="287" spans="1:7" x14ac:dyDescent="0.25">
      <c r="A287" s="12" t="s">
        <v>1629</v>
      </c>
      <c r="B287" s="6" t="s">
        <v>178</v>
      </c>
      <c r="C287" s="6" t="s">
        <v>179</v>
      </c>
      <c r="D287" s="6" t="s">
        <v>19</v>
      </c>
      <c r="E287" s="7" t="s">
        <v>735</v>
      </c>
      <c r="F287" s="8" t="s">
        <v>736</v>
      </c>
      <c r="G287" s="13" t="s">
        <v>129</v>
      </c>
    </row>
    <row r="288" spans="1:7" x14ac:dyDescent="0.25">
      <c r="A288" s="12" t="s">
        <v>1630</v>
      </c>
      <c r="B288" s="6" t="s">
        <v>51</v>
      </c>
      <c r="C288" s="6" t="s">
        <v>52</v>
      </c>
      <c r="D288" s="6" t="s">
        <v>19</v>
      </c>
      <c r="E288" s="7" t="s">
        <v>737</v>
      </c>
      <c r="F288" s="8" t="s">
        <v>738</v>
      </c>
      <c r="G288" s="13" t="s">
        <v>322</v>
      </c>
    </row>
    <row r="289" spans="1:7" x14ac:dyDescent="0.25">
      <c r="A289" s="12" t="s">
        <v>1631</v>
      </c>
      <c r="B289" s="6" t="s">
        <v>47</v>
      </c>
      <c r="C289" s="6" t="s">
        <v>42</v>
      </c>
      <c r="D289" s="6" t="s">
        <v>78</v>
      </c>
      <c r="E289" s="7" t="s">
        <v>739</v>
      </c>
      <c r="F289" s="8" t="s">
        <v>740</v>
      </c>
      <c r="G289" s="13" t="s">
        <v>236</v>
      </c>
    </row>
    <row r="290" spans="1:7" x14ac:dyDescent="0.25">
      <c r="A290" s="12" t="s">
        <v>1632</v>
      </c>
      <c r="B290" s="6" t="s">
        <v>57</v>
      </c>
      <c r="C290" s="6" t="s">
        <v>42</v>
      </c>
      <c r="D290" s="6" t="s">
        <v>36</v>
      </c>
      <c r="E290" s="7" t="s">
        <v>741</v>
      </c>
      <c r="F290" s="8" t="s">
        <v>742</v>
      </c>
      <c r="G290" s="13" t="s">
        <v>217</v>
      </c>
    </row>
    <row r="291" spans="1:7" x14ac:dyDescent="0.25">
      <c r="A291" s="12" t="s">
        <v>1633</v>
      </c>
      <c r="B291" s="6" t="s">
        <v>7</v>
      </c>
      <c r="C291" s="6" t="s">
        <v>8</v>
      </c>
      <c r="D291" s="6" t="s">
        <v>36</v>
      </c>
      <c r="E291" s="7" t="s">
        <v>743</v>
      </c>
      <c r="F291" s="8" t="s">
        <v>744</v>
      </c>
      <c r="G291" s="13" t="s">
        <v>205</v>
      </c>
    </row>
    <row r="292" spans="1:7" x14ac:dyDescent="0.25">
      <c r="A292" s="12" t="s">
        <v>1634</v>
      </c>
      <c r="B292" s="6" t="s">
        <v>74</v>
      </c>
      <c r="C292" s="6" t="s">
        <v>8</v>
      </c>
      <c r="D292" s="6" t="s">
        <v>78</v>
      </c>
      <c r="E292" s="7" t="s">
        <v>745</v>
      </c>
      <c r="F292" s="8" t="s">
        <v>746</v>
      </c>
      <c r="G292" s="13" t="s">
        <v>145</v>
      </c>
    </row>
    <row r="293" spans="1:7" x14ac:dyDescent="0.25">
      <c r="A293" s="12" t="s">
        <v>1635</v>
      </c>
      <c r="B293" s="6" t="s">
        <v>214</v>
      </c>
      <c r="C293" s="6" t="s">
        <v>164</v>
      </c>
      <c r="D293" s="6" t="s">
        <v>14</v>
      </c>
      <c r="E293" s="7" t="s">
        <v>747</v>
      </c>
      <c r="F293" s="8" t="s">
        <v>748</v>
      </c>
      <c r="G293" s="13" t="s">
        <v>104</v>
      </c>
    </row>
    <row r="294" spans="1:7" x14ac:dyDescent="0.25">
      <c r="A294" s="12" t="s">
        <v>1636</v>
      </c>
      <c r="B294" s="6" t="s">
        <v>434</v>
      </c>
      <c r="C294" s="6" t="s">
        <v>18</v>
      </c>
      <c r="D294" s="6" t="s">
        <v>53</v>
      </c>
      <c r="E294" s="7" t="s">
        <v>749</v>
      </c>
      <c r="F294" s="8" t="s">
        <v>750</v>
      </c>
      <c r="G294" s="13" t="s">
        <v>46</v>
      </c>
    </row>
    <row r="295" spans="1:7" x14ac:dyDescent="0.25">
      <c r="A295" s="12" t="s">
        <v>1637</v>
      </c>
      <c r="B295" s="6" t="s">
        <v>263</v>
      </c>
      <c r="C295" s="6" t="s">
        <v>8</v>
      </c>
      <c r="D295" s="6" t="s">
        <v>36</v>
      </c>
      <c r="E295" s="7" t="s">
        <v>751</v>
      </c>
      <c r="F295" s="8" t="s">
        <v>752</v>
      </c>
      <c r="G295" s="13" t="s">
        <v>168</v>
      </c>
    </row>
    <row r="296" spans="1:7" x14ac:dyDescent="0.25">
      <c r="A296" s="12" t="s">
        <v>1638</v>
      </c>
      <c r="B296" s="6" t="s">
        <v>26</v>
      </c>
      <c r="C296" s="6" t="s">
        <v>27</v>
      </c>
      <c r="D296" s="6" t="s">
        <v>53</v>
      </c>
      <c r="E296" s="7" t="s">
        <v>753</v>
      </c>
      <c r="F296" s="8" t="s">
        <v>754</v>
      </c>
      <c r="G296" s="13" t="s">
        <v>239</v>
      </c>
    </row>
    <row r="297" spans="1:7" x14ac:dyDescent="0.25">
      <c r="A297" s="12" t="s">
        <v>1639</v>
      </c>
      <c r="B297" s="6" t="s">
        <v>250</v>
      </c>
      <c r="C297" s="6" t="s">
        <v>63</v>
      </c>
      <c r="D297" s="6" t="s">
        <v>101</v>
      </c>
      <c r="E297" s="7" t="s">
        <v>755</v>
      </c>
      <c r="F297" s="8" t="s">
        <v>756</v>
      </c>
      <c r="G297" s="13" t="s">
        <v>261</v>
      </c>
    </row>
    <row r="298" spans="1:7" x14ac:dyDescent="0.25">
      <c r="A298" s="12" t="s">
        <v>1640</v>
      </c>
      <c r="B298" s="6" t="s">
        <v>349</v>
      </c>
      <c r="C298" s="6" t="s">
        <v>179</v>
      </c>
      <c r="D298" s="6" t="s">
        <v>23</v>
      </c>
      <c r="E298" s="7" t="s">
        <v>757</v>
      </c>
      <c r="F298" s="8" t="s">
        <v>758</v>
      </c>
      <c r="G298" s="13" t="s">
        <v>34</v>
      </c>
    </row>
    <row r="299" spans="1:7" x14ac:dyDescent="0.25">
      <c r="A299" s="12" t="s">
        <v>1641</v>
      </c>
      <c r="B299" s="6" t="s">
        <v>468</v>
      </c>
      <c r="C299" s="6" t="s">
        <v>32</v>
      </c>
      <c r="D299" s="6" t="s">
        <v>19</v>
      </c>
      <c r="E299" s="7" t="s">
        <v>759</v>
      </c>
      <c r="F299" s="8" t="s">
        <v>760</v>
      </c>
      <c r="G299" s="13" t="s">
        <v>236</v>
      </c>
    </row>
    <row r="300" spans="1:7" x14ac:dyDescent="0.25">
      <c r="A300" s="12" t="s">
        <v>1642</v>
      </c>
      <c r="B300" s="6" t="s">
        <v>647</v>
      </c>
      <c r="C300" s="6" t="s">
        <v>63</v>
      </c>
      <c r="D300" s="6" t="s">
        <v>23</v>
      </c>
      <c r="E300" s="7" t="s">
        <v>761</v>
      </c>
      <c r="F300" s="8" t="s">
        <v>762</v>
      </c>
      <c r="G300" s="13" t="s">
        <v>217</v>
      </c>
    </row>
    <row r="301" spans="1:7" x14ac:dyDescent="0.25">
      <c r="A301" s="12" t="s">
        <v>1643</v>
      </c>
      <c r="B301" s="6" t="s">
        <v>35</v>
      </c>
      <c r="C301" s="6" t="s">
        <v>13</v>
      </c>
      <c r="D301" s="6" t="s">
        <v>58</v>
      </c>
      <c r="E301" s="7" t="s">
        <v>763</v>
      </c>
      <c r="F301" s="8" t="s">
        <v>764</v>
      </c>
      <c r="G301" s="13" t="s">
        <v>211</v>
      </c>
    </row>
    <row r="302" spans="1:7" x14ac:dyDescent="0.25">
      <c r="A302" s="12" t="s">
        <v>1644</v>
      </c>
      <c r="B302" s="6" t="s">
        <v>241</v>
      </c>
      <c r="C302" s="6" t="s">
        <v>27</v>
      </c>
      <c r="D302" s="6" t="s">
        <v>9</v>
      </c>
      <c r="E302" s="7" t="s">
        <v>765</v>
      </c>
      <c r="F302" s="8" t="s">
        <v>766</v>
      </c>
      <c r="G302" s="13" t="s">
        <v>171</v>
      </c>
    </row>
    <row r="303" spans="1:7" x14ac:dyDescent="0.25">
      <c r="A303" s="12" t="s">
        <v>1645</v>
      </c>
      <c r="B303" s="6" t="s">
        <v>274</v>
      </c>
      <c r="C303" s="6" t="s">
        <v>32</v>
      </c>
      <c r="D303" s="6" t="s">
        <v>23</v>
      </c>
      <c r="E303" s="7" t="s">
        <v>767</v>
      </c>
      <c r="F303" s="8" t="s">
        <v>768</v>
      </c>
      <c r="G303" s="13" t="s">
        <v>45</v>
      </c>
    </row>
    <row r="304" spans="1:7" x14ac:dyDescent="0.25">
      <c r="A304" s="12" t="s">
        <v>1646</v>
      </c>
      <c r="B304" s="6" t="s">
        <v>142</v>
      </c>
      <c r="C304" s="6" t="s">
        <v>27</v>
      </c>
      <c r="D304" s="6" t="s">
        <v>9</v>
      </c>
      <c r="E304" s="7" t="s">
        <v>769</v>
      </c>
      <c r="F304" s="8" t="s">
        <v>770</v>
      </c>
      <c r="G304" s="13" t="s">
        <v>68</v>
      </c>
    </row>
    <row r="305" spans="1:7" x14ac:dyDescent="0.25">
      <c r="A305" s="12" t="s">
        <v>1647</v>
      </c>
      <c r="B305" s="6" t="s">
        <v>57</v>
      </c>
      <c r="C305" s="6" t="s">
        <v>42</v>
      </c>
      <c r="D305" s="6" t="s">
        <v>53</v>
      </c>
      <c r="E305" s="7" t="s">
        <v>771</v>
      </c>
      <c r="F305" s="8" t="s">
        <v>772</v>
      </c>
      <c r="G305" s="13" t="s">
        <v>50</v>
      </c>
    </row>
    <row r="306" spans="1:7" x14ac:dyDescent="0.25">
      <c r="A306" s="12" t="s">
        <v>1648</v>
      </c>
      <c r="B306" s="6" t="s">
        <v>12</v>
      </c>
      <c r="C306" s="6" t="s">
        <v>13</v>
      </c>
      <c r="D306" s="6" t="s">
        <v>91</v>
      </c>
      <c r="E306" s="7" t="s">
        <v>773</v>
      </c>
      <c r="F306" s="8" t="s">
        <v>774</v>
      </c>
      <c r="G306" s="13" t="s">
        <v>73</v>
      </c>
    </row>
    <row r="307" spans="1:7" x14ac:dyDescent="0.25">
      <c r="A307" s="12" t="s">
        <v>1649</v>
      </c>
      <c r="B307" s="6" t="s">
        <v>41</v>
      </c>
      <c r="C307" s="6" t="s">
        <v>42</v>
      </c>
      <c r="D307" s="6" t="s">
        <v>78</v>
      </c>
      <c r="E307" s="7" t="s">
        <v>775</v>
      </c>
      <c r="F307" s="8" t="s">
        <v>776</v>
      </c>
      <c r="G307" s="13" t="s">
        <v>220</v>
      </c>
    </row>
    <row r="308" spans="1:7" x14ac:dyDescent="0.25">
      <c r="A308" s="12" t="s">
        <v>1650</v>
      </c>
      <c r="B308" s="6" t="s">
        <v>777</v>
      </c>
      <c r="C308" s="6" t="s">
        <v>18</v>
      </c>
      <c r="D308" s="6" t="s">
        <v>101</v>
      </c>
      <c r="E308" s="7" t="s">
        <v>778</v>
      </c>
      <c r="F308" s="8" t="s">
        <v>779</v>
      </c>
      <c r="G308" s="13" t="s">
        <v>109</v>
      </c>
    </row>
    <row r="309" spans="1:7" x14ac:dyDescent="0.25">
      <c r="A309" s="12" t="s">
        <v>1651</v>
      </c>
      <c r="B309" s="6" t="s">
        <v>110</v>
      </c>
      <c r="C309" s="6" t="s">
        <v>8</v>
      </c>
      <c r="D309" s="6" t="s">
        <v>36</v>
      </c>
      <c r="E309" s="7" t="s">
        <v>780</v>
      </c>
      <c r="F309" s="8" t="s">
        <v>781</v>
      </c>
      <c r="G309" s="13" t="s">
        <v>105</v>
      </c>
    </row>
    <row r="310" spans="1:7" x14ac:dyDescent="0.25">
      <c r="A310" s="12" t="s">
        <v>1652</v>
      </c>
      <c r="B310" s="6" t="s">
        <v>12</v>
      </c>
      <c r="C310" s="6" t="s">
        <v>13</v>
      </c>
      <c r="D310" s="6" t="s">
        <v>23</v>
      </c>
      <c r="E310" s="7" t="s">
        <v>782</v>
      </c>
      <c r="F310" s="8" t="s">
        <v>783</v>
      </c>
      <c r="G310" s="13" t="s">
        <v>21</v>
      </c>
    </row>
    <row r="311" spans="1:7" x14ac:dyDescent="0.25">
      <c r="A311" s="12" t="s">
        <v>1653</v>
      </c>
      <c r="B311" s="6" t="s">
        <v>563</v>
      </c>
      <c r="C311" s="6" t="s">
        <v>52</v>
      </c>
      <c r="D311" s="6" t="s">
        <v>101</v>
      </c>
      <c r="E311" s="7" t="s">
        <v>784</v>
      </c>
      <c r="F311" s="8" t="s">
        <v>785</v>
      </c>
      <c r="G311" s="13" t="s">
        <v>76</v>
      </c>
    </row>
    <row r="312" spans="1:7" x14ac:dyDescent="0.25">
      <c r="A312" s="12" t="s">
        <v>1654</v>
      </c>
      <c r="B312" s="6" t="s">
        <v>100</v>
      </c>
      <c r="C312" s="6" t="s">
        <v>52</v>
      </c>
      <c r="D312" s="6" t="s">
        <v>14</v>
      </c>
      <c r="E312" s="7" t="s">
        <v>786</v>
      </c>
      <c r="F312" s="8" t="s">
        <v>787</v>
      </c>
      <c r="G312" s="13" t="s">
        <v>38</v>
      </c>
    </row>
    <row r="313" spans="1:7" x14ac:dyDescent="0.25">
      <c r="A313" s="12" t="s">
        <v>1655</v>
      </c>
      <c r="B313" s="6" t="s">
        <v>31</v>
      </c>
      <c r="C313" s="6" t="s">
        <v>32</v>
      </c>
      <c r="D313" s="6" t="s">
        <v>53</v>
      </c>
      <c r="E313" s="7" t="s">
        <v>788</v>
      </c>
      <c r="F313" s="8" t="s">
        <v>789</v>
      </c>
      <c r="G313" s="13" t="s">
        <v>289</v>
      </c>
    </row>
    <row r="314" spans="1:7" x14ac:dyDescent="0.25">
      <c r="A314" s="12" t="s">
        <v>1656</v>
      </c>
      <c r="B314" s="6" t="s">
        <v>263</v>
      </c>
      <c r="C314" s="6" t="s">
        <v>8</v>
      </c>
      <c r="D314" s="6" t="s">
        <v>58</v>
      </c>
      <c r="E314" s="7" t="s">
        <v>790</v>
      </c>
      <c r="F314" s="8" t="s">
        <v>791</v>
      </c>
      <c r="G314" s="13" t="s">
        <v>196</v>
      </c>
    </row>
    <row r="315" spans="1:7" x14ac:dyDescent="0.25">
      <c r="A315" s="12" t="s">
        <v>1657</v>
      </c>
      <c r="B315" s="6" t="s">
        <v>31</v>
      </c>
      <c r="C315" s="6" t="s">
        <v>32</v>
      </c>
      <c r="D315" s="6" t="s">
        <v>58</v>
      </c>
      <c r="E315" s="7" t="s">
        <v>792</v>
      </c>
      <c r="F315" s="8" t="s">
        <v>793</v>
      </c>
      <c r="G315" s="13" t="s">
        <v>240</v>
      </c>
    </row>
    <row r="316" spans="1:7" x14ac:dyDescent="0.25">
      <c r="A316" s="12" t="s">
        <v>1658</v>
      </c>
      <c r="B316" s="6" t="s">
        <v>26</v>
      </c>
      <c r="C316" s="6" t="s">
        <v>27</v>
      </c>
      <c r="D316" s="6" t="s">
        <v>36</v>
      </c>
      <c r="E316" s="7" t="s">
        <v>794</v>
      </c>
      <c r="F316" s="8" t="s">
        <v>795</v>
      </c>
      <c r="G316" s="13" t="s">
        <v>105</v>
      </c>
    </row>
    <row r="317" spans="1:7" x14ac:dyDescent="0.25">
      <c r="A317" s="12" t="s">
        <v>1659</v>
      </c>
      <c r="B317" s="6" t="s">
        <v>796</v>
      </c>
      <c r="C317" s="6" t="s">
        <v>18</v>
      </c>
      <c r="D317" s="6" t="s">
        <v>58</v>
      </c>
      <c r="E317" s="7" t="s">
        <v>797</v>
      </c>
      <c r="F317" s="8" t="s">
        <v>798</v>
      </c>
      <c r="G317" s="13" t="s">
        <v>208</v>
      </c>
    </row>
    <row r="318" spans="1:7" x14ac:dyDescent="0.25">
      <c r="A318" s="12" t="s">
        <v>1660</v>
      </c>
      <c r="B318" s="6" t="s">
        <v>241</v>
      </c>
      <c r="C318" s="6" t="s">
        <v>27</v>
      </c>
      <c r="D318" s="6" t="s">
        <v>123</v>
      </c>
      <c r="E318" s="7" t="s">
        <v>799</v>
      </c>
      <c r="F318" s="8" t="s">
        <v>800</v>
      </c>
      <c r="G318" s="13" t="s">
        <v>117</v>
      </c>
    </row>
    <row r="319" spans="1:7" x14ac:dyDescent="0.25">
      <c r="A319" s="12" t="s">
        <v>1661</v>
      </c>
      <c r="B319" s="6" t="s">
        <v>241</v>
      </c>
      <c r="C319" s="6" t="s">
        <v>27</v>
      </c>
      <c r="D319" s="6" t="s">
        <v>53</v>
      </c>
      <c r="E319" s="7" t="s">
        <v>801</v>
      </c>
      <c r="F319" s="8" t="s">
        <v>802</v>
      </c>
      <c r="G319" s="13" t="s">
        <v>90</v>
      </c>
    </row>
    <row r="320" spans="1:7" x14ac:dyDescent="0.25">
      <c r="A320" s="12" t="s">
        <v>1662</v>
      </c>
      <c r="B320" s="6" t="s">
        <v>12</v>
      </c>
      <c r="C320" s="6" t="s">
        <v>13</v>
      </c>
      <c r="D320" s="6" t="s">
        <v>36</v>
      </c>
      <c r="E320" s="7" t="s">
        <v>803</v>
      </c>
      <c r="F320" s="8" t="s">
        <v>804</v>
      </c>
      <c r="G320" s="13" t="s">
        <v>160</v>
      </c>
    </row>
    <row r="321" spans="1:7" x14ac:dyDescent="0.25">
      <c r="A321" s="12" t="s">
        <v>1663</v>
      </c>
      <c r="B321" s="6" t="s">
        <v>455</v>
      </c>
      <c r="C321" s="6" t="s">
        <v>18</v>
      </c>
      <c r="D321" s="6" t="s">
        <v>28</v>
      </c>
      <c r="E321" s="7" t="s">
        <v>805</v>
      </c>
      <c r="F321" s="8" t="s">
        <v>806</v>
      </c>
      <c r="G321" s="13" t="s">
        <v>76</v>
      </c>
    </row>
    <row r="322" spans="1:7" x14ac:dyDescent="0.25">
      <c r="A322" s="12" t="s">
        <v>1664</v>
      </c>
      <c r="B322" s="6" t="s">
        <v>455</v>
      </c>
      <c r="C322" s="6" t="s">
        <v>18</v>
      </c>
      <c r="D322" s="6" t="s">
        <v>78</v>
      </c>
      <c r="E322" s="7" t="s">
        <v>807</v>
      </c>
      <c r="F322" s="8" t="s">
        <v>808</v>
      </c>
      <c r="G322" s="13" t="s">
        <v>109</v>
      </c>
    </row>
    <row r="323" spans="1:7" x14ac:dyDescent="0.25">
      <c r="A323" s="12" t="s">
        <v>1665</v>
      </c>
      <c r="B323" s="6" t="s">
        <v>41</v>
      </c>
      <c r="C323" s="6" t="s">
        <v>42</v>
      </c>
      <c r="D323" s="6" t="s">
        <v>28</v>
      </c>
      <c r="E323" s="7" t="s">
        <v>809</v>
      </c>
      <c r="F323" s="8" t="s">
        <v>810</v>
      </c>
      <c r="G323" s="13" t="s">
        <v>38</v>
      </c>
    </row>
    <row r="324" spans="1:7" x14ac:dyDescent="0.25">
      <c r="A324" s="12" t="s">
        <v>1666</v>
      </c>
      <c r="B324" s="6" t="s">
        <v>110</v>
      </c>
      <c r="C324" s="6" t="s">
        <v>8</v>
      </c>
      <c r="D324" s="6" t="s">
        <v>23</v>
      </c>
      <c r="E324" s="7" t="s">
        <v>811</v>
      </c>
      <c r="F324" s="8" t="s">
        <v>812</v>
      </c>
      <c r="G324" s="13" t="s">
        <v>85</v>
      </c>
    </row>
    <row r="325" spans="1:7" x14ac:dyDescent="0.25">
      <c r="A325" s="12" t="s">
        <v>1667</v>
      </c>
      <c r="B325" s="6" t="s">
        <v>416</v>
      </c>
      <c r="C325" s="6" t="s">
        <v>63</v>
      </c>
      <c r="D325" s="6" t="s">
        <v>123</v>
      </c>
      <c r="E325" s="7" t="s">
        <v>813</v>
      </c>
      <c r="F325" s="8" t="s">
        <v>814</v>
      </c>
      <c r="G325" s="13" t="s">
        <v>270</v>
      </c>
    </row>
    <row r="326" spans="1:7" x14ac:dyDescent="0.25">
      <c r="A326" s="12" t="s">
        <v>1668</v>
      </c>
      <c r="B326" s="6" t="s">
        <v>385</v>
      </c>
      <c r="C326" s="6" t="s">
        <v>32</v>
      </c>
      <c r="D326" s="6" t="s">
        <v>58</v>
      </c>
      <c r="E326" s="7" t="s">
        <v>815</v>
      </c>
      <c r="F326" s="8" t="s">
        <v>816</v>
      </c>
      <c r="G326" s="13" t="s">
        <v>77</v>
      </c>
    </row>
    <row r="327" spans="1:7" x14ac:dyDescent="0.25">
      <c r="A327" s="12" t="s">
        <v>1669</v>
      </c>
      <c r="B327" s="6" t="s">
        <v>35</v>
      </c>
      <c r="C327" s="6" t="s">
        <v>13</v>
      </c>
      <c r="D327" s="6" t="s">
        <v>58</v>
      </c>
      <c r="E327" s="7" t="s">
        <v>817</v>
      </c>
      <c r="F327" s="8" t="s">
        <v>818</v>
      </c>
      <c r="G327" s="13" t="s">
        <v>136</v>
      </c>
    </row>
    <row r="328" spans="1:7" x14ac:dyDescent="0.25">
      <c r="A328" s="12" t="s">
        <v>1670</v>
      </c>
      <c r="B328" s="6" t="s">
        <v>142</v>
      </c>
      <c r="C328" s="6" t="s">
        <v>27</v>
      </c>
      <c r="D328" s="6" t="s">
        <v>78</v>
      </c>
      <c r="E328" s="7" t="s">
        <v>819</v>
      </c>
      <c r="F328" s="8" t="s">
        <v>820</v>
      </c>
      <c r="G328" s="13" t="s">
        <v>153</v>
      </c>
    </row>
    <row r="329" spans="1:7" x14ac:dyDescent="0.25">
      <c r="A329" s="12" t="s">
        <v>1671</v>
      </c>
      <c r="B329" s="6" t="s">
        <v>349</v>
      </c>
      <c r="C329" s="6" t="s">
        <v>179</v>
      </c>
      <c r="D329" s="6" t="s">
        <v>101</v>
      </c>
      <c r="E329" s="7" t="s">
        <v>821</v>
      </c>
      <c r="F329" s="8" t="s">
        <v>822</v>
      </c>
      <c r="G329" s="13" t="s">
        <v>208</v>
      </c>
    </row>
    <row r="330" spans="1:7" x14ac:dyDescent="0.25">
      <c r="A330" s="12" t="s">
        <v>1672</v>
      </c>
      <c r="B330" s="6" t="s">
        <v>361</v>
      </c>
      <c r="C330" s="6" t="s">
        <v>179</v>
      </c>
      <c r="D330" s="6" t="s">
        <v>36</v>
      </c>
      <c r="E330" s="7" t="s">
        <v>823</v>
      </c>
      <c r="F330" s="8" t="s">
        <v>824</v>
      </c>
      <c r="G330" s="13" t="s">
        <v>227</v>
      </c>
    </row>
    <row r="331" spans="1:7" x14ac:dyDescent="0.25">
      <c r="A331" s="12" t="s">
        <v>1673</v>
      </c>
      <c r="B331" s="6" t="s">
        <v>126</v>
      </c>
      <c r="C331" s="6" t="s">
        <v>63</v>
      </c>
      <c r="D331" s="6" t="s">
        <v>53</v>
      </c>
      <c r="E331" s="7" t="s">
        <v>825</v>
      </c>
      <c r="F331" s="8" t="s">
        <v>826</v>
      </c>
      <c r="G331" s="13" t="s">
        <v>117</v>
      </c>
    </row>
    <row r="332" spans="1:7" x14ac:dyDescent="0.25">
      <c r="A332" s="12" t="s">
        <v>1674</v>
      </c>
      <c r="B332" s="6" t="s">
        <v>650</v>
      </c>
      <c r="C332" s="6" t="s">
        <v>32</v>
      </c>
      <c r="D332" s="6" t="s">
        <v>123</v>
      </c>
      <c r="E332" s="7" t="s">
        <v>827</v>
      </c>
      <c r="F332" s="8" t="s">
        <v>828</v>
      </c>
      <c r="G332" s="13" t="s">
        <v>205</v>
      </c>
    </row>
    <row r="333" spans="1:7" x14ac:dyDescent="0.25">
      <c r="A333" s="12" t="s">
        <v>1675</v>
      </c>
      <c r="B333" s="6" t="s">
        <v>57</v>
      </c>
      <c r="C333" s="6" t="s">
        <v>42</v>
      </c>
      <c r="D333" s="6" t="s">
        <v>28</v>
      </c>
      <c r="E333" s="7" t="s">
        <v>829</v>
      </c>
      <c r="F333" s="8" t="s">
        <v>830</v>
      </c>
      <c r="G333" s="13" t="s">
        <v>233</v>
      </c>
    </row>
    <row r="334" spans="1:7" x14ac:dyDescent="0.25">
      <c r="A334" s="12" t="s">
        <v>1676</v>
      </c>
      <c r="B334" s="6" t="s">
        <v>7</v>
      </c>
      <c r="C334" s="6" t="s">
        <v>8</v>
      </c>
      <c r="D334" s="6" t="s">
        <v>36</v>
      </c>
      <c r="E334" s="7" t="s">
        <v>831</v>
      </c>
      <c r="F334" s="8" t="s">
        <v>832</v>
      </c>
      <c r="G334" s="13" t="s">
        <v>99</v>
      </c>
    </row>
    <row r="335" spans="1:7" x14ac:dyDescent="0.25">
      <c r="A335" s="12" t="s">
        <v>1677</v>
      </c>
      <c r="B335" s="6" t="s">
        <v>35</v>
      </c>
      <c r="C335" s="6" t="s">
        <v>13</v>
      </c>
      <c r="D335" s="6" t="s">
        <v>101</v>
      </c>
      <c r="E335" s="7" t="s">
        <v>833</v>
      </c>
      <c r="F335" s="8" t="s">
        <v>834</v>
      </c>
      <c r="G335" s="13" t="s">
        <v>117</v>
      </c>
    </row>
    <row r="336" spans="1:7" x14ac:dyDescent="0.25">
      <c r="A336" s="12" t="s">
        <v>1678</v>
      </c>
      <c r="B336" s="6" t="s">
        <v>349</v>
      </c>
      <c r="C336" s="6" t="s">
        <v>179</v>
      </c>
      <c r="D336" s="6" t="s">
        <v>36</v>
      </c>
      <c r="E336" s="7" t="s">
        <v>835</v>
      </c>
      <c r="F336" s="8" t="s">
        <v>836</v>
      </c>
      <c r="G336" s="13" t="s">
        <v>49</v>
      </c>
    </row>
    <row r="337" spans="1:7" x14ac:dyDescent="0.25">
      <c r="A337" s="12" t="s">
        <v>1679</v>
      </c>
      <c r="B337" s="6" t="s">
        <v>100</v>
      </c>
      <c r="C337" s="6" t="s">
        <v>52</v>
      </c>
      <c r="D337" s="6" t="s">
        <v>101</v>
      </c>
      <c r="E337" s="7" t="s">
        <v>837</v>
      </c>
      <c r="F337" s="8" t="s">
        <v>838</v>
      </c>
      <c r="G337" s="13" t="s">
        <v>171</v>
      </c>
    </row>
    <row r="338" spans="1:7" x14ac:dyDescent="0.25">
      <c r="A338" s="12" t="s">
        <v>1680</v>
      </c>
      <c r="B338" s="6" t="s">
        <v>178</v>
      </c>
      <c r="C338" s="6" t="s">
        <v>179</v>
      </c>
      <c r="D338" s="6" t="s">
        <v>14</v>
      </c>
      <c r="E338" s="7" t="s">
        <v>839</v>
      </c>
      <c r="F338" s="8" t="s">
        <v>840</v>
      </c>
      <c r="G338" s="13" t="s">
        <v>223</v>
      </c>
    </row>
    <row r="339" spans="1:7" x14ac:dyDescent="0.25">
      <c r="A339" s="12" t="s">
        <v>1681</v>
      </c>
      <c r="B339" s="6" t="s">
        <v>841</v>
      </c>
      <c r="C339" s="6" t="s">
        <v>63</v>
      </c>
      <c r="D339" s="6" t="s">
        <v>91</v>
      </c>
      <c r="E339" s="7" t="s">
        <v>842</v>
      </c>
      <c r="F339" s="8" t="s">
        <v>843</v>
      </c>
      <c r="G339" s="13" t="s">
        <v>175</v>
      </c>
    </row>
    <row r="340" spans="1:7" x14ac:dyDescent="0.25">
      <c r="A340" s="12" t="s">
        <v>1682</v>
      </c>
      <c r="B340" s="6" t="s">
        <v>197</v>
      </c>
      <c r="C340" s="6" t="s">
        <v>18</v>
      </c>
      <c r="D340" s="6" t="s">
        <v>101</v>
      </c>
      <c r="E340" s="7" t="s">
        <v>844</v>
      </c>
      <c r="F340" s="8" t="s">
        <v>845</v>
      </c>
      <c r="G340" s="13" t="s">
        <v>337</v>
      </c>
    </row>
    <row r="341" spans="1:7" x14ac:dyDescent="0.25">
      <c r="A341" s="12" t="s">
        <v>1683</v>
      </c>
      <c r="B341" s="6" t="s">
        <v>416</v>
      </c>
      <c r="C341" s="6" t="s">
        <v>63</v>
      </c>
      <c r="D341" s="6" t="s">
        <v>123</v>
      </c>
      <c r="E341" s="7" t="s">
        <v>846</v>
      </c>
      <c r="F341" s="8" t="s">
        <v>847</v>
      </c>
      <c r="G341" s="13" t="s">
        <v>167</v>
      </c>
    </row>
    <row r="342" spans="1:7" x14ac:dyDescent="0.25">
      <c r="A342" s="12" t="s">
        <v>1684</v>
      </c>
      <c r="B342" s="6" t="s">
        <v>398</v>
      </c>
      <c r="C342" s="6" t="s">
        <v>42</v>
      </c>
      <c r="D342" s="6" t="s">
        <v>36</v>
      </c>
      <c r="E342" s="7" t="s">
        <v>848</v>
      </c>
      <c r="F342" s="8" t="s">
        <v>849</v>
      </c>
      <c r="G342" s="13" t="s">
        <v>90</v>
      </c>
    </row>
    <row r="343" spans="1:7" x14ac:dyDescent="0.25">
      <c r="A343" s="12" t="s">
        <v>1685</v>
      </c>
      <c r="B343" s="6" t="s">
        <v>7</v>
      </c>
      <c r="C343" s="6" t="s">
        <v>8</v>
      </c>
      <c r="D343" s="6" t="s">
        <v>91</v>
      </c>
      <c r="E343" s="7" t="s">
        <v>850</v>
      </c>
      <c r="F343" s="8" t="s">
        <v>851</v>
      </c>
      <c r="G343" s="13" t="s">
        <v>208</v>
      </c>
    </row>
    <row r="344" spans="1:7" x14ac:dyDescent="0.25">
      <c r="A344" s="12" t="s">
        <v>1686</v>
      </c>
      <c r="B344" s="6" t="s">
        <v>423</v>
      </c>
      <c r="C344" s="6" t="s">
        <v>18</v>
      </c>
      <c r="D344" s="6" t="s">
        <v>19</v>
      </c>
      <c r="E344" s="7" t="s">
        <v>852</v>
      </c>
      <c r="F344" s="8" t="s">
        <v>853</v>
      </c>
      <c r="G344" s="13" t="s">
        <v>175</v>
      </c>
    </row>
    <row r="345" spans="1:7" x14ac:dyDescent="0.25">
      <c r="A345" s="12" t="s">
        <v>1687</v>
      </c>
      <c r="B345" s="6" t="s">
        <v>12</v>
      </c>
      <c r="C345" s="6" t="s">
        <v>13</v>
      </c>
      <c r="D345" s="6" t="s">
        <v>101</v>
      </c>
      <c r="E345" s="7" t="s">
        <v>854</v>
      </c>
      <c r="F345" s="8" t="s">
        <v>855</v>
      </c>
      <c r="G345" s="13" t="s">
        <v>249</v>
      </c>
    </row>
    <row r="346" spans="1:7" x14ac:dyDescent="0.25">
      <c r="A346" s="12" t="s">
        <v>1688</v>
      </c>
      <c r="B346" s="6" t="s">
        <v>12</v>
      </c>
      <c r="C346" s="6" t="s">
        <v>13</v>
      </c>
      <c r="D346" s="6" t="s">
        <v>9</v>
      </c>
      <c r="E346" s="7" t="s">
        <v>856</v>
      </c>
      <c r="F346" s="8" t="s">
        <v>857</v>
      </c>
      <c r="G346" s="13" t="s">
        <v>113</v>
      </c>
    </row>
    <row r="347" spans="1:7" x14ac:dyDescent="0.25">
      <c r="A347" s="12" t="s">
        <v>1689</v>
      </c>
      <c r="B347" s="6" t="s">
        <v>361</v>
      </c>
      <c r="C347" s="6" t="s">
        <v>179</v>
      </c>
      <c r="D347" s="6" t="s">
        <v>28</v>
      </c>
      <c r="E347" s="7" t="s">
        <v>858</v>
      </c>
      <c r="F347" s="8" t="s">
        <v>859</v>
      </c>
      <c r="G347" s="13" t="s">
        <v>174</v>
      </c>
    </row>
    <row r="348" spans="1:7" x14ac:dyDescent="0.25">
      <c r="A348" s="12" t="s">
        <v>1690</v>
      </c>
      <c r="B348" s="6" t="s">
        <v>12</v>
      </c>
      <c r="C348" s="6" t="s">
        <v>13</v>
      </c>
      <c r="D348" s="6" t="s">
        <v>78</v>
      </c>
      <c r="E348" s="7" t="s">
        <v>860</v>
      </c>
      <c r="F348" s="8" t="s">
        <v>861</v>
      </c>
      <c r="G348" s="13" t="s">
        <v>270</v>
      </c>
    </row>
    <row r="349" spans="1:7" x14ac:dyDescent="0.25">
      <c r="A349" s="12" t="s">
        <v>1691</v>
      </c>
      <c r="B349" s="6" t="s">
        <v>777</v>
      </c>
      <c r="C349" s="6" t="s">
        <v>18</v>
      </c>
      <c r="D349" s="6" t="s">
        <v>28</v>
      </c>
      <c r="E349" s="7" t="s">
        <v>862</v>
      </c>
      <c r="F349" s="8" t="s">
        <v>863</v>
      </c>
      <c r="G349" s="13" t="s">
        <v>182</v>
      </c>
    </row>
    <row r="350" spans="1:7" x14ac:dyDescent="0.25">
      <c r="A350" s="12" t="s">
        <v>1692</v>
      </c>
      <c r="B350" s="6" t="s">
        <v>523</v>
      </c>
      <c r="C350" s="6" t="s">
        <v>18</v>
      </c>
      <c r="D350" s="6" t="s">
        <v>9</v>
      </c>
      <c r="E350" s="7" t="s">
        <v>864</v>
      </c>
      <c r="F350" s="8" t="s">
        <v>865</v>
      </c>
      <c r="G350" s="13" t="s">
        <v>196</v>
      </c>
    </row>
    <row r="351" spans="1:7" x14ac:dyDescent="0.25">
      <c r="A351" s="12" t="s">
        <v>1693</v>
      </c>
      <c r="B351" s="6" t="s">
        <v>385</v>
      </c>
      <c r="C351" s="6" t="s">
        <v>32</v>
      </c>
      <c r="D351" s="6" t="s">
        <v>28</v>
      </c>
      <c r="E351" s="7" t="s">
        <v>866</v>
      </c>
      <c r="F351" s="8" t="s">
        <v>867</v>
      </c>
      <c r="G351" s="13" t="s">
        <v>223</v>
      </c>
    </row>
    <row r="352" spans="1:7" x14ac:dyDescent="0.25">
      <c r="A352" s="12" t="s">
        <v>1694</v>
      </c>
      <c r="B352" s="6" t="s">
        <v>407</v>
      </c>
      <c r="C352" s="6" t="s">
        <v>179</v>
      </c>
      <c r="D352" s="6" t="s">
        <v>91</v>
      </c>
      <c r="E352" s="7" t="s">
        <v>868</v>
      </c>
      <c r="F352" s="8" t="s">
        <v>869</v>
      </c>
      <c r="G352" s="13" t="s">
        <v>145</v>
      </c>
    </row>
    <row r="353" spans="1:7" x14ac:dyDescent="0.25">
      <c r="A353" s="12" t="s">
        <v>1695</v>
      </c>
      <c r="B353" s="6" t="s">
        <v>12</v>
      </c>
      <c r="C353" s="6" t="s">
        <v>13</v>
      </c>
      <c r="D353" s="6" t="s">
        <v>58</v>
      </c>
      <c r="E353" s="7" t="s">
        <v>870</v>
      </c>
      <c r="F353" s="8" t="s">
        <v>871</v>
      </c>
      <c r="G353" s="13" t="s">
        <v>65</v>
      </c>
    </row>
    <row r="354" spans="1:7" x14ac:dyDescent="0.25">
      <c r="A354" s="12" t="s">
        <v>1696</v>
      </c>
      <c r="B354" s="6" t="s">
        <v>87</v>
      </c>
      <c r="C354" s="6" t="s">
        <v>42</v>
      </c>
      <c r="D354" s="6" t="s">
        <v>28</v>
      </c>
      <c r="E354" s="7" t="s">
        <v>872</v>
      </c>
      <c r="F354" s="8" t="s">
        <v>873</v>
      </c>
      <c r="G354" s="13" t="s">
        <v>60</v>
      </c>
    </row>
    <row r="355" spans="1:7" x14ac:dyDescent="0.25">
      <c r="A355" s="12" t="s">
        <v>1697</v>
      </c>
      <c r="B355" s="6" t="s">
        <v>874</v>
      </c>
      <c r="C355" s="6" t="s">
        <v>18</v>
      </c>
      <c r="D355" s="6" t="s">
        <v>19</v>
      </c>
      <c r="E355" s="7" t="s">
        <v>875</v>
      </c>
      <c r="F355" s="8" t="s">
        <v>876</v>
      </c>
      <c r="G355" s="13" t="s">
        <v>66</v>
      </c>
    </row>
    <row r="356" spans="1:7" x14ac:dyDescent="0.25">
      <c r="A356" s="12" t="s">
        <v>1698</v>
      </c>
      <c r="B356" s="6" t="s">
        <v>57</v>
      </c>
      <c r="C356" s="6" t="s">
        <v>42</v>
      </c>
      <c r="D356" s="6" t="s">
        <v>19</v>
      </c>
      <c r="E356" s="7" t="s">
        <v>877</v>
      </c>
      <c r="F356" s="8" t="s">
        <v>878</v>
      </c>
      <c r="G356" s="13" t="s">
        <v>121</v>
      </c>
    </row>
    <row r="357" spans="1:7" x14ac:dyDescent="0.25">
      <c r="A357" s="12" t="s">
        <v>1699</v>
      </c>
      <c r="B357" s="6" t="s">
        <v>214</v>
      </c>
      <c r="C357" s="6" t="s">
        <v>164</v>
      </c>
      <c r="D357" s="6" t="s">
        <v>101</v>
      </c>
      <c r="E357" s="7" t="s">
        <v>879</v>
      </c>
      <c r="F357" s="8" t="s">
        <v>880</v>
      </c>
      <c r="G357" s="13" t="s">
        <v>45</v>
      </c>
    </row>
    <row r="358" spans="1:7" x14ac:dyDescent="0.25">
      <c r="A358" s="12" t="s">
        <v>1700</v>
      </c>
      <c r="B358" s="6" t="s">
        <v>349</v>
      </c>
      <c r="C358" s="6" t="s">
        <v>179</v>
      </c>
      <c r="D358" s="6" t="s">
        <v>28</v>
      </c>
      <c r="E358" s="7" t="s">
        <v>881</v>
      </c>
      <c r="F358" s="8" t="s">
        <v>882</v>
      </c>
      <c r="G358" s="13" t="s">
        <v>322</v>
      </c>
    </row>
    <row r="359" spans="1:7" x14ac:dyDescent="0.25">
      <c r="A359" s="12" t="s">
        <v>1701</v>
      </c>
      <c r="B359" s="6" t="s">
        <v>398</v>
      </c>
      <c r="C359" s="6" t="s">
        <v>42</v>
      </c>
      <c r="D359" s="6" t="s">
        <v>58</v>
      </c>
      <c r="E359" s="7" t="s">
        <v>883</v>
      </c>
      <c r="F359" s="8" t="s">
        <v>884</v>
      </c>
      <c r="G359" s="13" t="s">
        <v>337</v>
      </c>
    </row>
    <row r="360" spans="1:7" x14ac:dyDescent="0.25">
      <c r="A360" s="12" t="s">
        <v>1702</v>
      </c>
      <c r="B360" s="6" t="s">
        <v>35</v>
      </c>
      <c r="C360" s="6" t="s">
        <v>13</v>
      </c>
      <c r="D360" s="6" t="s">
        <v>123</v>
      </c>
      <c r="E360" s="7" t="s">
        <v>885</v>
      </c>
      <c r="F360" s="8" t="s">
        <v>886</v>
      </c>
      <c r="G360" s="13" t="s">
        <v>286</v>
      </c>
    </row>
    <row r="361" spans="1:7" x14ac:dyDescent="0.25">
      <c r="A361" s="12" t="s">
        <v>1703</v>
      </c>
      <c r="B361" s="6" t="s">
        <v>274</v>
      </c>
      <c r="C361" s="6" t="s">
        <v>32</v>
      </c>
      <c r="D361" s="6" t="s">
        <v>123</v>
      </c>
      <c r="E361" s="7" t="s">
        <v>887</v>
      </c>
      <c r="F361" s="8" t="s">
        <v>888</v>
      </c>
      <c r="G361" s="13" t="s">
        <v>117</v>
      </c>
    </row>
    <row r="362" spans="1:7" x14ac:dyDescent="0.25">
      <c r="A362" s="12" t="s">
        <v>1704</v>
      </c>
      <c r="B362" s="6" t="s">
        <v>241</v>
      </c>
      <c r="C362" s="6" t="s">
        <v>27</v>
      </c>
      <c r="D362" s="6" t="s">
        <v>58</v>
      </c>
      <c r="E362" s="7" t="s">
        <v>889</v>
      </c>
      <c r="F362" s="8" t="s">
        <v>890</v>
      </c>
      <c r="G362" s="13" t="s">
        <v>34</v>
      </c>
    </row>
    <row r="363" spans="1:7" x14ac:dyDescent="0.25">
      <c r="A363" s="12" t="s">
        <v>1705</v>
      </c>
      <c r="B363" s="6" t="s">
        <v>416</v>
      </c>
      <c r="C363" s="6" t="s">
        <v>63</v>
      </c>
      <c r="D363" s="6" t="s">
        <v>36</v>
      </c>
      <c r="E363" s="7" t="s">
        <v>891</v>
      </c>
      <c r="F363" s="8" t="s">
        <v>892</v>
      </c>
      <c r="G363" s="13" t="s">
        <v>55</v>
      </c>
    </row>
    <row r="364" spans="1:7" x14ac:dyDescent="0.25">
      <c r="A364" s="12" t="s">
        <v>1706</v>
      </c>
      <c r="B364" s="6" t="s">
        <v>26</v>
      </c>
      <c r="C364" s="6" t="s">
        <v>27</v>
      </c>
      <c r="D364" s="6" t="s">
        <v>78</v>
      </c>
      <c r="E364" s="7" t="s">
        <v>893</v>
      </c>
      <c r="F364" s="8" t="s">
        <v>894</v>
      </c>
      <c r="G364" s="13" t="s">
        <v>236</v>
      </c>
    </row>
    <row r="365" spans="1:7" x14ac:dyDescent="0.25">
      <c r="A365" s="12" t="s">
        <v>1707</v>
      </c>
      <c r="B365" s="6" t="s">
        <v>87</v>
      </c>
      <c r="C365" s="6" t="s">
        <v>42</v>
      </c>
      <c r="D365" s="6" t="s">
        <v>23</v>
      </c>
      <c r="E365" s="7" t="s">
        <v>895</v>
      </c>
      <c r="F365" s="8" t="s">
        <v>896</v>
      </c>
      <c r="G365" s="13" t="s">
        <v>262</v>
      </c>
    </row>
    <row r="366" spans="1:7" x14ac:dyDescent="0.25">
      <c r="A366" s="12" t="s">
        <v>1708</v>
      </c>
      <c r="B366" s="6" t="s">
        <v>468</v>
      </c>
      <c r="C366" s="6" t="s">
        <v>32</v>
      </c>
      <c r="D366" s="6" t="s">
        <v>91</v>
      </c>
      <c r="E366" s="7" t="s">
        <v>897</v>
      </c>
      <c r="F366" s="8" t="s">
        <v>898</v>
      </c>
      <c r="G366" s="13" t="s">
        <v>69</v>
      </c>
    </row>
    <row r="367" spans="1:7" x14ac:dyDescent="0.25">
      <c r="A367" s="12" t="s">
        <v>1709</v>
      </c>
      <c r="B367" s="6" t="s">
        <v>647</v>
      </c>
      <c r="C367" s="6" t="s">
        <v>63</v>
      </c>
      <c r="D367" s="6" t="s">
        <v>91</v>
      </c>
      <c r="E367" s="7" t="s">
        <v>899</v>
      </c>
      <c r="F367" s="8" t="s">
        <v>900</v>
      </c>
      <c r="G367" s="13" t="s">
        <v>319</v>
      </c>
    </row>
    <row r="368" spans="1:7" x14ac:dyDescent="0.25">
      <c r="A368" s="12" t="s">
        <v>1710</v>
      </c>
      <c r="B368" s="6" t="s">
        <v>184</v>
      </c>
      <c r="C368" s="6" t="s">
        <v>164</v>
      </c>
      <c r="D368" s="6" t="s">
        <v>28</v>
      </c>
      <c r="E368" s="7" t="s">
        <v>901</v>
      </c>
      <c r="F368" s="8" t="s">
        <v>902</v>
      </c>
      <c r="G368" s="13" t="s">
        <v>286</v>
      </c>
    </row>
    <row r="369" spans="1:7" x14ac:dyDescent="0.25">
      <c r="A369" s="12" t="s">
        <v>1711</v>
      </c>
      <c r="B369" s="6" t="s">
        <v>126</v>
      </c>
      <c r="C369" s="6" t="s">
        <v>63</v>
      </c>
      <c r="D369" s="6" t="s">
        <v>23</v>
      </c>
      <c r="E369" s="7" t="s">
        <v>903</v>
      </c>
      <c r="F369" s="8" t="s">
        <v>904</v>
      </c>
      <c r="G369" s="13" t="s">
        <v>46</v>
      </c>
    </row>
    <row r="370" spans="1:7" x14ac:dyDescent="0.25">
      <c r="A370" s="12" t="s">
        <v>1712</v>
      </c>
      <c r="B370" s="6" t="s">
        <v>184</v>
      </c>
      <c r="C370" s="6" t="s">
        <v>164</v>
      </c>
      <c r="D370" s="6" t="s">
        <v>78</v>
      </c>
      <c r="E370" s="7" t="s">
        <v>905</v>
      </c>
      <c r="F370" s="8" t="s">
        <v>906</v>
      </c>
      <c r="G370" s="13" t="s">
        <v>25</v>
      </c>
    </row>
    <row r="371" spans="1:7" x14ac:dyDescent="0.25">
      <c r="A371" s="12" t="s">
        <v>1713</v>
      </c>
      <c r="B371" s="6" t="s">
        <v>349</v>
      </c>
      <c r="C371" s="6" t="s">
        <v>179</v>
      </c>
      <c r="D371" s="6" t="s">
        <v>101</v>
      </c>
      <c r="E371" s="7" t="s">
        <v>907</v>
      </c>
      <c r="F371" s="8" t="s">
        <v>908</v>
      </c>
      <c r="G371" s="13" t="s">
        <v>277</v>
      </c>
    </row>
    <row r="372" spans="1:7" x14ac:dyDescent="0.25">
      <c r="A372" s="12" t="s">
        <v>1714</v>
      </c>
      <c r="B372" s="6" t="s">
        <v>7</v>
      </c>
      <c r="C372" s="6" t="s">
        <v>8</v>
      </c>
      <c r="D372" s="6" t="s">
        <v>78</v>
      </c>
      <c r="E372" s="7" t="s">
        <v>909</v>
      </c>
      <c r="F372" s="8" t="s">
        <v>910</v>
      </c>
      <c r="G372" s="13" t="s">
        <v>196</v>
      </c>
    </row>
    <row r="373" spans="1:7" x14ac:dyDescent="0.25">
      <c r="A373" s="12" t="s">
        <v>1715</v>
      </c>
      <c r="B373" s="6" t="s">
        <v>163</v>
      </c>
      <c r="C373" s="6" t="s">
        <v>164</v>
      </c>
      <c r="D373" s="6" t="s">
        <v>78</v>
      </c>
      <c r="E373" s="7" t="s">
        <v>911</v>
      </c>
      <c r="F373" s="8" t="s">
        <v>912</v>
      </c>
      <c r="G373" s="13" t="s">
        <v>183</v>
      </c>
    </row>
    <row r="374" spans="1:7" x14ac:dyDescent="0.25">
      <c r="A374" s="12" t="s">
        <v>1716</v>
      </c>
      <c r="B374" s="6" t="s">
        <v>241</v>
      </c>
      <c r="C374" s="6" t="s">
        <v>27</v>
      </c>
      <c r="D374" s="6" t="s">
        <v>28</v>
      </c>
      <c r="E374" s="7" t="s">
        <v>913</v>
      </c>
      <c r="F374" s="8" t="s">
        <v>914</v>
      </c>
      <c r="G374" s="13" t="s">
        <v>90</v>
      </c>
    </row>
    <row r="375" spans="1:7" x14ac:dyDescent="0.25">
      <c r="A375" s="12" t="s">
        <v>1717</v>
      </c>
      <c r="B375" s="6" t="s">
        <v>110</v>
      </c>
      <c r="C375" s="6" t="s">
        <v>8</v>
      </c>
      <c r="D375" s="6" t="s">
        <v>19</v>
      </c>
      <c r="E375" s="7" t="s">
        <v>915</v>
      </c>
      <c r="F375" s="8" t="s">
        <v>916</v>
      </c>
      <c r="G375" s="13" t="s">
        <v>223</v>
      </c>
    </row>
    <row r="376" spans="1:7" x14ac:dyDescent="0.25">
      <c r="A376" s="12" t="s">
        <v>1718</v>
      </c>
      <c r="B376" s="6" t="s">
        <v>35</v>
      </c>
      <c r="C376" s="6" t="s">
        <v>13</v>
      </c>
      <c r="D376" s="6" t="s">
        <v>101</v>
      </c>
      <c r="E376" s="7" t="s">
        <v>917</v>
      </c>
      <c r="F376" s="8" t="s">
        <v>918</v>
      </c>
      <c r="G376" s="13" t="s">
        <v>305</v>
      </c>
    </row>
    <row r="377" spans="1:7" x14ac:dyDescent="0.25">
      <c r="A377" s="12" t="s">
        <v>1719</v>
      </c>
      <c r="B377" s="6" t="s">
        <v>361</v>
      </c>
      <c r="C377" s="6" t="s">
        <v>179</v>
      </c>
      <c r="D377" s="6" t="s">
        <v>58</v>
      </c>
      <c r="E377" s="7" t="s">
        <v>919</v>
      </c>
      <c r="F377" s="8" t="s">
        <v>920</v>
      </c>
      <c r="G377" s="13" t="s">
        <v>190</v>
      </c>
    </row>
    <row r="378" spans="1:7" x14ac:dyDescent="0.25">
      <c r="A378" s="12" t="s">
        <v>1720</v>
      </c>
      <c r="B378" s="6" t="s">
        <v>523</v>
      </c>
      <c r="C378" s="6" t="s">
        <v>18</v>
      </c>
      <c r="D378" s="6" t="s">
        <v>101</v>
      </c>
      <c r="E378" s="7" t="s">
        <v>921</v>
      </c>
      <c r="F378" s="8" t="s">
        <v>922</v>
      </c>
      <c r="G378" s="13" t="s">
        <v>262</v>
      </c>
    </row>
    <row r="379" spans="1:7" x14ac:dyDescent="0.25">
      <c r="A379" s="12" t="s">
        <v>1721</v>
      </c>
      <c r="B379" s="6" t="s">
        <v>263</v>
      </c>
      <c r="C379" s="6" t="s">
        <v>8</v>
      </c>
      <c r="D379" s="6" t="s">
        <v>14</v>
      </c>
      <c r="E379" s="7" t="s">
        <v>923</v>
      </c>
      <c r="F379" s="8" t="s">
        <v>924</v>
      </c>
      <c r="G379" s="13" t="s">
        <v>227</v>
      </c>
    </row>
    <row r="380" spans="1:7" x14ac:dyDescent="0.25">
      <c r="A380" s="12" t="s">
        <v>1722</v>
      </c>
      <c r="B380" s="6" t="s">
        <v>12</v>
      </c>
      <c r="C380" s="6" t="s">
        <v>13</v>
      </c>
      <c r="D380" s="6" t="s">
        <v>14</v>
      </c>
      <c r="E380" s="7" t="s">
        <v>925</v>
      </c>
      <c r="F380" s="8" t="s">
        <v>926</v>
      </c>
      <c r="G380" s="13" t="s">
        <v>305</v>
      </c>
    </row>
    <row r="381" spans="1:7" x14ac:dyDescent="0.25">
      <c r="A381" s="12" t="s">
        <v>1723</v>
      </c>
      <c r="B381" s="6" t="s">
        <v>118</v>
      </c>
      <c r="C381" s="6" t="s">
        <v>63</v>
      </c>
      <c r="D381" s="6" t="s">
        <v>19</v>
      </c>
      <c r="E381" s="7" t="s">
        <v>927</v>
      </c>
      <c r="F381" s="8" t="s">
        <v>928</v>
      </c>
      <c r="G381" s="13" t="s">
        <v>153</v>
      </c>
    </row>
    <row r="382" spans="1:7" x14ac:dyDescent="0.25">
      <c r="A382" s="12" t="s">
        <v>1724</v>
      </c>
      <c r="B382" s="6" t="s">
        <v>12</v>
      </c>
      <c r="C382" s="6" t="s">
        <v>13</v>
      </c>
      <c r="D382" s="6" t="s">
        <v>9</v>
      </c>
      <c r="E382" s="7" t="s">
        <v>929</v>
      </c>
      <c r="F382" s="8" t="s">
        <v>930</v>
      </c>
      <c r="G382" s="13" t="s">
        <v>286</v>
      </c>
    </row>
    <row r="383" spans="1:7" x14ac:dyDescent="0.25">
      <c r="A383" s="12" t="s">
        <v>1725</v>
      </c>
      <c r="B383" s="6" t="s">
        <v>35</v>
      </c>
      <c r="C383" s="6" t="s">
        <v>13</v>
      </c>
      <c r="D383" s="6" t="s">
        <v>78</v>
      </c>
      <c r="E383" s="7" t="s">
        <v>931</v>
      </c>
      <c r="F383" s="8" t="s">
        <v>932</v>
      </c>
      <c r="G383" s="13" t="s">
        <v>40</v>
      </c>
    </row>
    <row r="384" spans="1:7" x14ac:dyDescent="0.25">
      <c r="A384" s="12" t="s">
        <v>1726</v>
      </c>
      <c r="B384" s="6" t="s">
        <v>841</v>
      </c>
      <c r="C384" s="6" t="s">
        <v>63</v>
      </c>
      <c r="D384" s="6" t="s">
        <v>78</v>
      </c>
      <c r="E384" s="7" t="s">
        <v>933</v>
      </c>
      <c r="F384" s="8" t="s">
        <v>934</v>
      </c>
      <c r="G384" s="13" t="s">
        <v>239</v>
      </c>
    </row>
    <row r="385" spans="1:7" x14ac:dyDescent="0.25">
      <c r="A385" s="12" t="s">
        <v>1727</v>
      </c>
      <c r="B385" s="6" t="s">
        <v>385</v>
      </c>
      <c r="C385" s="6" t="s">
        <v>32</v>
      </c>
      <c r="D385" s="6" t="s">
        <v>58</v>
      </c>
      <c r="E385" s="7" t="s">
        <v>935</v>
      </c>
      <c r="F385" s="8" t="s">
        <v>936</v>
      </c>
      <c r="G385" s="13" t="s">
        <v>16</v>
      </c>
    </row>
    <row r="386" spans="1:7" x14ac:dyDescent="0.25">
      <c r="A386" s="12" t="s">
        <v>1728</v>
      </c>
      <c r="B386" s="6" t="s">
        <v>12</v>
      </c>
      <c r="C386" s="6" t="s">
        <v>13</v>
      </c>
      <c r="D386" s="6" t="s">
        <v>123</v>
      </c>
      <c r="E386" s="7" t="s">
        <v>937</v>
      </c>
      <c r="F386" s="8" t="s">
        <v>938</v>
      </c>
      <c r="G386" s="13" t="s">
        <v>273</v>
      </c>
    </row>
    <row r="387" spans="1:7" x14ac:dyDescent="0.25">
      <c r="A387" s="12" t="s">
        <v>1729</v>
      </c>
      <c r="B387" s="6" t="s">
        <v>650</v>
      </c>
      <c r="C387" s="6" t="s">
        <v>32</v>
      </c>
      <c r="D387" s="6" t="s">
        <v>123</v>
      </c>
      <c r="E387" s="7" t="s">
        <v>939</v>
      </c>
      <c r="F387" s="8" t="s">
        <v>940</v>
      </c>
      <c r="G387" s="13" t="s">
        <v>191</v>
      </c>
    </row>
    <row r="388" spans="1:7" x14ac:dyDescent="0.25">
      <c r="A388" s="12" t="s">
        <v>1730</v>
      </c>
      <c r="B388" s="6" t="s">
        <v>133</v>
      </c>
      <c r="C388" s="6" t="s">
        <v>52</v>
      </c>
      <c r="D388" s="6" t="s">
        <v>123</v>
      </c>
      <c r="E388" s="7" t="s">
        <v>941</v>
      </c>
      <c r="F388" s="8" t="s">
        <v>942</v>
      </c>
      <c r="G388" s="13" t="s">
        <v>76</v>
      </c>
    </row>
    <row r="389" spans="1:7" x14ac:dyDescent="0.25">
      <c r="A389" s="12" t="s">
        <v>1731</v>
      </c>
      <c r="B389" s="6" t="s">
        <v>157</v>
      </c>
      <c r="C389" s="6" t="s">
        <v>27</v>
      </c>
      <c r="D389" s="6" t="s">
        <v>101</v>
      </c>
      <c r="E389" s="7" t="s">
        <v>943</v>
      </c>
      <c r="F389" s="8" t="s">
        <v>944</v>
      </c>
      <c r="G389" s="13" t="s">
        <v>38</v>
      </c>
    </row>
    <row r="390" spans="1:7" x14ac:dyDescent="0.25">
      <c r="A390" s="12" t="s">
        <v>1732</v>
      </c>
      <c r="B390" s="6" t="s">
        <v>41</v>
      </c>
      <c r="C390" s="6" t="s">
        <v>42</v>
      </c>
      <c r="D390" s="6" t="s">
        <v>101</v>
      </c>
      <c r="E390" s="7" t="s">
        <v>945</v>
      </c>
      <c r="F390" s="8" t="s">
        <v>946</v>
      </c>
      <c r="G390" s="13" t="s">
        <v>182</v>
      </c>
    </row>
    <row r="391" spans="1:7" x14ac:dyDescent="0.25">
      <c r="A391" s="12" t="s">
        <v>1733</v>
      </c>
      <c r="B391" s="6" t="s">
        <v>361</v>
      </c>
      <c r="C391" s="6" t="s">
        <v>179</v>
      </c>
      <c r="D391" s="6" t="s">
        <v>58</v>
      </c>
      <c r="E391" s="7" t="s">
        <v>947</v>
      </c>
      <c r="F391" s="8" t="s">
        <v>948</v>
      </c>
      <c r="G391" s="13" t="s">
        <v>49</v>
      </c>
    </row>
    <row r="392" spans="1:7" x14ac:dyDescent="0.25">
      <c r="A392" s="12" t="s">
        <v>1734</v>
      </c>
      <c r="B392" s="6" t="s">
        <v>187</v>
      </c>
      <c r="C392" s="6" t="s">
        <v>18</v>
      </c>
      <c r="D392" s="6" t="s">
        <v>14</v>
      </c>
      <c r="E392" s="7" t="s">
        <v>949</v>
      </c>
      <c r="F392" s="8" t="s">
        <v>950</v>
      </c>
      <c r="G392" s="13" t="s">
        <v>196</v>
      </c>
    </row>
    <row r="393" spans="1:7" x14ac:dyDescent="0.25">
      <c r="A393" s="12" t="s">
        <v>1735</v>
      </c>
      <c r="B393" s="6" t="s">
        <v>594</v>
      </c>
      <c r="C393" s="6" t="s">
        <v>63</v>
      </c>
      <c r="D393" s="6" t="s">
        <v>9</v>
      </c>
      <c r="E393" s="7" t="s">
        <v>951</v>
      </c>
      <c r="F393" s="8" t="s">
        <v>952</v>
      </c>
      <c r="G393" s="13" t="s">
        <v>308</v>
      </c>
    </row>
    <row r="394" spans="1:7" x14ac:dyDescent="0.25">
      <c r="A394" s="12" t="s">
        <v>1736</v>
      </c>
      <c r="B394" s="6" t="s">
        <v>241</v>
      </c>
      <c r="C394" s="6" t="s">
        <v>27</v>
      </c>
      <c r="D394" s="6" t="s">
        <v>28</v>
      </c>
      <c r="E394" s="7" t="s">
        <v>953</v>
      </c>
      <c r="F394" s="8" t="s">
        <v>954</v>
      </c>
      <c r="G394" s="13" t="s">
        <v>160</v>
      </c>
    </row>
    <row r="395" spans="1:7" x14ac:dyDescent="0.25">
      <c r="A395" s="12" t="s">
        <v>1737</v>
      </c>
      <c r="B395" s="6" t="s">
        <v>576</v>
      </c>
      <c r="C395" s="6" t="s">
        <v>63</v>
      </c>
      <c r="D395" s="6" t="s">
        <v>101</v>
      </c>
      <c r="E395" s="7" t="s">
        <v>955</v>
      </c>
      <c r="F395" s="8" t="s">
        <v>956</v>
      </c>
      <c r="G395" s="13" t="s">
        <v>85</v>
      </c>
    </row>
    <row r="396" spans="1:7" x14ac:dyDescent="0.25">
      <c r="A396" s="12" t="s">
        <v>1738</v>
      </c>
      <c r="B396" s="6" t="s">
        <v>468</v>
      </c>
      <c r="C396" s="6" t="s">
        <v>32</v>
      </c>
      <c r="D396" s="6" t="s">
        <v>123</v>
      </c>
      <c r="E396" s="7" t="s">
        <v>957</v>
      </c>
      <c r="F396" s="8" t="s">
        <v>958</v>
      </c>
      <c r="G396" s="13" t="s">
        <v>21</v>
      </c>
    </row>
    <row r="397" spans="1:7" x14ac:dyDescent="0.25">
      <c r="A397" s="12" t="s">
        <v>1739</v>
      </c>
      <c r="B397" s="6" t="s">
        <v>349</v>
      </c>
      <c r="C397" s="6" t="s">
        <v>179</v>
      </c>
      <c r="D397" s="6" t="s">
        <v>53</v>
      </c>
      <c r="E397" s="7" t="s">
        <v>959</v>
      </c>
      <c r="F397" s="8" t="s">
        <v>960</v>
      </c>
      <c r="G397" s="13" t="s">
        <v>113</v>
      </c>
    </row>
    <row r="398" spans="1:7" x14ac:dyDescent="0.25">
      <c r="A398" s="12" t="s">
        <v>1740</v>
      </c>
      <c r="B398" s="6" t="s">
        <v>841</v>
      </c>
      <c r="C398" s="6" t="s">
        <v>63</v>
      </c>
      <c r="D398" s="6" t="s">
        <v>14</v>
      </c>
      <c r="E398" s="7" t="s">
        <v>961</v>
      </c>
      <c r="F398" s="8" t="s">
        <v>962</v>
      </c>
      <c r="G398" s="13" t="s">
        <v>117</v>
      </c>
    </row>
    <row r="399" spans="1:7" x14ac:dyDescent="0.25">
      <c r="A399" s="12" t="s">
        <v>1741</v>
      </c>
      <c r="B399" s="6" t="s">
        <v>142</v>
      </c>
      <c r="C399" s="6" t="s">
        <v>27</v>
      </c>
      <c r="D399" s="6" t="s">
        <v>36</v>
      </c>
      <c r="E399" s="7" t="s">
        <v>963</v>
      </c>
      <c r="F399" s="8" t="s">
        <v>964</v>
      </c>
      <c r="G399" s="13" t="s">
        <v>262</v>
      </c>
    </row>
    <row r="400" spans="1:7" x14ac:dyDescent="0.25">
      <c r="A400" s="12" t="s">
        <v>1742</v>
      </c>
      <c r="B400" s="6" t="s">
        <v>157</v>
      </c>
      <c r="C400" s="6" t="s">
        <v>27</v>
      </c>
      <c r="D400" s="6" t="s">
        <v>58</v>
      </c>
      <c r="E400" s="7" t="s">
        <v>965</v>
      </c>
      <c r="F400" s="8" t="s">
        <v>966</v>
      </c>
      <c r="G400" s="13" t="s">
        <v>56</v>
      </c>
    </row>
    <row r="401" spans="1:7" x14ac:dyDescent="0.25">
      <c r="A401" s="12" t="s">
        <v>1743</v>
      </c>
      <c r="B401" s="6" t="s">
        <v>361</v>
      </c>
      <c r="C401" s="6" t="s">
        <v>179</v>
      </c>
      <c r="D401" s="6" t="s">
        <v>58</v>
      </c>
      <c r="E401" s="7" t="s">
        <v>967</v>
      </c>
      <c r="F401" s="8" t="s">
        <v>968</v>
      </c>
      <c r="G401" s="13" t="s">
        <v>16</v>
      </c>
    </row>
    <row r="402" spans="1:7" x14ac:dyDescent="0.25">
      <c r="A402" s="12" t="s">
        <v>1744</v>
      </c>
      <c r="B402" s="6" t="s">
        <v>178</v>
      </c>
      <c r="C402" s="6" t="s">
        <v>179</v>
      </c>
      <c r="D402" s="6" t="s">
        <v>23</v>
      </c>
      <c r="E402" s="7" t="s">
        <v>969</v>
      </c>
      <c r="F402" s="8" t="s">
        <v>970</v>
      </c>
      <c r="G402" s="13" t="s">
        <v>239</v>
      </c>
    </row>
    <row r="403" spans="1:7" x14ac:dyDescent="0.25">
      <c r="A403" s="12" t="s">
        <v>1745</v>
      </c>
      <c r="B403" s="6" t="s">
        <v>12</v>
      </c>
      <c r="C403" s="6" t="s">
        <v>13</v>
      </c>
      <c r="D403" s="6" t="s">
        <v>78</v>
      </c>
      <c r="E403" s="7" t="s">
        <v>971</v>
      </c>
      <c r="F403" s="8" t="s">
        <v>972</v>
      </c>
      <c r="G403" s="13" t="s">
        <v>233</v>
      </c>
    </row>
    <row r="404" spans="1:7" x14ac:dyDescent="0.25">
      <c r="A404" s="12" t="s">
        <v>1746</v>
      </c>
      <c r="B404" s="6" t="s">
        <v>12</v>
      </c>
      <c r="C404" s="6" t="s">
        <v>13</v>
      </c>
      <c r="D404" s="6" t="s">
        <v>101</v>
      </c>
      <c r="E404" s="7" t="s">
        <v>973</v>
      </c>
      <c r="F404" s="8" t="s">
        <v>974</v>
      </c>
      <c r="G404" s="13" t="s">
        <v>305</v>
      </c>
    </row>
    <row r="405" spans="1:7" x14ac:dyDescent="0.25">
      <c r="A405" s="12" t="s">
        <v>1747</v>
      </c>
      <c r="B405" s="6" t="s">
        <v>349</v>
      </c>
      <c r="C405" s="6" t="s">
        <v>179</v>
      </c>
      <c r="D405" s="6" t="s">
        <v>78</v>
      </c>
      <c r="E405" s="7" t="s">
        <v>975</v>
      </c>
      <c r="F405" s="8" t="s">
        <v>976</v>
      </c>
      <c r="G405" s="13" t="s">
        <v>248</v>
      </c>
    </row>
    <row r="406" spans="1:7" x14ac:dyDescent="0.25">
      <c r="A406" s="12" t="s">
        <v>1748</v>
      </c>
      <c r="B406" s="6" t="s">
        <v>12</v>
      </c>
      <c r="C406" s="6" t="s">
        <v>13</v>
      </c>
      <c r="D406" s="6" t="s">
        <v>19</v>
      </c>
      <c r="E406" s="7" t="s">
        <v>977</v>
      </c>
      <c r="F406" s="8" t="s">
        <v>978</v>
      </c>
      <c r="G406" s="13" t="s">
        <v>45</v>
      </c>
    </row>
    <row r="407" spans="1:7" x14ac:dyDescent="0.25">
      <c r="A407" s="12" t="s">
        <v>1749</v>
      </c>
      <c r="B407" s="6" t="s">
        <v>22</v>
      </c>
      <c r="C407" s="6" t="s">
        <v>8</v>
      </c>
      <c r="D407" s="6" t="s">
        <v>36</v>
      </c>
      <c r="E407" s="7" t="s">
        <v>979</v>
      </c>
      <c r="F407" s="8" t="s">
        <v>980</v>
      </c>
      <c r="G407" s="13" t="s">
        <v>81</v>
      </c>
    </row>
    <row r="408" spans="1:7" x14ac:dyDescent="0.25">
      <c r="A408" s="12" t="s">
        <v>1750</v>
      </c>
      <c r="B408" s="6" t="s">
        <v>118</v>
      </c>
      <c r="C408" s="6" t="s">
        <v>63</v>
      </c>
      <c r="D408" s="6" t="s">
        <v>101</v>
      </c>
      <c r="E408" s="7" t="s">
        <v>981</v>
      </c>
      <c r="F408" s="8" t="s">
        <v>982</v>
      </c>
      <c r="G408" s="13" t="s">
        <v>208</v>
      </c>
    </row>
    <row r="409" spans="1:7" x14ac:dyDescent="0.25">
      <c r="A409" s="12" t="s">
        <v>1751</v>
      </c>
      <c r="B409" s="6" t="s">
        <v>274</v>
      </c>
      <c r="C409" s="6" t="s">
        <v>32</v>
      </c>
      <c r="D409" s="6" t="s">
        <v>23</v>
      </c>
      <c r="E409" s="7" t="s">
        <v>983</v>
      </c>
      <c r="F409" s="8" t="s">
        <v>984</v>
      </c>
      <c r="G409" s="13" t="s">
        <v>223</v>
      </c>
    </row>
    <row r="410" spans="1:7" x14ac:dyDescent="0.25">
      <c r="A410" s="12" t="s">
        <v>1752</v>
      </c>
      <c r="B410" s="6" t="s">
        <v>35</v>
      </c>
      <c r="C410" s="6" t="s">
        <v>13</v>
      </c>
      <c r="D410" s="6" t="s">
        <v>19</v>
      </c>
      <c r="E410" s="7" t="s">
        <v>985</v>
      </c>
      <c r="F410" s="8" t="s">
        <v>986</v>
      </c>
      <c r="G410" s="13" t="s">
        <v>308</v>
      </c>
    </row>
    <row r="411" spans="1:7" x14ac:dyDescent="0.25">
      <c r="A411" s="12" t="s">
        <v>1753</v>
      </c>
      <c r="B411" s="6" t="s">
        <v>22</v>
      </c>
      <c r="C411" s="6" t="s">
        <v>8</v>
      </c>
      <c r="D411" s="6" t="s">
        <v>91</v>
      </c>
      <c r="E411" s="7" t="s">
        <v>987</v>
      </c>
      <c r="F411" s="8" t="s">
        <v>988</v>
      </c>
      <c r="G411" s="13" t="s">
        <v>113</v>
      </c>
    </row>
    <row r="412" spans="1:7" x14ac:dyDescent="0.25">
      <c r="A412" s="12" t="s">
        <v>1754</v>
      </c>
      <c r="B412" s="6" t="s">
        <v>57</v>
      </c>
      <c r="C412" s="6" t="s">
        <v>42</v>
      </c>
      <c r="D412" s="6" t="s">
        <v>53</v>
      </c>
      <c r="E412" s="7" t="s">
        <v>989</v>
      </c>
      <c r="F412" s="8" t="s">
        <v>990</v>
      </c>
      <c r="G412" s="13" t="s">
        <v>77</v>
      </c>
    </row>
    <row r="413" spans="1:7" x14ac:dyDescent="0.25">
      <c r="A413" s="12" t="s">
        <v>1755</v>
      </c>
      <c r="B413" s="6" t="s">
        <v>12</v>
      </c>
      <c r="C413" s="6" t="s">
        <v>13</v>
      </c>
      <c r="D413" s="6" t="s">
        <v>58</v>
      </c>
      <c r="E413" s="7" t="s">
        <v>991</v>
      </c>
      <c r="F413" s="8" t="s">
        <v>992</v>
      </c>
      <c r="G413" s="13" t="s">
        <v>314</v>
      </c>
    </row>
    <row r="414" spans="1:7" x14ac:dyDescent="0.25">
      <c r="A414" s="12" t="s">
        <v>1756</v>
      </c>
      <c r="B414" s="6" t="s">
        <v>26</v>
      </c>
      <c r="C414" s="6" t="s">
        <v>27</v>
      </c>
      <c r="D414" s="6" t="s">
        <v>19</v>
      </c>
      <c r="E414" s="7" t="s">
        <v>993</v>
      </c>
      <c r="F414" s="8" t="s">
        <v>994</v>
      </c>
      <c r="G414" s="13" t="s">
        <v>21</v>
      </c>
    </row>
    <row r="415" spans="1:7" x14ac:dyDescent="0.25">
      <c r="A415" s="12" t="s">
        <v>1757</v>
      </c>
      <c r="B415" s="6" t="s">
        <v>349</v>
      </c>
      <c r="C415" s="6" t="s">
        <v>179</v>
      </c>
      <c r="D415" s="6" t="s">
        <v>14</v>
      </c>
      <c r="E415" s="7" t="s">
        <v>995</v>
      </c>
      <c r="F415" s="8" t="s">
        <v>996</v>
      </c>
      <c r="G415" s="13" t="s">
        <v>121</v>
      </c>
    </row>
    <row r="416" spans="1:7" x14ac:dyDescent="0.25">
      <c r="A416" s="12" t="s">
        <v>1758</v>
      </c>
      <c r="B416" s="6" t="s">
        <v>35</v>
      </c>
      <c r="C416" s="6" t="s">
        <v>13</v>
      </c>
      <c r="D416" s="6" t="s">
        <v>14</v>
      </c>
      <c r="E416" s="7" t="s">
        <v>997</v>
      </c>
      <c r="F416" s="8" t="s">
        <v>839</v>
      </c>
      <c r="G416" s="13" t="s">
        <v>94</v>
      </c>
    </row>
    <row r="417" spans="1:7" x14ac:dyDescent="0.25">
      <c r="A417" s="12" t="s">
        <v>1759</v>
      </c>
      <c r="B417" s="6" t="s">
        <v>407</v>
      </c>
      <c r="C417" s="6" t="s">
        <v>179</v>
      </c>
      <c r="D417" s="6" t="s">
        <v>19</v>
      </c>
      <c r="E417" s="7" t="s">
        <v>998</v>
      </c>
      <c r="F417" s="8" t="s">
        <v>999</v>
      </c>
      <c r="G417" s="13" t="s">
        <v>227</v>
      </c>
    </row>
    <row r="418" spans="1:7" x14ac:dyDescent="0.25">
      <c r="A418" s="12" t="s">
        <v>1760</v>
      </c>
      <c r="B418" s="6" t="s">
        <v>157</v>
      </c>
      <c r="C418" s="6" t="s">
        <v>27</v>
      </c>
      <c r="D418" s="6" t="s">
        <v>9</v>
      </c>
      <c r="E418" s="7" t="s">
        <v>1000</v>
      </c>
      <c r="F418" s="8" t="s">
        <v>1001</v>
      </c>
      <c r="G418" s="13" t="s">
        <v>94</v>
      </c>
    </row>
    <row r="419" spans="1:7" x14ac:dyDescent="0.25">
      <c r="A419" s="12" t="s">
        <v>1761</v>
      </c>
      <c r="B419" s="6" t="s">
        <v>344</v>
      </c>
      <c r="C419" s="6" t="s">
        <v>63</v>
      </c>
      <c r="D419" s="6" t="s">
        <v>91</v>
      </c>
      <c r="E419" s="7" t="s">
        <v>1002</v>
      </c>
      <c r="F419" s="8" t="s">
        <v>1003</v>
      </c>
      <c r="G419" s="13" t="s">
        <v>73</v>
      </c>
    </row>
    <row r="420" spans="1:7" x14ac:dyDescent="0.25">
      <c r="A420" s="12" t="s">
        <v>1762</v>
      </c>
      <c r="B420" s="6" t="s">
        <v>51</v>
      </c>
      <c r="C420" s="6" t="s">
        <v>52</v>
      </c>
      <c r="D420" s="6" t="s">
        <v>101</v>
      </c>
      <c r="E420" s="7" t="s">
        <v>1004</v>
      </c>
      <c r="F420" s="8" t="s">
        <v>1005</v>
      </c>
      <c r="G420" s="13" t="s">
        <v>30</v>
      </c>
    </row>
    <row r="421" spans="1:7" x14ac:dyDescent="0.25">
      <c r="A421" s="12" t="s">
        <v>1763</v>
      </c>
      <c r="B421" s="6" t="s">
        <v>26</v>
      </c>
      <c r="C421" s="6" t="s">
        <v>27</v>
      </c>
      <c r="D421" s="6" t="s">
        <v>91</v>
      </c>
      <c r="E421" s="7" t="s">
        <v>1006</v>
      </c>
      <c r="F421" s="8" t="s">
        <v>1007</v>
      </c>
      <c r="G421" s="13" t="s">
        <v>86</v>
      </c>
    </row>
    <row r="422" spans="1:7" x14ac:dyDescent="0.25">
      <c r="A422" s="12" t="s">
        <v>1764</v>
      </c>
      <c r="B422" s="6" t="s">
        <v>12</v>
      </c>
      <c r="C422" s="6" t="s">
        <v>13</v>
      </c>
      <c r="D422" s="6" t="s">
        <v>36</v>
      </c>
      <c r="E422" s="7" t="s">
        <v>1008</v>
      </c>
      <c r="F422" s="8" t="s">
        <v>1009</v>
      </c>
      <c r="G422" s="13" t="s">
        <v>86</v>
      </c>
    </row>
    <row r="423" spans="1:7" x14ac:dyDescent="0.25">
      <c r="A423" s="12" t="s">
        <v>1765</v>
      </c>
      <c r="B423" s="6" t="s">
        <v>35</v>
      </c>
      <c r="C423" s="6" t="s">
        <v>13</v>
      </c>
      <c r="D423" s="6" t="s">
        <v>9</v>
      </c>
      <c r="E423" s="7" t="s">
        <v>1010</v>
      </c>
      <c r="F423" s="8" t="s">
        <v>1011</v>
      </c>
      <c r="G423" s="13" t="s">
        <v>217</v>
      </c>
    </row>
    <row r="424" spans="1:7" x14ac:dyDescent="0.25">
      <c r="A424" s="12" t="s">
        <v>1766</v>
      </c>
      <c r="B424" s="6" t="s">
        <v>184</v>
      </c>
      <c r="C424" s="6" t="s">
        <v>164</v>
      </c>
      <c r="D424" s="6" t="s">
        <v>9</v>
      </c>
      <c r="E424" s="7" t="s">
        <v>1012</v>
      </c>
      <c r="F424" s="8" t="s">
        <v>1013</v>
      </c>
      <c r="G424" s="13" t="s">
        <v>108</v>
      </c>
    </row>
    <row r="425" spans="1:7" x14ac:dyDescent="0.25">
      <c r="A425" s="12" t="s">
        <v>1767</v>
      </c>
      <c r="B425" s="6" t="s">
        <v>133</v>
      </c>
      <c r="C425" s="6" t="s">
        <v>52</v>
      </c>
      <c r="D425" s="6" t="s">
        <v>23</v>
      </c>
      <c r="E425" s="7" t="s">
        <v>1014</v>
      </c>
      <c r="F425" s="8" t="s">
        <v>1015</v>
      </c>
      <c r="G425" s="13" t="s">
        <v>68</v>
      </c>
    </row>
    <row r="426" spans="1:7" x14ac:dyDescent="0.25">
      <c r="A426" s="12" t="s">
        <v>1768</v>
      </c>
      <c r="B426" s="6" t="s">
        <v>26</v>
      </c>
      <c r="C426" s="6" t="s">
        <v>27</v>
      </c>
      <c r="D426" s="6" t="s">
        <v>78</v>
      </c>
      <c r="E426" s="7" t="s">
        <v>1016</v>
      </c>
      <c r="F426" s="8" t="s">
        <v>1017</v>
      </c>
      <c r="G426" s="13" t="s">
        <v>205</v>
      </c>
    </row>
    <row r="427" spans="1:7" x14ac:dyDescent="0.25">
      <c r="A427" s="12" t="s">
        <v>1769</v>
      </c>
      <c r="B427" s="6" t="s">
        <v>12</v>
      </c>
      <c r="C427" s="6" t="s">
        <v>13</v>
      </c>
      <c r="D427" s="6" t="s">
        <v>53</v>
      </c>
      <c r="E427" s="7" t="s">
        <v>1018</v>
      </c>
      <c r="F427" s="8" t="s">
        <v>1019</v>
      </c>
      <c r="G427" s="13" t="s">
        <v>258</v>
      </c>
    </row>
    <row r="428" spans="1:7" x14ac:dyDescent="0.25">
      <c r="A428" s="12" t="s">
        <v>1770</v>
      </c>
      <c r="B428" s="6" t="s">
        <v>416</v>
      </c>
      <c r="C428" s="6" t="s">
        <v>63</v>
      </c>
      <c r="D428" s="6" t="s">
        <v>123</v>
      </c>
      <c r="E428" s="7" t="s">
        <v>1020</v>
      </c>
      <c r="F428" s="8" t="s">
        <v>1021</v>
      </c>
      <c r="G428" s="13" t="s">
        <v>145</v>
      </c>
    </row>
    <row r="429" spans="1:7" x14ac:dyDescent="0.25">
      <c r="A429" s="12" t="s">
        <v>1771</v>
      </c>
      <c r="B429" s="6" t="s">
        <v>142</v>
      </c>
      <c r="C429" s="6" t="s">
        <v>27</v>
      </c>
      <c r="D429" s="6" t="s">
        <v>91</v>
      </c>
      <c r="E429" s="7" t="s">
        <v>1022</v>
      </c>
      <c r="F429" s="8" t="s">
        <v>1023</v>
      </c>
      <c r="G429" s="13" t="s">
        <v>116</v>
      </c>
    </row>
    <row r="430" spans="1:7" x14ac:dyDescent="0.25">
      <c r="A430" s="12" t="s">
        <v>1772</v>
      </c>
      <c r="B430" s="6" t="s">
        <v>241</v>
      </c>
      <c r="C430" s="6" t="s">
        <v>27</v>
      </c>
      <c r="D430" s="6" t="s">
        <v>28</v>
      </c>
      <c r="E430" s="7" t="s">
        <v>1024</v>
      </c>
      <c r="F430" s="8" t="s">
        <v>1025</v>
      </c>
      <c r="G430" s="13" t="s">
        <v>314</v>
      </c>
    </row>
    <row r="431" spans="1:7" x14ac:dyDescent="0.25">
      <c r="A431" s="12" t="s">
        <v>1773</v>
      </c>
      <c r="B431" s="6" t="s">
        <v>35</v>
      </c>
      <c r="C431" s="6" t="s">
        <v>13</v>
      </c>
      <c r="D431" s="6" t="s">
        <v>123</v>
      </c>
      <c r="E431" s="7" t="s">
        <v>1026</v>
      </c>
      <c r="F431" s="8" t="s">
        <v>1027</v>
      </c>
      <c r="G431" s="13" t="s">
        <v>129</v>
      </c>
    </row>
    <row r="432" spans="1:7" x14ac:dyDescent="0.25">
      <c r="A432" s="12" t="s">
        <v>1774</v>
      </c>
      <c r="B432" s="6" t="s">
        <v>35</v>
      </c>
      <c r="C432" s="6" t="s">
        <v>13</v>
      </c>
      <c r="D432" s="6" t="s">
        <v>58</v>
      </c>
      <c r="E432" s="7" t="s">
        <v>1028</v>
      </c>
      <c r="F432" s="8" t="s">
        <v>1029</v>
      </c>
      <c r="G432" s="13" t="s">
        <v>171</v>
      </c>
    </row>
    <row r="433" spans="1:7" x14ac:dyDescent="0.25">
      <c r="A433" s="12" t="s">
        <v>1775</v>
      </c>
      <c r="B433" s="6" t="s">
        <v>1030</v>
      </c>
      <c r="C433" s="6" t="s">
        <v>18</v>
      </c>
      <c r="D433" s="6" t="s">
        <v>53</v>
      </c>
      <c r="E433" s="7" t="s">
        <v>1031</v>
      </c>
      <c r="F433" s="8" t="s">
        <v>1032</v>
      </c>
      <c r="G433" s="13" t="s">
        <v>104</v>
      </c>
    </row>
    <row r="434" spans="1:7" x14ac:dyDescent="0.25">
      <c r="A434" s="12" t="s">
        <v>1776</v>
      </c>
      <c r="B434" s="6" t="s">
        <v>663</v>
      </c>
      <c r="C434" s="6" t="s">
        <v>18</v>
      </c>
      <c r="D434" s="6" t="s">
        <v>123</v>
      </c>
      <c r="E434" s="7" t="s">
        <v>1033</v>
      </c>
      <c r="F434" s="8" t="s">
        <v>1034</v>
      </c>
      <c r="G434" s="13" t="s">
        <v>113</v>
      </c>
    </row>
    <row r="435" spans="1:7" x14ac:dyDescent="0.25">
      <c r="A435" s="12" t="s">
        <v>1777</v>
      </c>
      <c r="B435" s="6" t="s">
        <v>74</v>
      </c>
      <c r="C435" s="6" t="s">
        <v>8</v>
      </c>
      <c r="D435" s="6" t="s">
        <v>28</v>
      </c>
      <c r="E435" s="7" t="s">
        <v>1035</v>
      </c>
      <c r="F435" s="8" t="s">
        <v>1036</v>
      </c>
      <c r="G435" s="13" t="s">
        <v>319</v>
      </c>
    </row>
    <row r="436" spans="1:7" x14ac:dyDescent="0.25">
      <c r="A436" s="12" t="s">
        <v>1778</v>
      </c>
      <c r="B436" s="6" t="s">
        <v>407</v>
      </c>
      <c r="C436" s="6" t="s">
        <v>179</v>
      </c>
      <c r="D436" s="6" t="s">
        <v>28</v>
      </c>
      <c r="E436" s="7" t="s">
        <v>1037</v>
      </c>
      <c r="F436" s="8" t="s">
        <v>1038</v>
      </c>
      <c r="G436" s="13" t="s">
        <v>113</v>
      </c>
    </row>
    <row r="437" spans="1:7" x14ac:dyDescent="0.25">
      <c r="A437" s="12" t="s">
        <v>1779</v>
      </c>
      <c r="B437" s="6" t="s">
        <v>349</v>
      </c>
      <c r="C437" s="6" t="s">
        <v>179</v>
      </c>
      <c r="D437" s="6" t="s">
        <v>14</v>
      </c>
      <c r="E437" s="7" t="s">
        <v>1039</v>
      </c>
      <c r="F437" s="8" t="s">
        <v>1040</v>
      </c>
      <c r="G437" s="13" t="s">
        <v>248</v>
      </c>
    </row>
    <row r="438" spans="1:7" x14ac:dyDescent="0.25">
      <c r="A438" s="12" t="s">
        <v>1780</v>
      </c>
      <c r="B438" s="6" t="s">
        <v>87</v>
      </c>
      <c r="C438" s="6" t="s">
        <v>42</v>
      </c>
      <c r="D438" s="6" t="s">
        <v>53</v>
      </c>
      <c r="E438" s="7" t="s">
        <v>1041</v>
      </c>
      <c r="F438" s="8" t="s">
        <v>1042</v>
      </c>
      <c r="G438" s="13" t="s">
        <v>21</v>
      </c>
    </row>
    <row r="439" spans="1:7" x14ac:dyDescent="0.25">
      <c r="A439" s="12" t="s">
        <v>1781</v>
      </c>
      <c r="B439" s="6" t="s">
        <v>241</v>
      </c>
      <c r="C439" s="6" t="s">
        <v>27</v>
      </c>
      <c r="D439" s="6" t="s">
        <v>14</v>
      </c>
      <c r="E439" s="7" t="s">
        <v>1043</v>
      </c>
      <c r="F439" s="8" t="s">
        <v>1044</v>
      </c>
      <c r="G439" s="13" t="s">
        <v>73</v>
      </c>
    </row>
    <row r="440" spans="1:7" x14ac:dyDescent="0.25">
      <c r="A440" s="12" t="s">
        <v>1782</v>
      </c>
      <c r="B440" s="6" t="s">
        <v>178</v>
      </c>
      <c r="C440" s="6" t="s">
        <v>179</v>
      </c>
      <c r="D440" s="6" t="s">
        <v>28</v>
      </c>
      <c r="E440" s="7" t="s">
        <v>1045</v>
      </c>
      <c r="F440" s="8" t="s">
        <v>1046</v>
      </c>
      <c r="G440" s="13" t="s">
        <v>261</v>
      </c>
    </row>
    <row r="441" spans="1:7" x14ac:dyDescent="0.25">
      <c r="A441" s="12" t="s">
        <v>1783</v>
      </c>
      <c r="B441" s="6" t="s">
        <v>468</v>
      </c>
      <c r="C441" s="6" t="s">
        <v>32</v>
      </c>
      <c r="D441" s="6" t="s">
        <v>9</v>
      </c>
      <c r="E441" s="7" t="s">
        <v>1047</v>
      </c>
      <c r="F441" s="8" t="s">
        <v>1048</v>
      </c>
      <c r="G441" s="13" t="s">
        <v>11</v>
      </c>
    </row>
    <row r="442" spans="1:7" x14ac:dyDescent="0.25">
      <c r="A442" s="12" t="s">
        <v>1784</v>
      </c>
      <c r="B442" s="6" t="s">
        <v>12</v>
      </c>
      <c r="C442" s="6" t="s">
        <v>13</v>
      </c>
      <c r="D442" s="6" t="s">
        <v>58</v>
      </c>
      <c r="E442" s="7" t="s">
        <v>1049</v>
      </c>
      <c r="F442" s="8" t="s">
        <v>1050</v>
      </c>
      <c r="G442" s="13" t="s">
        <v>217</v>
      </c>
    </row>
    <row r="443" spans="1:7" x14ac:dyDescent="0.25">
      <c r="A443" s="12" t="s">
        <v>1785</v>
      </c>
      <c r="B443" s="6" t="s">
        <v>178</v>
      </c>
      <c r="C443" s="6" t="s">
        <v>179</v>
      </c>
      <c r="D443" s="6" t="s">
        <v>53</v>
      </c>
      <c r="E443" s="7" t="s">
        <v>1051</v>
      </c>
      <c r="F443" s="8" t="s">
        <v>1052</v>
      </c>
      <c r="G443" s="13" t="s">
        <v>337</v>
      </c>
    </row>
    <row r="444" spans="1:7" x14ac:dyDescent="0.25">
      <c r="A444" s="12" t="s">
        <v>1786</v>
      </c>
      <c r="B444" s="6" t="s">
        <v>41</v>
      </c>
      <c r="C444" s="6" t="s">
        <v>42</v>
      </c>
      <c r="D444" s="6" t="s">
        <v>23</v>
      </c>
      <c r="E444" s="7" t="s">
        <v>1053</v>
      </c>
      <c r="F444" s="8" t="s">
        <v>1054</v>
      </c>
      <c r="G444" s="13" t="s">
        <v>73</v>
      </c>
    </row>
    <row r="445" spans="1:7" x14ac:dyDescent="0.25">
      <c r="A445" s="12" t="s">
        <v>1787</v>
      </c>
      <c r="B445" s="6" t="s">
        <v>157</v>
      </c>
      <c r="C445" s="6" t="s">
        <v>27</v>
      </c>
      <c r="D445" s="6" t="s">
        <v>23</v>
      </c>
      <c r="E445" s="7" t="s">
        <v>1055</v>
      </c>
      <c r="F445" s="8" t="s">
        <v>1056</v>
      </c>
      <c r="G445" s="13" t="s">
        <v>55</v>
      </c>
    </row>
    <row r="446" spans="1:7" x14ac:dyDescent="0.25">
      <c r="A446" s="12" t="s">
        <v>1788</v>
      </c>
      <c r="B446" s="6" t="s">
        <v>1057</v>
      </c>
      <c r="C446" s="6" t="s">
        <v>18</v>
      </c>
      <c r="D446" s="6" t="s">
        <v>78</v>
      </c>
      <c r="E446" s="7" t="s">
        <v>1058</v>
      </c>
      <c r="F446" s="8" t="s">
        <v>1059</v>
      </c>
      <c r="G446" s="13" t="s">
        <v>153</v>
      </c>
    </row>
    <row r="447" spans="1:7" x14ac:dyDescent="0.25">
      <c r="A447" s="12" t="s">
        <v>1789</v>
      </c>
      <c r="B447" s="6" t="s">
        <v>385</v>
      </c>
      <c r="C447" s="6" t="s">
        <v>32</v>
      </c>
      <c r="D447" s="6" t="s">
        <v>53</v>
      </c>
      <c r="E447" s="7" t="s">
        <v>1060</v>
      </c>
      <c r="F447" s="8" t="s">
        <v>1061</v>
      </c>
      <c r="G447" s="13" t="s">
        <v>277</v>
      </c>
    </row>
    <row r="448" spans="1:7" x14ac:dyDescent="0.25">
      <c r="A448" s="12" t="s">
        <v>1790</v>
      </c>
      <c r="B448" s="6" t="s">
        <v>361</v>
      </c>
      <c r="C448" s="6" t="s">
        <v>179</v>
      </c>
      <c r="D448" s="6" t="s">
        <v>28</v>
      </c>
      <c r="E448" s="7" t="s">
        <v>1062</v>
      </c>
      <c r="F448" s="8" t="s">
        <v>1063</v>
      </c>
      <c r="G448" s="13" t="s">
        <v>66</v>
      </c>
    </row>
    <row r="449" spans="1:7" x14ac:dyDescent="0.25">
      <c r="A449" s="12" t="s">
        <v>1791</v>
      </c>
      <c r="B449" s="6" t="s">
        <v>1064</v>
      </c>
      <c r="C449" s="6" t="s">
        <v>18</v>
      </c>
      <c r="D449" s="6" t="s">
        <v>91</v>
      </c>
      <c r="E449" s="7" t="s">
        <v>1065</v>
      </c>
      <c r="F449" s="8" t="s">
        <v>1066</v>
      </c>
      <c r="G449" s="13" t="s">
        <v>308</v>
      </c>
    </row>
    <row r="450" spans="1:7" x14ac:dyDescent="0.25">
      <c r="A450" s="12" t="s">
        <v>1792</v>
      </c>
      <c r="B450" s="6" t="s">
        <v>41</v>
      </c>
      <c r="C450" s="6" t="s">
        <v>42</v>
      </c>
      <c r="D450" s="6" t="s">
        <v>53</v>
      </c>
      <c r="E450" s="7" t="s">
        <v>1067</v>
      </c>
      <c r="F450" s="8" t="s">
        <v>1068</v>
      </c>
      <c r="G450" s="13" t="s">
        <v>190</v>
      </c>
    </row>
    <row r="451" spans="1:7" x14ac:dyDescent="0.25">
      <c r="A451" s="12" t="s">
        <v>1793</v>
      </c>
      <c r="B451" s="6" t="s">
        <v>35</v>
      </c>
      <c r="C451" s="6" t="s">
        <v>13</v>
      </c>
      <c r="D451" s="6" t="s">
        <v>101</v>
      </c>
      <c r="E451" s="7" t="s">
        <v>1069</v>
      </c>
      <c r="F451" s="8" t="s">
        <v>1070</v>
      </c>
      <c r="G451" s="13" t="s">
        <v>73</v>
      </c>
    </row>
    <row r="452" spans="1:7" x14ac:dyDescent="0.25">
      <c r="A452" s="12" t="s">
        <v>1794</v>
      </c>
      <c r="B452" s="6" t="s">
        <v>468</v>
      </c>
      <c r="C452" s="6" t="s">
        <v>32</v>
      </c>
      <c r="D452" s="6" t="s">
        <v>28</v>
      </c>
      <c r="E452" s="7" t="s">
        <v>1071</v>
      </c>
      <c r="F452" s="8" t="s">
        <v>1072</v>
      </c>
      <c r="G452" s="13" t="s">
        <v>204</v>
      </c>
    </row>
    <row r="453" spans="1:7" x14ac:dyDescent="0.25">
      <c r="A453" s="12" t="s">
        <v>1795</v>
      </c>
      <c r="B453" s="6" t="s">
        <v>647</v>
      </c>
      <c r="C453" s="6" t="s">
        <v>63</v>
      </c>
      <c r="D453" s="6" t="s">
        <v>101</v>
      </c>
      <c r="E453" s="7" t="s">
        <v>1073</v>
      </c>
      <c r="F453" s="8" t="s">
        <v>1074</v>
      </c>
      <c r="G453" s="13" t="s">
        <v>240</v>
      </c>
    </row>
    <row r="454" spans="1:7" x14ac:dyDescent="0.25">
      <c r="A454" s="12" t="s">
        <v>1796</v>
      </c>
      <c r="B454" s="6" t="s">
        <v>51</v>
      </c>
      <c r="C454" s="6" t="s">
        <v>52</v>
      </c>
      <c r="D454" s="6" t="s">
        <v>36</v>
      </c>
      <c r="E454" s="7" t="s">
        <v>1075</v>
      </c>
      <c r="F454" s="8" t="s">
        <v>1076</v>
      </c>
      <c r="G454" s="13" t="s">
        <v>85</v>
      </c>
    </row>
    <row r="455" spans="1:7" x14ac:dyDescent="0.25">
      <c r="A455" s="12" t="s">
        <v>1797</v>
      </c>
      <c r="B455" s="6" t="s">
        <v>70</v>
      </c>
      <c r="C455" s="6" t="s">
        <v>32</v>
      </c>
      <c r="D455" s="6" t="s">
        <v>14</v>
      </c>
      <c r="E455" s="7" t="s">
        <v>1077</v>
      </c>
      <c r="F455" s="8" t="s">
        <v>1078</v>
      </c>
      <c r="G455" s="13" t="s">
        <v>239</v>
      </c>
    </row>
    <row r="456" spans="1:7" x14ac:dyDescent="0.25">
      <c r="A456" s="12" t="s">
        <v>1798</v>
      </c>
      <c r="B456" s="6" t="s">
        <v>7</v>
      </c>
      <c r="C456" s="6" t="s">
        <v>8</v>
      </c>
      <c r="D456" s="6" t="s">
        <v>58</v>
      </c>
      <c r="E456" s="7" t="s">
        <v>1079</v>
      </c>
      <c r="F456" s="8" t="s">
        <v>1080</v>
      </c>
      <c r="G456" s="13" t="s">
        <v>204</v>
      </c>
    </row>
    <row r="457" spans="1:7" x14ac:dyDescent="0.25">
      <c r="A457" s="12" t="s">
        <v>1799</v>
      </c>
      <c r="B457" s="6" t="s">
        <v>51</v>
      </c>
      <c r="C457" s="6" t="s">
        <v>52</v>
      </c>
      <c r="D457" s="6" t="s">
        <v>78</v>
      </c>
      <c r="E457" s="7" t="s">
        <v>1081</v>
      </c>
      <c r="F457" s="8" t="s">
        <v>1082</v>
      </c>
      <c r="G457" s="13" t="s">
        <v>217</v>
      </c>
    </row>
    <row r="458" spans="1:7" x14ac:dyDescent="0.25">
      <c r="A458" s="12" t="s">
        <v>1800</v>
      </c>
      <c r="B458" s="6" t="s">
        <v>364</v>
      </c>
      <c r="C458" s="6" t="s">
        <v>52</v>
      </c>
      <c r="D458" s="6" t="s">
        <v>19</v>
      </c>
      <c r="E458" s="7" t="s">
        <v>1083</v>
      </c>
      <c r="F458" s="8" t="s">
        <v>1084</v>
      </c>
      <c r="G458" s="13" t="s">
        <v>86</v>
      </c>
    </row>
    <row r="459" spans="1:7" x14ac:dyDescent="0.25">
      <c r="A459" s="12" t="s">
        <v>1801</v>
      </c>
      <c r="B459" s="6" t="s">
        <v>349</v>
      </c>
      <c r="C459" s="6" t="s">
        <v>179</v>
      </c>
      <c r="D459" s="6" t="s">
        <v>19</v>
      </c>
      <c r="E459" s="7" t="s">
        <v>1085</v>
      </c>
      <c r="F459" s="8" t="s">
        <v>1086</v>
      </c>
      <c r="G459" s="13" t="s">
        <v>11</v>
      </c>
    </row>
    <row r="460" spans="1:7" x14ac:dyDescent="0.25">
      <c r="A460" s="12" t="s">
        <v>1802</v>
      </c>
      <c r="B460" s="6" t="s">
        <v>349</v>
      </c>
      <c r="C460" s="6" t="s">
        <v>179</v>
      </c>
      <c r="D460" s="6" t="s">
        <v>9</v>
      </c>
      <c r="E460" s="7" t="s">
        <v>1087</v>
      </c>
      <c r="F460" s="8" t="s">
        <v>1088</v>
      </c>
      <c r="G460" s="13" t="s">
        <v>182</v>
      </c>
    </row>
    <row r="461" spans="1:7" x14ac:dyDescent="0.25">
      <c r="A461" s="12" t="s">
        <v>1803</v>
      </c>
      <c r="B461" s="6" t="s">
        <v>100</v>
      </c>
      <c r="C461" s="6" t="s">
        <v>52</v>
      </c>
      <c r="D461" s="6" t="s">
        <v>91</v>
      </c>
      <c r="E461" s="7" t="s">
        <v>1089</v>
      </c>
      <c r="F461" s="8" t="s">
        <v>1090</v>
      </c>
      <c r="G461" s="13" t="s">
        <v>49</v>
      </c>
    </row>
    <row r="462" spans="1:7" x14ac:dyDescent="0.25">
      <c r="A462" s="12" t="s">
        <v>1804</v>
      </c>
      <c r="B462" s="6" t="s">
        <v>184</v>
      </c>
      <c r="C462" s="6" t="s">
        <v>164</v>
      </c>
      <c r="D462" s="6" t="s">
        <v>28</v>
      </c>
      <c r="E462" s="7" t="s">
        <v>1091</v>
      </c>
      <c r="F462" s="8" t="s">
        <v>1092</v>
      </c>
      <c r="G462" s="13" t="s">
        <v>116</v>
      </c>
    </row>
    <row r="463" spans="1:7" x14ac:dyDescent="0.25">
      <c r="A463" s="12" t="s">
        <v>1805</v>
      </c>
      <c r="B463" s="6" t="s">
        <v>250</v>
      </c>
      <c r="C463" s="6" t="s">
        <v>63</v>
      </c>
      <c r="D463" s="6" t="s">
        <v>53</v>
      </c>
      <c r="E463" s="7" t="s">
        <v>1093</v>
      </c>
      <c r="F463" s="8" t="s">
        <v>1094</v>
      </c>
      <c r="G463" s="13" t="s">
        <v>16</v>
      </c>
    </row>
    <row r="464" spans="1:7" x14ac:dyDescent="0.25">
      <c r="A464" s="12" t="s">
        <v>1806</v>
      </c>
      <c r="B464" s="6" t="s">
        <v>31</v>
      </c>
      <c r="C464" s="6" t="s">
        <v>32</v>
      </c>
      <c r="D464" s="6" t="s">
        <v>53</v>
      </c>
      <c r="E464" s="7" t="s">
        <v>1095</v>
      </c>
      <c r="F464" s="8" t="s">
        <v>1096</v>
      </c>
      <c r="G464" s="13" t="s">
        <v>174</v>
      </c>
    </row>
    <row r="465" spans="1:7" x14ac:dyDescent="0.25">
      <c r="A465" s="12" t="s">
        <v>1807</v>
      </c>
      <c r="B465" s="6" t="s">
        <v>35</v>
      </c>
      <c r="C465" s="6" t="s">
        <v>13</v>
      </c>
      <c r="D465" s="6" t="s">
        <v>14</v>
      </c>
      <c r="E465" s="7" t="s">
        <v>1097</v>
      </c>
      <c r="F465" s="8" t="s">
        <v>1098</v>
      </c>
      <c r="G465" s="13" t="s">
        <v>113</v>
      </c>
    </row>
    <row r="466" spans="1:7" x14ac:dyDescent="0.25">
      <c r="A466" s="12" t="s">
        <v>1808</v>
      </c>
      <c r="B466" s="6" t="s">
        <v>7</v>
      </c>
      <c r="C466" s="6" t="s">
        <v>8</v>
      </c>
      <c r="D466" s="6" t="s">
        <v>36</v>
      </c>
      <c r="E466" s="7" t="s">
        <v>1099</v>
      </c>
      <c r="F466" s="8" t="s">
        <v>1100</v>
      </c>
      <c r="G466" s="13" t="s">
        <v>60</v>
      </c>
    </row>
    <row r="467" spans="1:7" x14ac:dyDescent="0.25">
      <c r="A467" s="12" t="s">
        <v>1809</v>
      </c>
      <c r="B467" s="6" t="s">
        <v>26</v>
      </c>
      <c r="C467" s="6" t="s">
        <v>27</v>
      </c>
      <c r="D467" s="6" t="s">
        <v>14</v>
      </c>
      <c r="E467" s="7" t="s">
        <v>1101</v>
      </c>
      <c r="F467" s="8" t="s">
        <v>1102</v>
      </c>
      <c r="G467" s="13" t="s">
        <v>223</v>
      </c>
    </row>
    <row r="468" spans="1:7" x14ac:dyDescent="0.25">
      <c r="A468" s="12" t="s">
        <v>1810</v>
      </c>
      <c r="B468" s="6" t="s">
        <v>12</v>
      </c>
      <c r="C468" s="6" t="s">
        <v>13</v>
      </c>
      <c r="D468" s="6" t="s">
        <v>36</v>
      </c>
      <c r="E468" s="7" t="s">
        <v>1103</v>
      </c>
      <c r="F468" s="8" t="s">
        <v>1104</v>
      </c>
      <c r="G468" s="13" t="s">
        <v>56</v>
      </c>
    </row>
    <row r="469" spans="1:7" x14ac:dyDescent="0.25">
      <c r="A469" s="12" t="s">
        <v>1811</v>
      </c>
      <c r="B469" s="6" t="s">
        <v>57</v>
      </c>
      <c r="C469" s="6" t="s">
        <v>42</v>
      </c>
      <c r="D469" s="6" t="s">
        <v>23</v>
      </c>
      <c r="E469" s="7" t="s">
        <v>1105</v>
      </c>
      <c r="F469" s="8" t="s">
        <v>1106</v>
      </c>
      <c r="G469" s="13" t="s">
        <v>99</v>
      </c>
    </row>
    <row r="470" spans="1:7" x14ac:dyDescent="0.25">
      <c r="A470" s="12" t="s">
        <v>1812</v>
      </c>
      <c r="B470" s="6" t="s">
        <v>142</v>
      </c>
      <c r="C470" s="6" t="s">
        <v>27</v>
      </c>
      <c r="D470" s="6" t="s">
        <v>78</v>
      </c>
      <c r="E470" s="7" t="s">
        <v>1107</v>
      </c>
      <c r="F470" s="8" t="s">
        <v>1108</v>
      </c>
      <c r="G470" s="13" t="s">
        <v>182</v>
      </c>
    </row>
    <row r="471" spans="1:7" x14ac:dyDescent="0.25">
      <c r="A471" s="12" t="s">
        <v>1813</v>
      </c>
      <c r="B471" s="6" t="s">
        <v>178</v>
      </c>
      <c r="C471" s="6" t="s">
        <v>179</v>
      </c>
      <c r="D471" s="6" t="s">
        <v>36</v>
      </c>
      <c r="E471" s="7" t="s">
        <v>1109</v>
      </c>
      <c r="F471" s="8" t="s">
        <v>1110</v>
      </c>
      <c r="G471" s="13" t="s">
        <v>233</v>
      </c>
    </row>
    <row r="472" spans="1:7" x14ac:dyDescent="0.25">
      <c r="A472" s="12" t="s">
        <v>1814</v>
      </c>
      <c r="B472" s="6" t="s">
        <v>57</v>
      </c>
      <c r="C472" s="6" t="s">
        <v>42</v>
      </c>
      <c r="D472" s="6" t="s">
        <v>23</v>
      </c>
      <c r="E472" s="7" t="s">
        <v>1111</v>
      </c>
      <c r="F472" s="8" t="s">
        <v>1112</v>
      </c>
      <c r="G472" s="13" t="s">
        <v>148</v>
      </c>
    </row>
    <row r="473" spans="1:7" x14ac:dyDescent="0.25">
      <c r="A473" s="12" t="s">
        <v>1815</v>
      </c>
      <c r="B473" s="6" t="s">
        <v>47</v>
      </c>
      <c r="C473" s="6" t="s">
        <v>42</v>
      </c>
      <c r="D473" s="6" t="s">
        <v>19</v>
      </c>
      <c r="E473" s="7" t="s">
        <v>1113</v>
      </c>
      <c r="F473" s="8" t="s">
        <v>1114</v>
      </c>
      <c r="G473" s="13" t="s">
        <v>236</v>
      </c>
    </row>
    <row r="474" spans="1:7" x14ac:dyDescent="0.25">
      <c r="A474" s="12" t="s">
        <v>1816</v>
      </c>
      <c r="B474" s="6" t="s">
        <v>361</v>
      </c>
      <c r="C474" s="6" t="s">
        <v>179</v>
      </c>
      <c r="D474" s="6" t="s">
        <v>14</v>
      </c>
      <c r="E474" s="7" t="s">
        <v>1115</v>
      </c>
      <c r="F474" s="8" t="s">
        <v>1116</v>
      </c>
      <c r="G474" s="13" t="s">
        <v>190</v>
      </c>
    </row>
    <row r="475" spans="1:7" x14ac:dyDescent="0.25">
      <c r="A475" s="12" t="s">
        <v>1817</v>
      </c>
      <c r="B475" s="6" t="s">
        <v>142</v>
      </c>
      <c r="C475" s="6" t="s">
        <v>27</v>
      </c>
      <c r="D475" s="6" t="s">
        <v>9</v>
      </c>
      <c r="E475" s="7" t="s">
        <v>1117</v>
      </c>
      <c r="F475" s="8" t="s">
        <v>1118</v>
      </c>
      <c r="G475" s="13" t="s">
        <v>289</v>
      </c>
    </row>
    <row r="476" spans="1:7" x14ac:dyDescent="0.25">
      <c r="A476" s="12" t="s">
        <v>1818</v>
      </c>
      <c r="B476" s="6" t="s">
        <v>12</v>
      </c>
      <c r="C476" s="6" t="s">
        <v>13</v>
      </c>
      <c r="D476" s="6" t="s">
        <v>91</v>
      </c>
      <c r="E476" s="7" t="s">
        <v>1119</v>
      </c>
      <c r="F476" s="8" t="s">
        <v>1120</v>
      </c>
      <c r="G476" s="13" t="s">
        <v>98</v>
      </c>
    </row>
    <row r="477" spans="1:7" x14ac:dyDescent="0.25">
      <c r="A477" s="12" t="s">
        <v>1819</v>
      </c>
      <c r="B477" s="6" t="s">
        <v>12</v>
      </c>
      <c r="C477" s="6" t="s">
        <v>13</v>
      </c>
      <c r="D477" s="6" t="s">
        <v>78</v>
      </c>
      <c r="E477" s="7" t="s">
        <v>1121</v>
      </c>
      <c r="F477" s="8" t="s">
        <v>1122</v>
      </c>
      <c r="G477" s="13" t="s">
        <v>305</v>
      </c>
    </row>
    <row r="478" spans="1:7" x14ac:dyDescent="0.25">
      <c r="A478" s="12" t="s">
        <v>1820</v>
      </c>
      <c r="B478" s="6" t="s">
        <v>100</v>
      </c>
      <c r="C478" s="6" t="s">
        <v>52</v>
      </c>
      <c r="D478" s="6" t="s">
        <v>78</v>
      </c>
      <c r="E478" s="7" t="s">
        <v>1123</v>
      </c>
      <c r="F478" s="8" t="s">
        <v>1124</v>
      </c>
      <c r="G478" s="13" t="s">
        <v>60</v>
      </c>
    </row>
    <row r="479" spans="1:7" x14ac:dyDescent="0.25">
      <c r="A479" s="12" t="s">
        <v>1821</v>
      </c>
      <c r="B479" s="6" t="s">
        <v>726</v>
      </c>
      <c r="C479" s="6" t="s">
        <v>18</v>
      </c>
      <c r="D479" s="6" t="s">
        <v>36</v>
      </c>
      <c r="E479" s="7" t="s">
        <v>1125</v>
      </c>
      <c r="F479" s="8" t="s">
        <v>1126</v>
      </c>
      <c r="G479" s="13" t="s">
        <v>248</v>
      </c>
    </row>
    <row r="480" spans="1:7" x14ac:dyDescent="0.25">
      <c r="A480" s="12" t="s">
        <v>1822</v>
      </c>
      <c r="B480" s="6" t="s">
        <v>184</v>
      </c>
      <c r="C480" s="6" t="s">
        <v>164</v>
      </c>
      <c r="D480" s="6" t="s">
        <v>91</v>
      </c>
      <c r="E480" s="7" t="s">
        <v>1127</v>
      </c>
      <c r="F480" s="8" t="s">
        <v>1128</v>
      </c>
      <c r="G480" s="13" t="s">
        <v>65</v>
      </c>
    </row>
    <row r="481" spans="1:7" x14ac:dyDescent="0.25">
      <c r="A481" s="12" t="s">
        <v>1823</v>
      </c>
      <c r="B481" s="6" t="s">
        <v>157</v>
      </c>
      <c r="C481" s="6" t="s">
        <v>27</v>
      </c>
      <c r="D481" s="6" t="s">
        <v>36</v>
      </c>
      <c r="E481" s="7" t="s">
        <v>1129</v>
      </c>
      <c r="F481" s="8" t="s">
        <v>1130</v>
      </c>
      <c r="G481" s="13" t="s">
        <v>223</v>
      </c>
    </row>
    <row r="482" spans="1:7" x14ac:dyDescent="0.25">
      <c r="A482" s="12" t="s">
        <v>1824</v>
      </c>
      <c r="B482" s="6" t="s">
        <v>110</v>
      </c>
      <c r="C482" s="6" t="s">
        <v>8</v>
      </c>
      <c r="D482" s="6" t="s">
        <v>23</v>
      </c>
      <c r="E482" s="7" t="s">
        <v>1131</v>
      </c>
      <c r="F482" s="8" t="s">
        <v>1132</v>
      </c>
      <c r="G482" s="13" t="s">
        <v>220</v>
      </c>
    </row>
    <row r="483" spans="1:7" x14ac:dyDescent="0.25">
      <c r="A483" s="12" t="s">
        <v>1825</v>
      </c>
      <c r="B483" s="6" t="s">
        <v>12</v>
      </c>
      <c r="C483" s="6" t="s">
        <v>13</v>
      </c>
      <c r="D483" s="6" t="s">
        <v>23</v>
      </c>
      <c r="E483" s="7" t="s">
        <v>1133</v>
      </c>
      <c r="F483" s="8" t="s">
        <v>1134</v>
      </c>
      <c r="G483" s="13" t="s">
        <v>286</v>
      </c>
    </row>
    <row r="484" spans="1:7" x14ac:dyDescent="0.25">
      <c r="A484" s="12" t="s">
        <v>1826</v>
      </c>
      <c r="B484" s="6" t="s">
        <v>361</v>
      </c>
      <c r="C484" s="6" t="s">
        <v>179</v>
      </c>
      <c r="D484" s="6" t="s">
        <v>101</v>
      </c>
      <c r="E484" s="7" t="s">
        <v>1135</v>
      </c>
      <c r="F484" s="8" t="s">
        <v>1136</v>
      </c>
      <c r="G484" s="13" t="s">
        <v>81</v>
      </c>
    </row>
    <row r="485" spans="1:7" x14ac:dyDescent="0.25">
      <c r="A485" s="12" t="s">
        <v>1827</v>
      </c>
      <c r="B485" s="6" t="s">
        <v>349</v>
      </c>
      <c r="C485" s="6" t="s">
        <v>179</v>
      </c>
      <c r="D485" s="6" t="s">
        <v>14</v>
      </c>
      <c r="E485" s="7" t="s">
        <v>1137</v>
      </c>
      <c r="F485" s="8" t="s">
        <v>1138</v>
      </c>
      <c r="G485" s="13" t="s">
        <v>148</v>
      </c>
    </row>
    <row r="486" spans="1:7" x14ac:dyDescent="0.25">
      <c r="A486" s="12" t="s">
        <v>1828</v>
      </c>
      <c r="B486" s="6" t="s">
        <v>163</v>
      </c>
      <c r="C486" s="6" t="s">
        <v>164</v>
      </c>
      <c r="D486" s="6" t="s">
        <v>36</v>
      </c>
      <c r="E486" s="7" t="s">
        <v>1139</v>
      </c>
      <c r="F486" s="8" t="s">
        <v>1140</v>
      </c>
      <c r="G486" s="13" t="s">
        <v>117</v>
      </c>
    </row>
    <row r="487" spans="1:7" x14ac:dyDescent="0.25">
      <c r="A487" s="12" t="s">
        <v>1829</v>
      </c>
      <c r="B487" s="6" t="s">
        <v>110</v>
      </c>
      <c r="C487" s="6" t="s">
        <v>8</v>
      </c>
      <c r="D487" s="6" t="s">
        <v>58</v>
      </c>
      <c r="E487" s="7" t="s">
        <v>1141</v>
      </c>
      <c r="F487" s="8" t="s">
        <v>1142</v>
      </c>
      <c r="G487" s="13" t="s">
        <v>11</v>
      </c>
    </row>
    <row r="488" spans="1:7" x14ac:dyDescent="0.25">
      <c r="A488" s="12" t="s">
        <v>1830</v>
      </c>
      <c r="B488" s="6" t="s">
        <v>468</v>
      </c>
      <c r="C488" s="6" t="s">
        <v>32</v>
      </c>
      <c r="D488" s="6" t="s">
        <v>9</v>
      </c>
      <c r="E488" s="7" t="s">
        <v>1143</v>
      </c>
      <c r="F488" s="8" t="s">
        <v>1144</v>
      </c>
      <c r="G488" s="13" t="s">
        <v>108</v>
      </c>
    </row>
    <row r="489" spans="1:7" x14ac:dyDescent="0.25">
      <c r="A489" s="12" t="s">
        <v>1831</v>
      </c>
      <c r="B489" s="6" t="s">
        <v>22</v>
      </c>
      <c r="C489" s="6" t="s">
        <v>8</v>
      </c>
      <c r="D489" s="6" t="s">
        <v>9</v>
      </c>
      <c r="E489" s="7" t="s">
        <v>1145</v>
      </c>
      <c r="F489" s="8" t="s">
        <v>1146</v>
      </c>
      <c r="G489" s="13" t="s">
        <v>85</v>
      </c>
    </row>
    <row r="490" spans="1:7" x14ac:dyDescent="0.25">
      <c r="A490" s="12" t="s">
        <v>1832</v>
      </c>
      <c r="B490" s="6" t="s">
        <v>178</v>
      </c>
      <c r="C490" s="6" t="s">
        <v>179</v>
      </c>
      <c r="D490" s="6" t="s">
        <v>58</v>
      </c>
      <c r="E490" s="7" t="s">
        <v>1147</v>
      </c>
      <c r="F490" s="8" t="s">
        <v>1148</v>
      </c>
      <c r="G490" s="13" t="s">
        <v>205</v>
      </c>
    </row>
    <row r="491" spans="1:7" x14ac:dyDescent="0.25">
      <c r="A491" s="12" t="s">
        <v>1833</v>
      </c>
      <c r="B491" s="6" t="s">
        <v>255</v>
      </c>
      <c r="C491" s="6" t="s">
        <v>164</v>
      </c>
      <c r="D491" s="6" t="s">
        <v>91</v>
      </c>
      <c r="E491" s="7" t="s">
        <v>1149</v>
      </c>
      <c r="F491" s="8" t="s">
        <v>1150</v>
      </c>
      <c r="G491" s="13" t="s">
        <v>109</v>
      </c>
    </row>
    <row r="492" spans="1:7" x14ac:dyDescent="0.25">
      <c r="A492" s="12" t="s">
        <v>1834</v>
      </c>
      <c r="B492" s="6" t="s">
        <v>7</v>
      </c>
      <c r="C492" s="6" t="s">
        <v>8</v>
      </c>
      <c r="D492" s="6" t="s">
        <v>28</v>
      </c>
      <c r="E492" s="7" t="s">
        <v>1151</v>
      </c>
      <c r="F492" s="8" t="s">
        <v>1152</v>
      </c>
      <c r="G492" s="13" t="s">
        <v>217</v>
      </c>
    </row>
    <row r="493" spans="1:7" x14ac:dyDescent="0.25">
      <c r="A493" s="12" t="s">
        <v>1835</v>
      </c>
      <c r="B493" s="6" t="s">
        <v>35</v>
      </c>
      <c r="C493" s="6" t="s">
        <v>13</v>
      </c>
      <c r="D493" s="6" t="s">
        <v>58</v>
      </c>
      <c r="E493" s="7" t="s">
        <v>1153</v>
      </c>
      <c r="F493" s="8" t="s">
        <v>1154</v>
      </c>
      <c r="G493" s="13" t="s">
        <v>113</v>
      </c>
    </row>
    <row r="494" spans="1:7" x14ac:dyDescent="0.25">
      <c r="A494" s="12" t="s">
        <v>1836</v>
      </c>
      <c r="B494" s="6" t="s">
        <v>12</v>
      </c>
      <c r="C494" s="6" t="s">
        <v>13</v>
      </c>
      <c r="D494" s="6" t="s">
        <v>91</v>
      </c>
      <c r="E494" s="7" t="s">
        <v>1155</v>
      </c>
      <c r="F494" s="8" t="s">
        <v>1156</v>
      </c>
      <c r="G494" s="13" t="s">
        <v>145</v>
      </c>
    </row>
    <row r="495" spans="1:7" x14ac:dyDescent="0.25">
      <c r="A495" s="12" t="s">
        <v>1837</v>
      </c>
      <c r="B495" s="6" t="s">
        <v>118</v>
      </c>
      <c r="C495" s="6" t="s">
        <v>63</v>
      </c>
      <c r="D495" s="6" t="s">
        <v>28</v>
      </c>
      <c r="E495" s="7" t="s">
        <v>1157</v>
      </c>
      <c r="F495" s="8" t="s">
        <v>1158</v>
      </c>
      <c r="G495" s="13" t="s">
        <v>117</v>
      </c>
    </row>
    <row r="496" spans="1:7" x14ac:dyDescent="0.25">
      <c r="A496" s="12" t="s">
        <v>1838</v>
      </c>
      <c r="B496" s="6" t="s">
        <v>1159</v>
      </c>
      <c r="C496" s="6" t="s">
        <v>18</v>
      </c>
      <c r="D496" s="6" t="s">
        <v>53</v>
      </c>
      <c r="E496" s="7" t="s">
        <v>1160</v>
      </c>
      <c r="F496" s="8" t="s">
        <v>1161</v>
      </c>
      <c r="G496" s="13" t="s">
        <v>261</v>
      </c>
    </row>
    <row r="497" spans="1:7" x14ac:dyDescent="0.25">
      <c r="A497" s="12" t="s">
        <v>1839</v>
      </c>
      <c r="B497" s="6" t="s">
        <v>70</v>
      </c>
      <c r="C497" s="6" t="s">
        <v>32</v>
      </c>
      <c r="D497" s="6" t="s">
        <v>53</v>
      </c>
      <c r="E497" s="7" t="s">
        <v>1162</v>
      </c>
      <c r="F497" s="8" t="s">
        <v>1163</v>
      </c>
      <c r="G497" s="13" t="s">
        <v>60</v>
      </c>
    </row>
    <row r="498" spans="1:7" x14ac:dyDescent="0.25">
      <c r="A498" s="12" t="s">
        <v>1840</v>
      </c>
      <c r="B498" s="6" t="s">
        <v>47</v>
      </c>
      <c r="C498" s="6" t="s">
        <v>42</v>
      </c>
      <c r="D498" s="6" t="s">
        <v>14</v>
      </c>
      <c r="E498" s="7" t="s">
        <v>1164</v>
      </c>
      <c r="F498" s="8" t="s">
        <v>1165</v>
      </c>
      <c r="G498" s="13" t="s">
        <v>236</v>
      </c>
    </row>
    <row r="499" spans="1:7" x14ac:dyDescent="0.25">
      <c r="A499" s="12" t="s">
        <v>1841</v>
      </c>
      <c r="B499" s="6" t="s">
        <v>57</v>
      </c>
      <c r="C499" s="6" t="s">
        <v>42</v>
      </c>
      <c r="D499" s="6" t="s">
        <v>28</v>
      </c>
      <c r="E499" s="7" t="s">
        <v>1166</v>
      </c>
      <c r="F499" s="8" t="s">
        <v>1167</v>
      </c>
      <c r="G499" s="13" t="s">
        <v>190</v>
      </c>
    </row>
    <row r="500" spans="1:7" x14ac:dyDescent="0.25">
      <c r="A500" s="12" t="s">
        <v>1842</v>
      </c>
      <c r="B500" s="6" t="s">
        <v>35</v>
      </c>
      <c r="C500" s="6" t="s">
        <v>13</v>
      </c>
      <c r="D500" s="6" t="s">
        <v>78</v>
      </c>
      <c r="E500" s="7" t="s">
        <v>1168</v>
      </c>
      <c r="F500" s="8" t="s">
        <v>1169</v>
      </c>
      <c r="G500" s="13" t="s">
        <v>85</v>
      </c>
    </row>
    <row r="501" spans="1:7" x14ac:dyDescent="0.25">
      <c r="A501" s="12" t="s">
        <v>1843</v>
      </c>
      <c r="B501" s="6" t="s">
        <v>41</v>
      </c>
      <c r="C501" s="6" t="s">
        <v>42</v>
      </c>
      <c r="D501" s="6" t="s">
        <v>78</v>
      </c>
      <c r="E501" s="7" t="s">
        <v>1170</v>
      </c>
      <c r="F501" s="8" t="s">
        <v>1171</v>
      </c>
      <c r="G501" s="13" t="s">
        <v>292</v>
      </c>
    </row>
    <row r="502" spans="1:7" x14ac:dyDescent="0.25">
      <c r="A502" s="12" t="s">
        <v>1844</v>
      </c>
      <c r="B502" s="6" t="s">
        <v>663</v>
      </c>
      <c r="C502" s="6" t="s">
        <v>18</v>
      </c>
      <c r="D502" s="6" t="s">
        <v>14</v>
      </c>
      <c r="E502" s="7" t="s">
        <v>1172</v>
      </c>
      <c r="F502" s="8" t="s">
        <v>1173</v>
      </c>
      <c r="G502" s="13" t="s">
        <v>314</v>
      </c>
    </row>
    <row r="503" spans="1:7" x14ac:dyDescent="0.25">
      <c r="A503" s="12" t="s">
        <v>1845</v>
      </c>
      <c r="B503" s="6" t="s">
        <v>133</v>
      </c>
      <c r="C503" s="6" t="s">
        <v>52</v>
      </c>
      <c r="D503" s="6" t="s">
        <v>23</v>
      </c>
      <c r="E503" s="7" t="s">
        <v>1174</v>
      </c>
      <c r="F503" s="8" t="s">
        <v>1175</v>
      </c>
      <c r="G503" s="13" t="s">
        <v>236</v>
      </c>
    </row>
    <row r="504" spans="1:7" x14ac:dyDescent="0.25">
      <c r="A504" s="12" t="s">
        <v>1846</v>
      </c>
      <c r="B504" s="6" t="s">
        <v>163</v>
      </c>
      <c r="C504" s="6" t="s">
        <v>164</v>
      </c>
      <c r="D504" s="6" t="s">
        <v>58</v>
      </c>
      <c r="E504" s="7" t="s">
        <v>1176</v>
      </c>
      <c r="F504" s="8" t="s">
        <v>1177</v>
      </c>
      <c r="G504" s="13" t="s">
        <v>68</v>
      </c>
    </row>
    <row r="505" spans="1:7" x14ac:dyDescent="0.25">
      <c r="A505" s="12" t="s">
        <v>1847</v>
      </c>
      <c r="B505" s="6" t="s">
        <v>41</v>
      </c>
      <c r="C505" s="6" t="s">
        <v>42</v>
      </c>
      <c r="D505" s="6" t="s">
        <v>14</v>
      </c>
      <c r="E505" s="7" t="s">
        <v>1178</v>
      </c>
      <c r="F505" s="8" t="s">
        <v>1179</v>
      </c>
      <c r="G505" s="13" t="s">
        <v>236</v>
      </c>
    </row>
    <row r="506" spans="1:7" x14ac:dyDescent="0.25">
      <c r="A506" s="12" t="s">
        <v>1848</v>
      </c>
      <c r="B506" s="6" t="s">
        <v>150</v>
      </c>
      <c r="C506" s="6" t="s">
        <v>32</v>
      </c>
      <c r="D506" s="6" t="s">
        <v>91</v>
      </c>
      <c r="E506" s="7" t="s">
        <v>1180</v>
      </c>
      <c r="F506" s="8" t="s">
        <v>1181</v>
      </c>
      <c r="G506" s="13" t="s">
        <v>262</v>
      </c>
    </row>
    <row r="507" spans="1:7" x14ac:dyDescent="0.25">
      <c r="A507" s="12" t="s">
        <v>1849</v>
      </c>
      <c r="B507" s="6" t="s">
        <v>356</v>
      </c>
      <c r="C507" s="6" t="s">
        <v>18</v>
      </c>
      <c r="D507" s="6" t="s">
        <v>91</v>
      </c>
      <c r="E507" s="7" t="s">
        <v>1182</v>
      </c>
      <c r="F507" s="8" t="s">
        <v>1183</v>
      </c>
      <c r="G507" s="13" t="s">
        <v>205</v>
      </c>
    </row>
    <row r="508" spans="1:7" x14ac:dyDescent="0.25">
      <c r="A508" s="12" t="s">
        <v>1850</v>
      </c>
      <c r="B508" s="6" t="s">
        <v>398</v>
      </c>
      <c r="C508" s="6" t="s">
        <v>42</v>
      </c>
      <c r="D508" s="6" t="s">
        <v>23</v>
      </c>
      <c r="E508" s="7" t="s">
        <v>1184</v>
      </c>
      <c r="F508" s="8" t="s">
        <v>1185</v>
      </c>
      <c r="G508" s="13" t="s">
        <v>45</v>
      </c>
    </row>
    <row r="509" spans="1:7" x14ac:dyDescent="0.25">
      <c r="A509" s="12" t="s">
        <v>1851</v>
      </c>
      <c r="B509" s="6" t="s">
        <v>1186</v>
      </c>
      <c r="C509" s="6" t="s">
        <v>18</v>
      </c>
      <c r="D509" s="6" t="s">
        <v>14</v>
      </c>
      <c r="E509" s="7" t="s">
        <v>1187</v>
      </c>
      <c r="F509" s="8" t="s">
        <v>1188</v>
      </c>
      <c r="G509" s="13" t="s">
        <v>81</v>
      </c>
    </row>
    <row r="510" spans="1:7" x14ac:dyDescent="0.25">
      <c r="A510" s="12" t="s">
        <v>1852</v>
      </c>
      <c r="B510" s="6" t="s">
        <v>518</v>
      </c>
      <c r="C510" s="6" t="s">
        <v>164</v>
      </c>
      <c r="D510" s="6" t="s">
        <v>123</v>
      </c>
      <c r="E510" s="7" t="s">
        <v>1189</v>
      </c>
      <c r="F510" s="8" t="s">
        <v>1190</v>
      </c>
      <c r="G510" s="13" t="s">
        <v>11</v>
      </c>
    </row>
    <row r="511" spans="1:7" x14ac:dyDescent="0.25">
      <c r="A511" s="12" t="s">
        <v>1853</v>
      </c>
      <c r="B511" s="6" t="s">
        <v>100</v>
      </c>
      <c r="C511" s="6" t="s">
        <v>52</v>
      </c>
      <c r="D511" s="6" t="s">
        <v>28</v>
      </c>
      <c r="E511" s="7" t="s">
        <v>43</v>
      </c>
      <c r="F511" s="8" t="s">
        <v>1191</v>
      </c>
      <c r="G511" s="13" t="s">
        <v>314</v>
      </c>
    </row>
    <row r="512" spans="1:7" x14ac:dyDescent="0.25">
      <c r="A512" s="12" t="s">
        <v>1854</v>
      </c>
      <c r="B512" s="6" t="s">
        <v>133</v>
      </c>
      <c r="C512" s="6" t="s">
        <v>52</v>
      </c>
      <c r="D512" s="6" t="s">
        <v>28</v>
      </c>
      <c r="E512" s="7" t="s">
        <v>1192</v>
      </c>
      <c r="F512" s="8" t="s">
        <v>1193</v>
      </c>
      <c r="G512" s="13" t="s">
        <v>337</v>
      </c>
    </row>
    <row r="513" spans="1:7" x14ac:dyDescent="0.25">
      <c r="A513" s="12" t="s">
        <v>1855</v>
      </c>
      <c r="B513" s="6" t="s">
        <v>57</v>
      </c>
      <c r="C513" s="6" t="s">
        <v>42</v>
      </c>
      <c r="D513" s="6" t="s">
        <v>14</v>
      </c>
      <c r="E513" s="7" t="s">
        <v>1194</v>
      </c>
      <c r="F513" s="8" t="s">
        <v>1195</v>
      </c>
      <c r="G513" s="13" t="s">
        <v>113</v>
      </c>
    </row>
    <row r="514" spans="1:7" x14ac:dyDescent="0.25">
      <c r="A514" s="12" t="s">
        <v>1856</v>
      </c>
      <c r="B514" s="6" t="s">
        <v>509</v>
      </c>
      <c r="C514" s="6" t="s">
        <v>18</v>
      </c>
      <c r="D514" s="6" t="s">
        <v>91</v>
      </c>
      <c r="E514" s="7" t="s">
        <v>1196</v>
      </c>
      <c r="F514" s="8" t="s">
        <v>375</v>
      </c>
      <c r="G514" s="13" t="s">
        <v>65</v>
      </c>
    </row>
    <row r="515" spans="1:7" x14ac:dyDescent="0.25">
      <c r="A515" s="12" t="s">
        <v>1857</v>
      </c>
      <c r="B515" s="6" t="s">
        <v>74</v>
      </c>
      <c r="C515" s="6" t="s">
        <v>8</v>
      </c>
      <c r="D515" s="6" t="s">
        <v>91</v>
      </c>
      <c r="E515" s="7" t="s">
        <v>1197</v>
      </c>
      <c r="F515" s="8" t="s">
        <v>1198</v>
      </c>
      <c r="G515" s="13" t="s">
        <v>205</v>
      </c>
    </row>
    <row r="516" spans="1:7" x14ac:dyDescent="0.25">
      <c r="A516" s="12" t="s">
        <v>1858</v>
      </c>
      <c r="B516" s="6" t="s">
        <v>563</v>
      </c>
      <c r="C516" s="6" t="s">
        <v>52</v>
      </c>
      <c r="D516" s="6" t="s">
        <v>28</v>
      </c>
      <c r="E516" s="7" t="s">
        <v>1199</v>
      </c>
      <c r="F516" s="8" t="s">
        <v>1200</v>
      </c>
      <c r="G516" s="13" t="s">
        <v>240</v>
      </c>
    </row>
    <row r="517" spans="1:7" x14ac:dyDescent="0.25">
      <c r="A517" s="12" t="s">
        <v>1859</v>
      </c>
      <c r="B517" s="6" t="s">
        <v>364</v>
      </c>
      <c r="C517" s="6" t="s">
        <v>52</v>
      </c>
      <c r="D517" s="6" t="s">
        <v>9</v>
      </c>
      <c r="E517" s="7" t="s">
        <v>1201</v>
      </c>
      <c r="F517" s="8" t="s">
        <v>1202</v>
      </c>
      <c r="G517" s="13" t="s">
        <v>108</v>
      </c>
    </row>
    <row r="518" spans="1:7" x14ac:dyDescent="0.25">
      <c r="A518" s="12" t="s">
        <v>1860</v>
      </c>
      <c r="B518" s="6" t="s">
        <v>110</v>
      </c>
      <c r="C518" s="6" t="s">
        <v>8</v>
      </c>
      <c r="D518" s="6" t="s">
        <v>101</v>
      </c>
      <c r="E518" s="7" t="s">
        <v>1203</v>
      </c>
      <c r="F518" s="8" t="s">
        <v>1204</v>
      </c>
      <c r="G518" s="13" t="s">
        <v>174</v>
      </c>
    </row>
    <row r="519" spans="1:7" x14ac:dyDescent="0.25">
      <c r="A519" s="12" t="s">
        <v>1861</v>
      </c>
      <c r="B519" s="6" t="s">
        <v>118</v>
      </c>
      <c r="C519" s="6" t="s">
        <v>63</v>
      </c>
      <c r="D519" s="6" t="s">
        <v>28</v>
      </c>
      <c r="E519" s="7" t="s">
        <v>1205</v>
      </c>
      <c r="F519" s="8" t="s">
        <v>1206</v>
      </c>
      <c r="G519" s="13" t="s">
        <v>136</v>
      </c>
    </row>
    <row r="520" spans="1:7" x14ac:dyDescent="0.25">
      <c r="A520" s="12" t="s">
        <v>1862</v>
      </c>
      <c r="B520" s="6" t="s">
        <v>777</v>
      </c>
      <c r="C520" s="6" t="s">
        <v>18</v>
      </c>
      <c r="D520" s="6" t="s">
        <v>123</v>
      </c>
      <c r="E520" s="7" t="s">
        <v>1207</v>
      </c>
      <c r="F520" s="8" t="s">
        <v>1208</v>
      </c>
      <c r="G520" s="13" t="s">
        <v>81</v>
      </c>
    </row>
    <row r="521" spans="1:7" x14ac:dyDescent="0.25">
      <c r="A521" s="12" t="s">
        <v>1863</v>
      </c>
      <c r="B521" s="6" t="s">
        <v>364</v>
      </c>
      <c r="C521" s="6" t="s">
        <v>52</v>
      </c>
      <c r="D521" s="6" t="s">
        <v>91</v>
      </c>
      <c r="E521" s="7" t="s">
        <v>1209</v>
      </c>
      <c r="F521" s="8" t="s">
        <v>1210</v>
      </c>
      <c r="G521" s="13" t="s">
        <v>139</v>
      </c>
    </row>
    <row r="522" spans="1:7" x14ac:dyDescent="0.25">
      <c r="A522" s="12" t="s">
        <v>1864</v>
      </c>
      <c r="B522" s="6" t="s">
        <v>51</v>
      </c>
      <c r="C522" s="6" t="s">
        <v>52</v>
      </c>
      <c r="D522" s="6" t="s">
        <v>78</v>
      </c>
      <c r="E522" s="7" t="s">
        <v>1211</v>
      </c>
      <c r="F522" s="8" t="s">
        <v>1212</v>
      </c>
      <c r="G522" s="13" t="s">
        <v>149</v>
      </c>
    </row>
    <row r="523" spans="1:7" x14ac:dyDescent="0.25">
      <c r="A523" s="12" t="s">
        <v>1865</v>
      </c>
      <c r="B523" s="6" t="s">
        <v>110</v>
      </c>
      <c r="C523" s="6" t="s">
        <v>8</v>
      </c>
      <c r="D523" s="6" t="s">
        <v>91</v>
      </c>
      <c r="E523" s="7" t="s">
        <v>1213</v>
      </c>
      <c r="F523" s="8" t="s">
        <v>1214</v>
      </c>
      <c r="G523" s="13" t="s">
        <v>56</v>
      </c>
    </row>
    <row r="524" spans="1:7" x14ac:dyDescent="0.25">
      <c r="A524" s="12" t="s">
        <v>1866</v>
      </c>
      <c r="B524" s="6" t="s">
        <v>133</v>
      </c>
      <c r="C524" s="6" t="s">
        <v>52</v>
      </c>
      <c r="D524" s="6" t="s">
        <v>58</v>
      </c>
      <c r="E524" s="7" t="s">
        <v>1215</v>
      </c>
      <c r="F524" s="8" t="s">
        <v>1216</v>
      </c>
      <c r="G524" s="13" t="s">
        <v>129</v>
      </c>
    </row>
    <row r="525" spans="1:7" x14ac:dyDescent="0.25">
      <c r="A525" s="12" t="s">
        <v>1867</v>
      </c>
      <c r="B525" s="6" t="s">
        <v>364</v>
      </c>
      <c r="C525" s="6" t="s">
        <v>52</v>
      </c>
      <c r="D525" s="6" t="s">
        <v>36</v>
      </c>
      <c r="E525" s="7" t="s">
        <v>1217</v>
      </c>
      <c r="F525" s="8" t="s">
        <v>1218</v>
      </c>
      <c r="G525" s="13" t="s">
        <v>94</v>
      </c>
    </row>
    <row r="526" spans="1:7" x14ac:dyDescent="0.25">
      <c r="A526" s="12" t="s">
        <v>1868</v>
      </c>
      <c r="B526" s="6" t="s">
        <v>142</v>
      </c>
      <c r="C526" s="6" t="s">
        <v>27</v>
      </c>
      <c r="D526" s="6" t="s">
        <v>28</v>
      </c>
      <c r="E526" s="7" t="s">
        <v>1219</v>
      </c>
      <c r="F526" s="8" t="s">
        <v>1220</v>
      </c>
      <c r="G526" s="13" t="s">
        <v>149</v>
      </c>
    </row>
    <row r="527" spans="1:7" x14ac:dyDescent="0.25">
      <c r="A527" s="12" t="s">
        <v>1869</v>
      </c>
      <c r="B527" s="6" t="s">
        <v>344</v>
      </c>
      <c r="C527" s="6" t="s">
        <v>63</v>
      </c>
      <c r="D527" s="6" t="s">
        <v>58</v>
      </c>
      <c r="E527" s="7" t="s">
        <v>1221</v>
      </c>
      <c r="F527" s="8" t="s">
        <v>1222</v>
      </c>
      <c r="G527" s="13" t="s">
        <v>109</v>
      </c>
    </row>
    <row r="528" spans="1:7" x14ac:dyDescent="0.25">
      <c r="A528" s="12" t="s">
        <v>1870</v>
      </c>
      <c r="B528" s="6" t="s">
        <v>594</v>
      </c>
      <c r="C528" s="6" t="s">
        <v>63</v>
      </c>
      <c r="D528" s="6" t="s">
        <v>9</v>
      </c>
      <c r="E528" s="7" t="s">
        <v>1223</v>
      </c>
      <c r="F528" s="8" t="s">
        <v>1224</v>
      </c>
      <c r="G528" s="13" t="s">
        <v>65</v>
      </c>
    </row>
    <row r="529" spans="1:7" x14ac:dyDescent="0.25">
      <c r="A529" s="12" t="s">
        <v>1871</v>
      </c>
      <c r="B529" s="6" t="s">
        <v>255</v>
      </c>
      <c r="C529" s="6" t="s">
        <v>164</v>
      </c>
      <c r="D529" s="6" t="s">
        <v>58</v>
      </c>
      <c r="E529" s="7" t="s">
        <v>1225</v>
      </c>
      <c r="F529" s="8" t="s">
        <v>1226</v>
      </c>
      <c r="G529" s="13" t="s">
        <v>308</v>
      </c>
    </row>
    <row r="530" spans="1:7" x14ac:dyDescent="0.25">
      <c r="A530" s="12" t="s">
        <v>1872</v>
      </c>
      <c r="B530" s="6" t="s">
        <v>41</v>
      </c>
      <c r="C530" s="6" t="s">
        <v>42</v>
      </c>
      <c r="D530" s="6" t="s">
        <v>91</v>
      </c>
      <c r="E530" s="7" t="s">
        <v>1227</v>
      </c>
      <c r="F530" s="8" t="s">
        <v>1228</v>
      </c>
      <c r="G530" s="13" t="s">
        <v>270</v>
      </c>
    </row>
    <row r="531" spans="1:7" x14ac:dyDescent="0.25">
      <c r="A531" s="12" t="s">
        <v>1873</v>
      </c>
      <c r="B531" s="6" t="s">
        <v>274</v>
      </c>
      <c r="C531" s="6" t="s">
        <v>32</v>
      </c>
      <c r="D531" s="6" t="s">
        <v>28</v>
      </c>
      <c r="E531" s="7" t="s">
        <v>1229</v>
      </c>
      <c r="F531" s="8" t="s">
        <v>1230</v>
      </c>
      <c r="G531" s="13" t="s">
        <v>156</v>
      </c>
    </row>
    <row r="532" spans="1:7" x14ac:dyDescent="0.25">
      <c r="A532" s="12" t="s">
        <v>1874</v>
      </c>
      <c r="B532" s="6" t="s">
        <v>1231</v>
      </c>
      <c r="C532" s="6" t="s">
        <v>18</v>
      </c>
      <c r="D532" s="6" t="s">
        <v>123</v>
      </c>
      <c r="E532" s="7" t="s">
        <v>1232</v>
      </c>
      <c r="F532" s="8" t="s">
        <v>1233</v>
      </c>
      <c r="G532" s="13" t="s">
        <v>270</v>
      </c>
    </row>
    <row r="533" spans="1:7" x14ac:dyDescent="0.25">
      <c r="A533" s="12" t="s">
        <v>1875</v>
      </c>
      <c r="B533" s="6" t="s">
        <v>385</v>
      </c>
      <c r="C533" s="6" t="s">
        <v>32</v>
      </c>
      <c r="D533" s="6" t="s">
        <v>123</v>
      </c>
      <c r="E533" s="7" t="s">
        <v>1234</v>
      </c>
      <c r="F533" s="8" t="s">
        <v>1235</v>
      </c>
      <c r="G533" s="13" t="s">
        <v>220</v>
      </c>
    </row>
    <row r="534" spans="1:7" x14ac:dyDescent="0.25">
      <c r="A534" s="12" t="s">
        <v>1876</v>
      </c>
      <c r="B534" s="6" t="s">
        <v>57</v>
      </c>
      <c r="C534" s="6" t="s">
        <v>42</v>
      </c>
      <c r="D534" s="6" t="s">
        <v>14</v>
      </c>
      <c r="E534" s="7" t="s">
        <v>1236</v>
      </c>
      <c r="F534" s="8" t="s">
        <v>1237</v>
      </c>
      <c r="G534" s="13" t="s">
        <v>226</v>
      </c>
    </row>
    <row r="535" spans="1:7" x14ac:dyDescent="0.25">
      <c r="A535" s="12" t="s">
        <v>1877</v>
      </c>
      <c r="B535" s="6" t="s">
        <v>255</v>
      </c>
      <c r="C535" s="6" t="s">
        <v>164</v>
      </c>
      <c r="D535" s="6" t="s">
        <v>23</v>
      </c>
      <c r="E535" s="7" t="s">
        <v>1238</v>
      </c>
      <c r="F535" s="8" t="s">
        <v>1239</v>
      </c>
      <c r="G535" s="13" t="s">
        <v>25</v>
      </c>
    </row>
    <row r="536" spans="1:7" x14ac:dyDescent="0.25">
      <c r="A536" s="12" t="s">
        <v>1878</v>
      </c>
      <c r="B536" s="6" t="s">
        <v>47</v>
      </c>
      <c r="C536" s="6" t="s">
        <v>42</v>
      </c>
      <c r="D536" s="6" t="s">
        <v>91</v>
      </c>
      <c r="E536" s="7" t="s">
        <v>1240</v>
      </c>
      <c r="F536" s="8" t="s">
        <v>1241</v>
      </c>
      <c r="G536" s="13" t="s">
        <v>239</v>
      </c>
    </row>
    <row r="537" spans="1:7" x14ac:dyDescent="0.25">
      <c r="A537" s="12" t="s">
        <v>1879</v>
      </c>
      <c r="B537" s="6" t="s">
        <v>241</v>
      </c>
      <c r="C537" s="6" t="s">
        <v>27</v>
      </c>
      <c r="D537" s="6" t="s">
        <v>14</v>
      </c>
      <c r="E537" s="7" t="s">
        <v>1242</v>
      </c>
      <c r="F537" s="8" t="s">
        <v>1243</v>
      </c>
      <c r="G537" s="13" t="s">
        <v>65</v>
      </c>
    </row>
    <row r="538" spans="1:7" x14ac:dyDescent="0.25">
      <c r="A538" s="12" t="s">
        <v>1880</v>
      </c>
      <c r="B538" s="6" t="s">
        <v>361</v>
      </c>
      <c r="C538" s="6" t="s">
        <v>179</v>
      </c>
      <c r="D538" s="6" t="s">
        <v>23</v>
      </c>
      <c r="E538" s="7" t="s">
        <v>1244</v>
      </c>
      <c r="F538" s="8" t="s">
        <v>1245</v>
      </c>
      <c r="G538" s="13" t="s">
        <v>319</v>
      </c>
    </row>
    <row r="539" spans="1:7" x14ac:dyDescent="0.25">
      <c r="A539" s="12" t="s">
        <v>1881</v>
      </c>
      <c r="B539" s="6" t="s">
        <v>51</v>
      </c>
      <c r="C539" s="6" t="s">
        <v>52</v>
      </c>
      <c r="D539" s="6" t="s">
        <v>9</v>
      </c>
      <c r="E539" s="7" t="s">
        <v>1246</v>
      </c>
      <c r="F539" s="8" t="s">
        <v>1247</v>
      </c>
      <c r="G539" s="13" t="s">
        <v>30</v>
      </c>
    </row>
    <row r="540" spans="1:7" x14ac:dyDescent="0.25">
      <c r="A540" s="12" t="s">
        <v>1882</v>
      </c>
      <c r="B540" s="6" t="s">
        <v>12</v>
      </c>
      <c r="C540" s="6" t="s">
        <v>13</v>
      </c>
      <c r="D540" s="6" t="s">
        <v>28</v>
      </c>
      <c r="E540" s="7" t="s">
        <v>1248</v>
      </c>
      <c r="F540" s="8" t="s">
        <v>1249</v>
      </c>
      <c r="G540" s="13" t="s">
        <v>94</v>
      </c>
    </row>
    <row r="541" spans="1:7" x14ac:dyDescent="0.25">
      <c r="A541" s="12" t="s">
        <v>1883</v>
      </c>
      <c r="B541" s="6" t="s">
        <v>228</v>
      </c>
      <c r="C541" s="6" t="s">
        <v>63</v>
      </c>
      <c r="D541" s="6" t="s">
        <v>28</v>
      </c>
      <c r="E541" s="7" t="s">
        <v>1250</v>
      </c>
      <c r="F541" s="8" t="s">
        <v>1251</v>
      </c>
      <c r="G541" s="13" t="s">
        <v>65</v>
      </c>
    </row>
    <row r="542" spans="1:7" x14ac:dyDescent="0.25">
      <c r="A542" s="12" t="s">
        <v>1884</v>
      </c>
      <c r="B542" s="6" t="s">
        <v>7</v>
      </c>
      <c r="C542" s="6" t="s">
        <v>8</v>
      </c>
      <c r="D542" s="6" t="s">
        <v>36</v>
      </c>
      <c r="E542" s="7" t="s">
        <v>1252</v>
      </c>
      <c r="F542" s="8" t="s">
        <v>1253</v>
      </c>
      <c r="G542" s="13" t="s">
        <v>34</v>
      </c>
    </row>
    <row r="543" spans="1:7" x14ac:dyDescent="0.25">
      <c r="A543" s="12" t="s">
        <v>1885</v>
      </c>
      <c r="B543" s="6" t="s">
        <v>250</v>
      </c>
      <c r="C543" s="6" t="s">
        <v>63</v>
      </c>
      <c r="D543" s="6" t="s">
        <v>78</v>
      </c>
      <c r="E543" s="7" t="s">
        <v>1254</v>
      </c>
      <c r="F543" s="8" t="s">
        <v>1255</v>
      </c>
      <c r="G543" s="13" t="s">
        <v>113</v>
      </c>
    </row>
    <row r="544" spans="1:7" x14ac:dyDescent="0.25">
      <c r="A544" s="12" t="s">
        <v>1886</v>
      </c>
      <c r="B544" s="6" t="s">
        <v>576</v>
      </c>
      <c r="C544" s="6" t="s">
        <v>63</v>
      </c>
      <c r="D544" s="6" t="s">
        <v>123</v>
      </c>
      <c r="E544" s="7" t="s">
        <v>1256</v>
      </c>
      <c r="F544" s="8" t="s">
        <v>1257</v>
      </c>
      <c r="G544" s="13" t="s">
        <v>11</v>
      </c>
    </row>
    <row r="545" spans="1:7" x14ac:dyDescent="0.25">
      <c r="A545" s="12" t="s">
        <v>1887</v>
      </c>
      <c r="B545" s="6" t="s">
        <v>110</v>
      </c>
      <c r="C545" s="6" t="s">
        <v>8</v>
      </c>
      <c r="D545" s="6" t="s">
        <v>123</v>
      </c>
      <c r="E545" s="7" t="s">
        <v>1258</v>
      </c>
      <c r="F545" s="8" t="s">
        <v>1259</v>
      </c>
      <c r="G545" s="13" t="s">
        <v>21</v>
      </c>
    </row>
    <row r="546" spans="1:7" x14ac:dyDescent="0.25">
      <c r="A546" s="12" t="s">
        <v>1888</v>
      </c>
      <c r="B546" s="6" t="s">
        <v>100</v>
      </c>
      <c r="C546" s="6" t="s">
        <v>52</v>
      </c>
      <c r="D546" s="6" t="s">
        <v>58</v>
      </c>
      <c r="E546" s="7" t="s">
        <v>1260</v>
      </c>
      <c r="F546" s="8" t="s">
        <v>1261</v>
      </c>
      <c r="G546" s="13" t="s">
        <v>81</v>
      </c>
    </row>
    <row r="547" spans="1:7" x14ac:dyDescent="0.25">
      <c r="A547" s="12" t="s">
        <v>1889</v>
      </c>
      <c r="B547" s="6" t="s">
        <v>263</v>
      </c>
      <c r="C547" s="6" t="s">
        <v>8</v>
      </c>
      <c r="D547" s="6" t="s">
        <v>101</v>
      </c>
      <c r="E547" s="7" t="s">
        <v>1262</v>
      </c>
      <c r="F547" s="8" t="s">
        <v>1263</v>
      </c>
      <c r="G547" s="13" t="s">
        <v>319</v>
      </c>
    </row>
    <row r="548" spans="1:7" x14ac:dyDescent="0.25">
      <c r="A548" s="12" t="s">
        <v>1890</v>
      </c>
      <c r="B548" s="6" t="s">
        <v>133</v>
      </c>
      <c r="C548" s="6" t="s">
        <v>52</v>
      </c>
      <c r="D548" s="6" t="s">
        <v>9</v>
      </c>
      <c r="E548" s="7" t="s">
        <v>1264</v>
      </c>
      <c r="F548" s="8" t="s">
        <v>1265</v>
      </c>
      <c r="G548" s="13" t="s">
        <v>129</v>
      </c>
    </row>
    <row r="549" spans="1:7" x14ac:dyDescent="0.25">
      <c r="A549" s="12" t="s">
        <v>1891</v>
      </c>
      <c r="B549" s="6" t="s">
        <v>47</v>
      </c>
      <c r="C549" s="6" t="s">
        <v>42</v>
      </c>
      <c r="D549" s="6" t="s">
        <v>123</v>
      </c>
      <c r="E549" s="7" t="s">
        <v>1266</v>
      </c>
      <c r="F549" s="8" t="s">
        <v>1267</v>
      </c>
      <c r="G549" s="13" t="s">
        <v>167</v>
      </c>
    </row>
    <row r="550" spans="1:7" x14ac:dyDescent="0.25">
      <c r="A550" s="12" t="s">
        <v>1892</v>
      </c>
      <c r="B550" s="6" t="s">
        <v>35</v>
      </c>
      <c r="C550" s="6" t="s">
        <v>13</v>
      </c>
      <c r="D550" s="6" t="s">
        <v>28</v>
      </c>
      <c r="E550" s="7" t="s">
        <v>1268</v>
      </c>
      <c r="F550" s="8" t="s">
        <v>1269</v>
      </c>
      <c r="G550" s="13" t="s">
        <v>46</v>
      </c>
    </row>
    <row r="551" spans="1:7" x14ac:dyDescent="0.25">
      <c r="A551" s="12" t="s">
        <v>1893</v>
      </c>
      <c r="B551" s="6" t="s">
        <v>455</v>
      </c>
      <c r="C551" s="6" t="s">
        <v>18</v>
      </c>
      <c r="D551" s="6" t="s">
        <v>36</v>
      </c>
      <c r="E551" s="7" t="s">
        <v>1270</v>
      </c>
      <c r="F551" s="8" t="s">
        <v>1271</v>
      </c>
      <c r="G551" s="13" t="s">
        <v>208</v>
      </c>
    </row>
    <row r="552" spans="1:7" x14ac:dyDescent="0.25">
      <c r="A552" s="12" t="s">
        <v>1894</v>
      </c>
      <c r="B552" s="6" t="s">
        <v>100</v>
      </c>
      <c r="C552" s="6" t="s">
        <v>52</v>
      </c>
      <c r="D552" s="6" t="s">
        <v>23</v>
      </c>
      <c r="E552" s="7" t="s">
        <v>1272</v>
      </c>
      <c r="F552" s="8" t="s">
        <v>1273</v>
      </c>
      <c r="G552" s="13" t="s">
        <v>308</v>
      </c>
    </row>
    <row r="553" spans="1:7" x14ac:dyDescent="0.25">
      <c r="A553" s="12" t="s">
        <v>1895</v>
      </c>
      <c r="B553" s="6" t="s">
        <v>407</v>
      </c>
      <c r="C553" s="6" t="s">
        <v>179</v>
      </c>
      <c r="D553" s="6" t="s">
        <v>123</v>
      </c>
      <c r="E553" s="7" t="s">
        <v>1274</v>
      </c>
      <c r="F553" s="8" t="s">
        <v>1275</v>
      </c>
      <c r="G553" s="13" t="s">
        <v>239</v>
      </c>
    </row>
    <row r="554" spans="1:7" x14ac:dyDescent="0.25">
      <c r="A554" s="12" t="s">
        <v>1896</v>
      </c>
      <c r="B554" s="6" t="s">
        <v>263</v>
      </c>
      <c r="C554" s="6" t="s">
        <v>8</v>
      </c>
      <c r="D554" s="6" t="s">
        <v>28</v>
      </c>
      <c r="E554" s="7" t="s">
        <v>1276</v>
      </c>
      <c r="F554" s="8" t="s">
        <v>1277</v>
      </c>
      <c r="G554" s="13" t="s">
        <v>322</v>
      </c>
    </row>
    <row r="555" spans="1:7" x14ac:dyDescent="0.25">
      <c r="A555" s="12" t="s">
        <v>1897</v>
      </c>
      <c r="B555" s="6" t="s">
        <v>361</v>
      </c>
      <c r="C555" s="6" t="s">
        <v>179</v>
      </c>
      <c r="D555" s="6" t="s">
        <v>28</v>
      </c>
      <c r="E555" s="7" t="s">
        <v>1278</v>
      </c>
      <c r="F555" s="8" t="s">
        <v>1279</v>
      </c>
      <c r="G555" s="13" t="s">
        <v>68</v>
      </c>
    </row>
    <row r="556" spans="1:7" x14ac:dyDescent="0.25">
      <c r="A556" s="12" t="s">
        <v>1898</v>
      </c>
      <c r="B556" s="6" t="s">
        <v>47</v>
      </c>
      <c r="C556" s="6" t="s">
        <v>42</v>
      </c>
      <c r="D556" s="6" t="s">
        <v>91</v>
      </c>
      <c r="E556" s="7" t="s">
        <v>1280</v>
      </c>
      <c r="F556" s="8" t="s">
        <v>1281</v>
      </c>
      <c r="G556" s="13" t="s">
        <v>289</v>
      </c>
    </row>
    <row r="557" spans="1:7" x14ac:dyDescent="0.25">
      <c r="A557" s="12" t="s">
        <v>1899</v>
      </c>
      <c r="B557" s="6" t="s">
        <v>12</v>
      </c>
      <c r="C557" s="6" t="s">
        <v>13</v>
      </c>
      <c r="D557" s="6" t="s">
        <v>53</v>
      </c>
      <c r="E557" s="7" t="s">
        <v>1282</v>
      </c>
      <c r="F557" s="8" t="s">
        <v>1283</v>
      </c>
      <c r="G557" s="13" t="s">
        <v>273</v>
      </c>
    </row>
    <row r="558" spans="1:7" x14ac:dyDescent="0.25">
      <c r="A558" s="12" t="s">
        <v>1900</v>
      </c>
      <c r="B558" s="6" t="s">
        <v>398</v>
      </c>
      <c r="C558" s="6" t="s">
        <v>42</v>
      </c>
      <c r="D558" s="6" t="s">
        <v>53</v>
      </c>
      <c r="E558" s="7" t="s">
        <v>1284</v>
      </c>
      <c r="F558" s="8" t="s">
        <v>1285</v>
      </c>
      <c r="G558" s="13" t="s">
        <v>145</v>
      </c>
    </row>
    <row r="559" spans="1:7" x14ac:dyDescent="0.25">
      <c r="A559" s="12" t="s">
        <v>1901</v>
      </c>
      <c r="B559" s="6" t="s">
        <v>241</v>
      </c>
      <c r="C559" s="6" t="s">
        <v>27</v>
      </c>
      <c r="D559" s="6" t="s">
        <v>123</v>
      </c>
      <c r="E559" s="7" t="s">
        <v>1286</v>
      </c>
      <c r="F559" s="8" t="s">
        <v>1287</v>
      </c>
      <c r="G559" s="13" t="s">
        <v>105</v>
      </c>
    </row>
    <row r="560" spans="1:7" x14ac:dyDescent="0.25">
      <c r="A560" s="12" t="s">
        <v>1902</v>
      </c>
      <c r="B560" s="6" t="s">
        <v>364</v>
      </c>
      <c r="C560" s="6" t="s">
        <v>52</v>
      </c>
      <c r="D560" s="6" t="s">
        <v>101</v>
      </c>
      <c r="E560" s="7" t="s">
        <v>1288</v>
      </c>
      <c r="F560" s="8" t="s">
        <v>1289</v>
      </c>
      <c r="G560" s="13" t="s">
        <v>191</v>
      </c>
    </row>
    <row r="561" spans="1:7" x14ac:dyDescent="0.25">
      <c r="A561" s="12" t="s">
        <v>1903</v>
      </c>
      <c r="B561" s="6" t="s">
        <v>197</v>
      </c>
      <c r="C561" s="6" t="s">
        <v>18</v>
      </c>
      <c r="D561" s="6" t="s">
        <v>36</v>
      </c>
      <c r="E561" s="7" t="s">
        <v>1290</v>
      </c>
      <c r="F561" s="8" t="s">
        <v>1291</v>
      </c>
      <c r="G561" s="13" t="s">
        <v>117</v>
      </c>
    </row>
    <row r="562" spans="1:7" x14ac:dyDescent="0.25">
      <c r="A562" s="12" t="s">
        <v>1904</v>
      </c>
      <c r="B562" s="6" t="s">
        <v>364</v>
      </c>
      <c r="C562" s="6" t="s">
        <v>52</v>
      </c>
      <c r="D562" s="6" t="s">
        <v>123</v>
      </c>
      <c r="E562" s="7" t="s">
        <v>1292</v>
      </c>
      <c r="F562" s="8" t="s">
        <v>1293</v>
      </c>
      <c r="G562" s="13" t="s">
        <v>190</v>
      </c>
    </row>
    <row r="563" spans="1:7" x14ac:dyDescent="0.25">
      <c r="A563" s="12" t="s">
        <v>1905</v>
      </c>
      <c r="B563" s="6" t="s">
        <v>576</v>
      </c>
      <c r="C563" s="6" t="s">
        <v>63</v>
      </c>
      <c r="D563" s="6" t="s">
        <v>78</v>
      </c>
      <c r="E563" s="7" t="s">
        <v>1294</v>
      </c>
      <c r="F563" s="8" t="s">
        <v>1295</v>
      </c>
      <c r="G563" s="13" t="s">
        <v>233</v>
      </c>
    </row>
    <row r="564" spans="1:7" x14ac:dyDescent="0.25">
      <c r="A564" s="12" t="s">
        <v>1906</v>
      </c>
      <c r="B564" s="6" t="s">
        <v>407</v>
      </c>
      <c r="C564" s="6" t="s">
        <v>179</v>
      </c>
      <c r="D564" s="6" t="s">
        <v>19</v>
      </c>
      <c r="E564" s="7" t="s">
        <v>1296</v>
      </c>
      <c r="F564" s="8" t="s">
        <v>1297</v>
      </c>
      <c r="G564" s="13" t="s">
        <v>190</v>
      </c>
    </row>
    <row r="565" spans="1:7" x14ac:dyDescent="0.25">
      <c r="A565" s="12" t="s">
        <v>1907</v>
      </c>
      <c r="B565" s="6" t="s">
        <v>12</v>
      </c>
      <c r="C565" s="6" t="s">
        <v>13</v>
      </c>
      <c r="D565" s="6" t="s">
        <v>58</v>
      </c>
      <c r="E565" s="7" t="s">
        <v>1298</v>
      </c>
      <c r="F565" s="8" t="s">
        <v>1299</v>
      </c>
      <c r="G565" s="13" t="s">
        <v>168</v>
      </c>
    </row>
    <row r="566" spans="1:7" x14ac:dyDescent="0.25">
      <c r="A566" s="12" t="s">
        <v>1908</v>
      </c>
      <c r="B566" s="6" t="s">
        <v>214</v>
      </c>
      <c r="C566" s="6" t="s">
        <v>164</v>
      </c>
      <c r="D566" s="6" t="s">
        <v>36</v>
      </c>
      <c r="E566" s="7" t="s">
        <v>1300</v>
      </c>
      <c r="F566" s="8" t="s">
        <v>1301</v>
      </c>
      <c r="G566" s="13" t="s">
        <v>72</v>
      </c>
    </row>
    <row r="567" spans="1:7" x14ac:dyDescent="0.25">
      <c r="A567" s="12" t="s">
        <v>1909</v>
      </c>
      <c r="B567" s="6" t="s">
        <v>650</v>
      </c>
      <c r="C567" s="6" t="s">
        <v>32</v>
      </c>
      <c r="D567" s="6" t="s">
        <v>23</v>
      </c>
      <c r="E567" s="7" t="s">
        <v>1302</v>
      </c>
      <c r="F567" s="8" t="s">
        <v>1303</v>
      </c>
      <c r="G567" s="13" t="s">
        <v>239</v>
      </c>
    </row>
    <row r="568" spans="1:7" x14ac:dyDescent="0.25">
      <c r="A568" s="12" t="s">
        <v>1910</v>
      </c>
      <c r="B568" s="6" t="s">
        <v>364</v>
      </c>
      <c r="C568" s="6" t="s">
        <v>52</v>
      </c>
      <c r="D568" s="6" t="s">
        <v>19</v>
      </c>
      <c r="E568" s="7" t="s">
        <v>1304</v>
      </c>
      <c r="F568" s="8" t="s">
        <v>1305</v>
      </c>
      <c r="G568" s="13" t="s">
        <v>205</v>
      </c>
    </row>
    <row r="569" spans="1:7" x14ac:dyDescent="0.25">
      <c r="A569" s="12" t="s">
        <v>1911</v>
      </c>
      <c r="B569" s="6" t="s">
        <v>650</v>
      </c>
      <c r="C569" s="6" t="s">
        <v>32</v>
      </c>
      <c r="D569" s="6" t="s">
        <v>23</v>
      </c>
      <c r="E569" s="7" t="s">
        <v>1306</v>
      </c>
      <c r="F569" s="8" t="s">
        <v>1307</v>
      </c>
      <c r="G569" s="13" t="s">
        <v>94</v>
      </c>
    </row>
    <row r="570" spans="1:7" x14ac:dyDescent="0.25">
      <c r="A570" s="12" t="s">
        <v>1912</v>
      </c>
      <c r="B570" s="6" t="s">
        <v>26</v>
      </c>
      <c r="C570" s="6" t="s">
        <v>27</v>
      </c>
      <c r="D570" s="6" t="s">
        <v>101</v>
      </c>
      <c r="E570" s="7" t="s">
        <v>1308</v>
      </c>
      <c r="F570" s="8" t="s">
        <v>1309</v>
      </c>
      <c r="G570" s="13" t="s">
        <v>226</v>
      </c>
    </row>
    <row r="571" spans="1:7" x14ac:dyDescent="0.25">
      <c r="A571" s="12" t="s">
        <v>1913</v>
      </c>
      <c r="B571" s="6" t="s">
        <v>518</v>
      </c>
      <c r="C571" s="6" t="s">
        <v>164</v>
      </c>
      <c r="D571" s="6" t="s">
        <v>28</v>
      </c>
      <c r="E571" s="7" t="s">
        <v>1310</v>
      </c>
      <c r="F571" s="8" t="s">
        <v>1311</v>
      </c>
      <c r="G571" s="13" t="s">
        <v>196</v>
      </c>
    </row>
    <row r="572" spans="1:7" x14ac:dyDescent="0.25">
      <c r="A572" s="12" t="s">
        <v>1914</v>
      </c>
      <c r="B572" s="6" t="s">
        <v>51</v>
      </c>
      <c r="C572" s="6" t="s">
        <v>52</v>
      </c>
      <c r="D572" s="6" t="s">
        <v>53</v>
      </c>
      <c r="E572" s="7" t="s">
        <v>1312</v>
      </c>
      <c r="F572" s="8" t="s">
        <v>1313</v>
      </c>
      <c r="G572" s="13" t="s">
        <v>16</v>
      </c>
    </row>
    <row r="573" spans="1:7" x14ac:dyDescent="0.25">
      <c r="A573" s="12" t="s">
        <v>1915</v>
      </c>
      <c r="B573" s="6" t="s">
        <v>263</v>
      </c>
      <c r="C573" s="6" t="s">
        <v>8</v>
      </c>
      <c r="D573" s="6" t="s">
        <v>9</v>
      </c>
      <c r="E573" s="7" t="s">
        <v>1314</v>
      </c>
      <c r="F573" s="8" t="s">
        <v>1315</v>
      </c>
      <c r="G573" s="13" t="s">
        <v>94</v>
      </c>
    </row>
    <row r="574" spans="1:7" x14ac:dyDescent="0.25">
      <c r="A574" s="12" t="s">
        <v>1916</v>
      </c>
      <c r="B574" s="6" t="s">
        <v>468</v>
      </c>
      <c r="C574" s="6" t="s">
        <v>32</v>
      </c>
      <c r="D574" s="6" t="s">
        <v>14</v>
      </c>
      <c r="E574" s="7" t="s">
        <v>1316</v>
      </c>
      <c r="F574" s="8" t="s">
        <v>1317</v>
      </c>
      <c r="G574" s="13" t="s">
        <v>46</v>
      </c>
    </row>
    <row r="575" spans="1:7" x14ac:dyDescent="0.25">
      <c r="A575" s="12" t="s">
        <v>1917</v>
      </c>
      <c r="B575" s="6" t="s">
        <v>841</v>
      </c>
      <c r="C575" s="6" t="s">
        <v>63</v>
      </c>
      <c r="D575" s="6" t="s">
        <v>123</v>
      </c>
      <c r="E575" s="7" t="s">
        <v>1318</v>
      </c>
      <c r="F575" s="8" t="s">
        <v>1319</v>
      </c>
      <c r="G575" s="13" t="s">
        <v>227</v>
      </c>
    </row>
    <row r="576" spans="1:7" x14ac:dyDescent="0.25">
      <c r="A576" s="12" t="s">
        <v>1918</v>
      </c>
      <c r="B576" s="6" t="s">
        <v>35</v>
      </c>
      <c r="C576" s="6" t="s">
        <v>13</v>
      </c>
      <c r="D576" s="6" t="s">
        <v>19</v>
      </c>
      <c r="E576" s="7">
        <v>1166.22</v>
      </c>
      <c r="F576" s="8" t="s">
        <v>1320</v>
      </c>
      <c r="G576" s="13" t="s">
        <v>77</v>
      </c>
    </row>
    <row r="577" spans="1:7" x14ac:dyDescent="0.25">
      <c r="A577" s="12" t="s">
        <v>1919</v>
      </c>
      <c r="B577" s="6" t="s">
        <v>35</v>
      </c>
      <c r="C577" s="6" t="s">
        <v>13</v>
      </c>
      <c r="D577" s="6" t="s">
        <v>36</v>
      </c>
      <c r="E577" s="7">
        <v>1075.3399999999999</v>
      </c>
      <c r="F577" s="8" t="s">
        <v>1321</v>
      </c>
      <c r="G577" s="13" t="s">
        <v>205</v>
      </c>
    </row>
    <row r="578" spans="1:7" x14ac:dyDescent="0.25">
      <c r="A578" s="12" t="s">
        <v>1920</v>
      </c>
      <c r="B578" s="6" t="s">
        <v>41</v>
      </c>
      <c r="C578" s="6" t="s">
        <v>42</v>
      </c>
      <c r="D578" s="6" t="s">
        <v>101</v>
      </c>
      <c r="E578" s="7">
        <v>1178.28</v>
      </c>
      <c r="F578" s="8" t="s">
        <v>1322</v>
      </c>
      <c r="G578" s="13" t="s">
        <v>168</v>
      </c>
    </row>
    <row r="579" spans="1:7" x14ac:dyDescent="0.25">
      <c r="A579" s="12" t="s">
        <v>1921</v>
      </c>
      <c r="B579" s="6" t="s">
        <v>100</v>
      </c>
      <c r="C579" s="6" t="s">
        <v>52</v>
      </c>
      <c r="D579" s="6" t="s">
        <v>78</v>
      </c>
      <c r="E579" s="7">
        <v>258.25</v>
      </c>
      <c r="F579" s="8" t="s">
        <v>1323</v>
      </c>
      <c r="G579" s="13" t="s">
        <v>94</v>
      </c>
    </row>
    <row r="580" spans="1:7" x14ac:dyDescent="0.25">
      <c r="A580" s="12" t="s">
        <v>1922</v>
      </c>
      <c r="B580" s="6" t="s">
        <v>241</v>
      </c>
      <c r="C580" s="6" t="s">
        <v>27</v>
      </c>
      <c r="D580" s="6" t="s">
        <v>19</v>
      </c>
      <c r="E580" s="7">
        <v>365.18</v>
      </c>
      <c r="F580" s="8" t="s">
        <v>1324</v>
      </c>
      <c r="G580" s="13" t="s">
        <v>129</v>
      </c>
    </row>
    <row r="581" spans="1:7" x14ac:dyDescent="0.25">
      <c r="A581" s="12" t="s">
        <v>1923</v>
      </c>
      <c r="B581" s="6" t="s">
        <v>12</v>
      </c>
      <c r="C581" s="6" t="s">
        <v>13</v>
      </c>
      <c r="D581" s="6" t="s">
        <v>78</v>
      </c>
      <c r="E581" s="7">
        <v>1023.55</v>
      </c>
      <c r="F581" s="8" t="s">
        <v>1325</v>
      </c>
      <c r="G581" s="13" t="s">
        <v>34</v>
      </c>
    </row>
    <row r="582" spans="1:7" x14ac:dyDescent="0.25">
      <c r="A582" s="12" t="s">
        <v>1924</v>
      </c>
      <c r="B582" s="6" t="s">
        <v>70</v>
      </c>
      <c r="C582" s="6" t="s">
        <v>32</v>
      </c>
      <c r="D582" s="6" t="s">
        <v>14</v>
      </c>
      <c r="E582" s="7">
        <v>1307.17</v>
      </c>
      <c r="F582" s="8">
        <v>1515.58</v>
      </c>
      <c r="G582" s="13" t="s">
        <v>109</v>
      </c>
    </row>
    <row r="583" spans="1:7" x14ac:dyDescent="0.25">
      <c r="A583" s="12" t="s">
        <v>1925</v>
      </c>
      <c r="B583" s="6" t="s">
        <v>650</v>
      </c>
      <c r="C583" s="6" t="s">
        <v>32</v>
      </c>
      <c r="D583" s="6" t="s">
        <v>9</v>
      </c>
      <c r="E583" s="7">
        <v>1965.61</v>
      </c>
      <c r="F583" s="8" t="s">
        <v>1326</v>
      </c>
      <c r="G583" s="13" t="s">
        <v>167</v>
      </c>
    </row>
    <row r="584" spans="1:7" x14ac:dyDescent="0.25">
      <c r="A584" s="12" t="s">
        <v>1926</v>
      </c>
      <c r="B584" s="6" t="s">
        <v>241</v>
      </c>
      <c r="C584" s="6" t="s">
        <v>27</v>
      </c>
      <c r="D584" s="6" t="s">
        <v>58</v>
      </c>
      <c r="E584" s="7">
        <v>38.08</v>
      </c>
      <c r="F584" s="8" t="s">
        <v>1327</v>
      </c>
      <c r="G584" s="13" t="s">
        <v>292</v>
      </c>
    </row>
    <row r="585" spans="1:7" x14ac:dyDescent="0.25">
      <c r="A585" s="12" t="s">
        <v>1927</v>
      </c>
      <c r="B585" s="6" t="s">
        <v>255</v>
      </c>
      <c r="C585" s="6" t="s">
        <v>164</v>
      </c>
      <c r="D585" s="6" t="s">
        <v>9</v>
      </c>
      <c r="E585" s="7">
        <v>886.72</v>
      </c>
      <c r="F585" s="8" t="s">
        <v>1328</v>
      </c>
      <c r="G585" s="13" t="s">
        <v>208</v>
      </c>
    </row>
    <row r="586" spans="1:7" x14ac:dyDescent="0.25">
      <c r="A586" s="12" t="s">
        <v>1928</v>
      </c>
      <c r="B586" s="6" t="s">
        <v>35</v>
      </c>
      <c r="C586" s="6" t="s">
        <v>13</v>
      </c>
      <c r="D586" s="6" t="s">
        <v>91</v>
      </c>
      <c r="E586" s="7">
        <v>1869.43</v>
      </c>
      <c r="F586" s="8" t="s">
        <v>1329</v>
      </c>
      <c r="G586" s="13" t="s">
        <v>217</v>
      </c>
    </row>
    <row r="587" spans="1:7" x14ac:dyDescent="0.25">
      <c r="A587" s="12" t="s">
        <v>1929</v>
      </c>
      <c r="B587" s="6" t="s">
        <v>41</v>
      </c>
      <c r="C587" s="6" t="s">
        <v>42</v>
      </c>
      <c r="D587" s="6" t="s">
        <v>14</v>
      </c>
      <c r="E587" s="7">
        <v>731.57</v>
      </c>
      <c r="F587" s="8" t="s">
        <v>1330</v>
      </c>
      <c r="G587" s="13" t="s">
        <v>233</v>
      </c>
    </row>
    <row r="588" spans="1:7" x14ac:dyDescent="0.25">
      <c r="A588" s="12" t="s">
        <v>1930</v>
      </c>
      <c r="B588" s="6" t="s">
        <v>57</v>
      </c>
      <c r="C588" s="6" t="s">
        <v>42</v>
      </c>
      <c r="D588" s="6" t="s">
        <v>19</v>
      </c>
      <c r="E588" s="7">
        <v>101.13</v>
      </c>
      <c r="F588" s="8" t="s">
        <v>1331</v>
      </c>
      <c r="G588" s="13" t="s">
        <v>292</v>
      </c>
    </row>
    <row r="589" spans="1:7" x14ac:dyDescent="0.25">
      <c r="A589" s="12" t="s">
        <v>1931</v>
      </c>
      <c r="B589" s="6" t="s">
        <v>468</v>
      </c>
      <c r="C589" s="6" t="s">
        <v>32</v>
      </c>
      <c r="D589" s="6" t="s">
        <v>91</v>
      </c>
      <c r="E589" s="7">
        <v>1488.15</v>
      </c>
      <c r="F589" s="8" t="s">
        <v>1332</v>
      </c>
      <c r="G589" s="13" t="s">
        <v>261</v>
      </c>
    </row>
    <row r="590" spans="1:7" x14ac:dyDescent="0.25">
      <c r="A590" s="12" t="s">
        <v>1932</v>
      </c>
      <c r="B590" s="6" t="s">
        <v>12</v>
      </c>
      <c r="C590" s="6" t="s">
        <v>13</v>
      </c>
      <c r="D590" s="6" t="s">
        <v>9</v>
      </c>
      <c r="E590" s="7">
        <v>1035.5899999999999</v>
      </c>
      <c r="F590" s="8" t="s">
        <v>1333</v>
      </c>
      <c r="G590" s="13" t="s">
        <v>289</v>
      </c>
    </row>
    <row r="591" spans="1:7" x14ac:dyDescent="0.25">
      <c r="A591" s="12" t="s">
        <v>1933</v>
      </c>
      <c r="B591" s="6" t="s">
        <v>214</v>
      </c>
      <c r="C591" s="6" t="s">
        <v>164</v>
      </c>
      <c r="D591" s="6" t="s">
        <v>53</v>
      </c>
      <c r="E591" s="7">
        <v>175.51</v>
      </c>
      <c r="F591" s="8" t="s">
        <v>1334</v>
      </c>
      <c r="G591" s="13" t="s">
        <v>261</v>
      </c>
    </row>
    <row r="592" spans="1:7" x14ac:dyDescent="0.25">
      <c r="A592" s="12" t="s">
        <v>1934</v>
      </c>
      <c r="B592" s="6" t="s">
        <v>349</v>
      </c>
      <c r="C592" s="6" t="s">
        <v>179</v>
      </c>
      <c r="D592" s="6" t="s">
        <v>36</v>
      </c>
      <c r="E592" s="7">
        <v>363.59</v>
      </c>
      <c r="F592" s="8" t="s">
        <v>1335</v>
      </c>
      <c r="G592" s="13" t="s">
        <v>204</v>
      </c>
    </row>
    <row r="593" spans="1:7" x14ac:dyDescent="0.25">
      <c r="A593" s="12" t="s">
        <v>1935</v>
      </c>
      <c r="B593" s="6" t="s">
        <v>22</v>
      </c>
      <c r="C593" s="6" t="s">
        <v>8</v>
      </c>
      <c r="D593" s="6" t="s">
        <v>91</v>
      </c>
      <c r="E593" s="7">
        <v>1507.31</v>
      </c>
      <c r="F593" s="8" t="s">
        <v>1336</v>
      </c>
      <c r="G593" s="13" t="s">
        <v>49</v>
      </c>
    </row>
    <row r="594" spans="1:7" x14ac:dyDescent="0.25">
      <c r="A594" s="12" t="s">
        <v>1936</v>
      </c>
      <c r="B594" s="6" t="s">
        <v>385</v>
      </c>
      <c r="C594" s="6" t="s">
        <v>32</v>
      </c>
      <c r="D594" s="6" t="s">
        <v>19</v>
      </c>
      <c r="E594" s="7">
        <v>88.33</v>
      </c>
      <c r="F594" s="8" t="s">
        <v>1337</v>
      </c>
      <c r="G594" s="13" t="s">
        <v>322</v>
      </c>
    </row>
    <row r="595" spans="1:7" x14ac:dyDescent="0.25">
      <c r="A595" s="12" t="s">
        <v>1937</v>
      </c>
      <c r="B595" s="6" t="s">
        <v>12</v>
      </c>
      <c r="C595" s="6" t="s">
        <v>13</v>
      </c>
      <c r="D595" s="6" t="s">
        <v>9</v>
      </c>
      <c r="E595" s="7">
        <v>1914.41</v>
      </c>
      <c r="F595" s="8" t="s">
        <v>1338</v>
      </c>
      <c r="G595" s="13" t="s">
        <v>196</v>
      </c>
    </row>
    <row r="596" spans="1:7" x14ac:dyDescent="0.25">
      <c r="A596" s="12" t="s">
        <v>1938</v>
      </c>
      <c r="B596" s="6" t="s">
        <v>1231</v>
      </c>
      <c r="C596" s="6" t="s">
        <v>18</v>
      </c>
      <c r="D596" s="6" t="s">
        <v>28</v>
      </c>
      <c r="E596" s="7">
        <v>994.98</v>
      </c>
      <c r="F596" s="8" t="s">
        <v>1339</v>
      </c>
      <c r="G596" s="13" t="s">
        <v>319</v>
      </c>
    </row>
    <row r="597" spans="1:7" x14ac:dyDescent="0.25">
      <c r="A597" s="12" t="s">
        <v>1939</v>
      </c>
      <c r="B597" s="6" t="s">
        <v>349</v>
      </c>
      <c r="C597" s="6" t="s">
        <v>179</v>
      </c>
      <c r="D597" s="6" t="s">
        <v>91</v>
      </c>
      <c r="E597" s="7">
        <v>1251.8499999999999</v>
      </c>
      <c r="F597" s="8" t="s">
        <v>1340</v>
      </c>
      <c r="G597" s="13" t="s">
        <v>249</v>
      </c>
    </row>
    <row r="598" spans="1:7" x14ac:dyDescent="0.25">
      <c r="A598" s="12" t="s">
        <v>1940</v>
      </c>
      <c r="B598" s="6" t="s">
        <v>576</v>
      </c>
      <c r="C598" s="6" t="s">
        <v>63</v>
      </c>
      <c r="D598" s="6" t="s">
        <v>19</v>
      </c>
      <c r="E598" s="7">
        <v>70.33</v>
      </c>
      <c r="F598" s="8" t="s">
        <v>713</v>
      </c>
      <c r="G598" s="13" t="s">
        <v>121</v>
      </c>
    </row>
    <row r="599" spans="1:7" x14ac:dyDescent="0.25">
      <c r="A599" s="12" t="s">
        <v>1941</v>
      </c>
      <c r="B599" s="6" t="s">
        <v>157</v>
      </c>
      <c r="C599" s="6" t="s">
        <v>27</v>
      </c>
      <c r="D599" s="6" t="s">
        <v>53</v>
      </c>
      <c r="E599" s="7">
        <v>1132.94</v>
      </c>
      <c r="F599" s="8" t="s">
        <v>1341</v>
      </c>
      <c r="G599" s="13" t="s">
        <v>34</v>
      </c>
    </row>
    <row r="600" spans="1:7" x14ac:dyDescent="0.25">
      <c r="A600" s="12" t="s">
        <v>1942</v>
      </c>
      <c r="B600" s="6" t="s">
        <v>563</v>
      </c>
      <c r="C600" s="6" t="s">
        <v>52</v>
      </c>
      <c r="D600" s="6" t="s">
        <v>53</v>
      </c>
      <c r="E600" s="7">
        <v>1028.8599999999999</v>
      </c>
      <c r="F600" s="8" t="s">
        <v>1342</v>
      </c>
      <c r="G600" s="13" t="s">
        <v>308</v>
      </c>
    </row>
    <row r="601" spans="1:7" x14ac:dyDescent="0.25">
      <c r="A601" s="14" t="s">
        <v>1943</v>
      </c>
      <c r="B601" s="15" t="s">
        <v>157</v>
      </c>
      <c r="C601" s="15" t="s">
        <v>27</v>
      </c>
      <c r="D601" s="15" t="s">
        <v>19</v>
      </c>
      <c r="E601" s="16">
        <v>1680.72</v>
      </c>
      <c r="F601" s="17" t="s">
        <v>1343</v>
      </c>
      <c r="G601" s="18" t="s">
        <v>211</v>
      </c>
    </row>
  </sheetData>
  <pageMargins left="0.7" right="0.7" top="0.75" bottom="0.75" header="0.3" footer="0.3"/>
  <ignoredErrors>
    <ignoredError sqref="F2:G601 E18:E600"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31E7-CB2D-429B-AD9B-415616668CCE}">
  <dimension ref="A1:E601"/>
  <sheetViews>
    <sheetView workbookViewId="0">
      <selection activeCell="E2" sqref="E2"/>
    </sheetView>
  </sheetViews>
  <sheetFormatPr defaultRowHeight="10.5" x14ac:dyDescent="0.25"/>
  <cols>
    <col min="1" max="1" width="8.7265625" style="5"/>
    <col min="2" max="2" width="18.81640625" style="5" bestFit="1" customWidth="1"/>
    <col min="3" max="3" width="11.453125" style="5" bestFit="1" customWidth="1"/>
    <col min="4" max="4" width="11.453125" style="5" customWidth="1"/>
    <col min="5" max="5" width="11.453125" style="5" bestFit="1" customWidth="1"/>
    <col min="6" max="6" width="13.08984375" style="5" bestFit="1" customWidth="1"/>
    <col min="7" max="16384" width="8.7265625" style="5"/>
  </cols>
  <sheetData>
    <row r="1" spans="1:5" s="2" customFormat="1" x14ac:dyDescent="0.25">
      <c r="A1" s="28" t="s">
        <v>0</v>
      </c>
      <c r="B1" s="29" t="s">
        <v>3157</v>
      </c>
      <c r="C1" s="29" t="s">
        <v>2</v>
      </c>
      <c r="D1" s="29" t="s">
        <v>3</v>
      </c>
      <c r="E1" s="30" t="s">
        <v>3156</v>
      </c>
    </row>
    <row r="2" spans="1:5" x14ac:dyDescent="0.25">
      <c r="A2" s="24" t="s">
        <v>1344</v>
      </c>
      <c r="B2" s="6" t="s">
        <v>7</v>
      </c>
      <c r="C2" s="6" t="s">
        <v>8</v>
      </c>
      <c r="D2" s="6" t="s">
        <v>9</v>
      </c>
      <c r="E2" s="25">
        <f>'Inventory master'!G2*2*7.5</f>
        <v>540</v>
      </c>
    </row>
    <row r="3" spans="1:5" x14ac:dyDescent="0.25">
      <c r="A3" s="24" t="s">
        <v>1345</v>
      </c>
      <c r="B3" s="6" t="s">
        <v>12</v>
      </c>
      <c r="C3" s="6" t="s">
        <v>13</v>
      </c>
      <c r="D3" s="6" t="s">
        <v>14</v>
      </c>
      <c r="E3" s="25">
        <f>'Inventory master'!G3*2*7.5</f>
        <v>720</v>
      </c>
    </row>
    <row r="4" spans="1:5" x14ac:dyDescent="0.25">
      <c r="A4" s="24" t="s">
        <v>1346</v>
      </c>
      <c r="B4" s="6" t="s">
        <v>17</v>
      </c>
      <c r="C4" s="6" t="s">
        <v>18</v>
      </c>
      <c r="D4" s="6" t="s">
        <v>19</v>
      </c>
      <c r="E4" s="25">
        <f>'Inventory master'!G4*2*7.5</f>
        <v>1320</v>
      </c>
    </row>
    <row r="5" spans="1:5" x14ac:dyDescent="0.25">
      <c r="A5" s="24" t="s">
        <v>1347</v>
      </c>
      <c r="B5" s="6" t="s">
        <v>22</v>
      </c>
      <c r="C5" s="6" t="s">
        <v>8</v>
      </c>
      <c r="D5" s="6" t="s">
        <v>23</v>
      </c>
      <c r="E5" s="25">
        <f>'Inventory master'!G5*2*7.5</f>
        <v>735</v>
      </c>
    </row>
    <row r="6" spans="1:5" x14ac:dyDescent="0.25">
      <c r="A6" s="24" t="s">
        <v>1348</v>
      </c>
      <c r="B6" s="6" t="s">
        <v>26</v>
      </c>
      <c r="C6" s="6" t="s">
        <v>27</v>
      </c>
      <c r="D6" s="6" t="s">
        <v>28</v>
      </c>
      <c r="E6" s="25">
        <f>'Inventory master'!G6*2*7.5</f>
        <v>1215</v>
      </c>
    </row>
    <row r="7" spans="1:5" x14ac:dyDescent="0.25">
      <c r="A7" s="24" t="s">
        <v>1349</v>
      </c>
      <c r="B7" s="6" t="s">
        <v>31</v>
      </c>
      <c r="C7" s="6" t="s">
        <v>32</v>
      </c>
      <c r="D7" s="6" t="s">
        <v>28</v>
      </c>
      <c r="E7" s="25">
        <f>'Inventory master'!G7*2*7.5</f>
        <v>1395</v>
      </c>
    </row>
    <row r="8" spans="1:5" x14ac:dyDescent="0.25">
      <c r="A8" s="24" t="s">
        <v>1350</v>
      </c>
      <c r="B8" s="6" t="s">
        <v>35</v>
      </c>
      <c r="C8" s="6" t="s">
        <v>13</v>
      </c>
      <c r="D8" s="6" t="s">
        <v>36</v>
      </c>
      <c r="E8" s="25">
        <f>'Inventory master'!G8*2*7.5</f>
        <v>780</v>
      </c>
    </row>
    <row r="9" spans="1:5" x14ac:dyDescent="0.25">
      <c r="A9" s="24" t="s">
        <v>1351</v>
      </c>
      <c r="B9" s="6" t="s">
        <v>12</v>
      </c>
      <c r="C9" s="6" t="s">
        <v>13</v>
      </c>
      <c r="D9" s="6" t="s">
        <v>14</v>
      </c>
      <c r="E9" s="25">
        <f>'Inventory master'!G9*2*7.5</f>
        <v>810</v>
      </c>
    </row>
    <row r="10" spans="1:5" x14ac:dyDescent="0.25">
      <c r="A10" s="24" t="s">
        <v>1352</v>
      </c>
      <c r="B10" s="6" t="s">
        <v>41</v>
      </c>
      <c r="C10" s="6" t="s">
        <v>42</v>
      </c>
      <c r="D10" s="6" t="s">
        <v>14</v>
      </c>
      <c r="E10" s="25">
        <f>'Inventory master'!G10*2*7.5</f>
        <v>645</v>
      </c>
    </row>
    <row r="11" spans="1:5" x14ac:dyDescent="0.25">
      <c r="A11" s="24" t="s">
        <v>1353</v>
      </c>
      <c r="B11" s="6" t="s">
        <v>47</v>
      </c>
      <c r="C11" s="6" t="s">
        <v>42</v>
      </c>
      <c r="D11" s="6" t="s">
        <v>23</v>
      </c>
      <c r="E11" s="25">
        <f>'Inventory master'!G11*2*7.5</f>
        <v>1185</v>
      </c>
    </row>
    <row r="12" spans="1:5" x14ac:dyDescent="0.25">
      <c r="A12" s="24" t="s">
        <v>1354</v>
      </c>
      <c r="B12" s="6" t="s">
        <v>51</v>
      </c>
      <c r="C12" s="6" t="s">
        <v>52</v>
      </c>
      <c r="D12" s="6" t="s">
        <v>53</v>
      </c>
      <c r="E12" s="25">
        <f>'Inventory master'!G12*2*7.5</f>
        <v>960</v>
      </c>
    </row>
    <row r="13" spans="1:5" x14ac:dyDescent="0.25">
      <c r="A13" s="24" t="s">
        <v>1355</v>
      </c>
      <c r="B13" s="6" t="s">
        <v>57</v>
      </c>
      <c r="C13" s="6" t="s">
        <v>42</v>
      </c>
      <c r="D13" s="6" t="s">
        <v>58</v>
      </c>
      <c r="E13" s="25">
        <f>'Inventory master'!G13*2*7.5</f>
        <v>585</v>
      </c>
    </row>
    <row r="14" spans="1:5" x14ac:dyDescent="0.25">
      <c r="A14" s="24" t="s">
        <v>1356</v>
      </c>
      <c r="B14" s="6" t="s">
        <v>62</v>
      </c>
      <c r="C14" s="6" t="s">
        <v>63</v>
      </c>
      <c r="D14" s="6" t="s">
        <v>36</v>
      </c>
      <c r="E14" s="25">
        <f>'Inventory master'!G14*2*7.5</f>
        <v>1260</v>
      </c>
    </row>
    <row r="15" spans="1:5" x14ac:dyDescent="0.25">
      <c r="A15" s="24" t="s">
        <v>1357</v>
      </c>
      <c r="B15" s="6" t="s">
        <v>7</v>
      </c>
      <c r="C15" s="6" t="s">
        <v>8</v>
      </c>
      <c r="D15" s="6" t="s">
        <v>53</v>
      </c>
      <c r="E15" s="25">
        <f>'Inventory master'!G15*2*7.5</f>
        <v>450</v>
      </c>
    </row>
    <row r="16" spans="1:5" x14ac:dyDescent="0.25">
      <c r="A16" s="24" t="s">
        <v>1358</v>
      </c>
      <c r="B16" s="6" t="s">
        <v>70</v>
      </c>
      <c r="C16" s="6" t="s">
        <v>32</v>
      </c>
      <c r="D16" s="6" t="s">
        <v>19</v>
      </c>
      <c r="E16" s="25">
        <f>'Inventory master'!G16*2*7.5</f>
        <v>1245</v>
      </c>
    </row>
    <row r="17" spans="1:5" x14ac:dyDescent="0.25">
      <c r="A17" s="24" t="s">
        <v>1359</v>
      </c>
      <c r="B17" s="6" t="s">
        <v>74</v>
      </c>
      <c r="C17" s="6" t="s">
        <v>8</v>
      </c>
      <c r="D17" s="6" t="s">
        <v>19</v>
      </c>
      <c r="E17" s="25">
        <f>'Inventory master'!G17*2*7.5</f>
        <v>825</v>
      </c>
    </row>
    <row r="18" spans="1:5" x14ac:dyDescent="0.25">
      <c r="A18" s="24" t="s">
        <v>1360</v>
      </c>
      <c r="B18" s="6" t="s">
        <v>12</v>
      </c>
      <c r="C18" s="6" t="s">
        <v>13</v>
      </c>
      <c r="D18" s="6" t="s">
        <v>78</v>
      </c>
      <c r="E18" s="25">
        <f>'Inventory master'!G18*2*7.5</f>
        <v>210</v>
      </c>
    </row>
    <row r="19" spans="1:5" x14ac:dyDescent="0.25">
      <c r="A19" s="24" t="s">
        <v>1361</v>
      </c>
      <c r="B19" s="6" t="s">
        <v>82</v>
      </c>
      <c r="C19" s="6" t="s">
        <v>63</v>
      </c>
      <c r="D19" s="6" t="s">
        <v>23</v>
      </c>
      <c r="E19" s="25">
        <f>'Inventory master'!G19*2*7.5</f>
        <v>675</v>
      </c>
    </row>
    <row r="20" spans="1:5" x14ac:dyDescent="0.25">
      <c r="A20" s="24" t="s">
        <v>1362</v>
      </c>
      <c r="B20" s="6" t="s">
        <v>87</v>
      </c>
      <c r="C20" s="6" t="s">
        <v>42</v>
      </c>
      <c r="D20" s="6" t="s">
        <v>78</v>
      </c>
      <c r="E20" s="25">
        <f>'Inventory master'!G20*2*7.5</f>
        <v>675</v>
      </c>
    </row>
    <row r="21" spans="1:5" x14ac:dyDescent="0.25">
      <c r="A21" s="24" t="s">
        <v>1363</v>
      </c>
      <c r="B21" s="6" t="s">
        <v>47</v>
      </c>
      <c r="C21" s="6" t="s">
        <v>42</v>
      </c>
      <c r="D21" s="6" t="s">
        <v>91</v>
      </c>
      <c r="E21" s="25">
        <f>'Inventory master'!G21*2*7.5</f>
        <v>705</v>
      </c>
    </row>
    <row r="22" spans="1:5" x14ac:dyDescent="0.25">
      <c r="A22" s="24" t="s">
        <v>1364</v>
      </c>
      <c r="B22" s="6" t="s">
        <v>35</v>
      </c>
      <c r="C22" s="6" t="s">
        <v>13</v>
      </c>
      <c r="D22" s="6" t="s">
        <v>28</v>
      </c>
      <c r="E22" s="25">
        <f>'Inventory master'!G22*2*7.5</f>
        <v>885</v>
      </c>
    </row>
    <row r="23" spans="1:5" x14ac:dyDescent="0.25">
      <c r="A23" s="24" t="s">
        <v>1365</v>
      </c>
      <c r="B23" s="6" t="s">
        <v>100</v>
      </c>
      <c r="C23" s="6" t="s">
        <v>52</v>
      </c>
      <c r="D23" s="6" t="s">
        <v>101</v>
      </c>
      <c r="E23" s="25">
        <f>'Inventory master'!G23*2*7.5</f>
        <v>750</v>
      </c>
    </row>
    <row r="24" spans="1:5" x14ac:dyDescent="0.25">
      <c r="A24" s="24" t="s">
        <v>1366</v>
      </c>
      <c r="B24" s="6" t="s">
        <v>74</v>
      </c>
      <c r="C24" s="6" t="s">
        <v>8</v>
      </c>
      <c r="D24" s="6" t="s">
        <v>36</v>
      </c>
      <c r="E24" s="25">
        <f>'Inventory master'!G24*2*7.5</f>
        <v>420</v>
      </c>
    </row>
    <row r="25" spans="1:5" x14ac:dyDescent="0.25">
      <c r="A25" s="24" t="s">
        <v>1367</v>
      </c>
      <c r="B25" s="6" t="s">
        <v>110</v>
      </c>
      <c r="C25" s="6" t="s">
        <v>8</v>
      </c>
      <c r="D25" s="6" t="s">
        <v>78</v>
      </c>
      <c r="E25" s="25">
        <f>'Inventory master'!G25*2*7.5</f>
        <v>735</v>
      </c>
    </row>
    <row r="26" spans="1:5" x14ac:dyDescent="0.25">
      <c r="A26" s="24" t="s">
        <v>1368</v>
      </c>
      <c r="B26" s="6" t="s">
        <v>41</v>
      </c>
      <c r="C26" s="6" t="s">
        <v>42</v>
      </c>
      <c r="D26" s="6" t="s">
        <v>91</v>
      </c>
      <c r="E26" s="25">
        <f>'Inventory master'!G26*2*7.5</f>
        <v>495</v>
      </c>
    </row>
    <row r="27" spans="1:5" x14ac:dyDescent="0.25">
      <c r="A27" s="24" t="s">
        <v>1369</v>
      </c>
      <c r="B27" s="6" t="s">
        <v>118</v>
      </c>
      <c r="C27" s="6" t="s">
        <v>63</v>
      </c>
      <c r="D27" s="6" t="s">
        <v>23</v>
      </c>
      <c r="E27" s="25">
        <f>'Inventory master'!G27*2*7.5</f>
        <v>240</v>
      </c>
    </row>
    <row r="28" spans="1:5" x14ac:dyDescent="0.25">
      <c r="A28" s="24" t="s">
        <v>1370</v>
      </c>
      <c r="B28" s="6" t="s">
        <v>122</v>
      </c>
      <c r="C28" s="6" t="s">
        <v>18</v>
      </c>
      <c r="D28" s="6" t="s">
        <v>123</v>
      </c>
      <c r="E28" s="25">
        <f>'Inventory master'!G28*2*7.5</f>
        <v>225</v>
      </c>
    </row>
    <row r="29" spans="1:5" x14ac:dyDescent="0.25">
      <c r="A29" s="24" t="s">
        <v>1371</v>
      </c>
      <c r="B29" s="6" t="s">
        <v>126</v>
      </c>
      <c r="C29" s="6" t="s">
        <v>63</v>
      </c>
      <c r="D29" s="6" t="s">
        <v>91</v>
      </c>
      <c r="E29" s="25">
        <f>'Inventory master'!G29*2*7.5</f>
        <v>300</v>
      </c>
    </row>
    <row r="30" spans="1:5" x14ac:dyDescent="0.25">
      <c r="A30" s="24" t="s">
        <v>1372</v>
      </c>
      <c r="B30" s="6" t="s">
        <v>57</v>
      </c>
      <c r="C30" s="6" t="s">
        <v>42</v>
      </c>
      <c r="D30" s="6" t="s">
        <v>28</v>
      </c>
      <c r="E30" s="25">
        <f>'Inventory master'!G30*2*7.5</f>
        <v>1125</v>
      </c>
    </row>
    <row r="31" spans="1:5" x14ac:dyDescent="0.25">
      <c r="A31" s="24" t="s">
        <v>1373</v>
      </c>
      <c r="B31" s="6" t="s">
        <v>133</v>
      </c>
      <c r="C31" s="6" t="s">
        <v>52</v>
      </c>
      <c r="D31" s="6" t="s">
        <v>23</v>
      </c>
      <c r="E31" s="25">
        <f>'Inventory master'!G31*2*7.5</f>
        <v>1320</v>
      </c>
    </row>
    <row r="32" spans="1:5" x14ac:dyDescent="0.25">
      <c r="A32" s="24" t="s">
        <v>1374</v>
      </c>
      <c r="B32" s="6" t="s">
        <v>22</v>
      </c>
      <c r="C32" s="6" t="s">
        <v>8</v>
      </c>
      <c r="D32" s="6" t="s">
        <v>19</v>
      </c>
      <c r="E32" s="25">
        <f>'Inventory master'!G32*2*7.5</f>
        <v>315</v>
      </c>
    </row>
    <row r="33" spans="1:5" x14ac:dyDescent="0.25">
      <c r="A33" s="24" t="s">
        <v>1375</v>
      </c>
      <c r="B33" s="6" t="s">
        <v>82</v>
      </c>
      <c r="C33" s="6" t="s">
        <v>63</v>
      </c>
      <c r="D33" s="6" t="s">
        <v>14</v>
      </c>
      <c r="E33" s="25">
        <f>'Inventory master'!G33*2*7.5</f>
        <v>195</v>
      </c>
    </row>
    <row r="34" spans="1:5" x14ac:dyDescent="0.25">
      <c r="A34" s="24" t="s">
        <v>1376</v>
      </c>
      <c r="B34" s="6" t="s">
        <v>142</v>
      </c>
      <c r="C34" s="6" t="s">
        <v>27</v>
      </c>
      <c r="D34" s="6" t="s">
        <v>28</v>
      </c>
      <c r="E34" s="25">
        <f>'Inventory master'!G34*2*7.5</f>
        <v>885</v>
      </c>
    </row>
    <row r="35" spans="1:5" x14ac:dyDescent="0.25">
      <c r="A35" s="24" t="s">
        <v>1377</v>
      </c>
      <c r="B35" s="6" t="s">
        <v>82</v>
      </c>
      <c r="C35" s="6" t="s">
        <v>63</v>
      </c>
      <c r="D35" s="6" t="s">
        <v>78</v>
      </c>
      <c r="E35" s="25">
        <f>'Inventory master'!G35*2*7.5</f>
        <v>1155</v>
      </c>
    </row>
    <row r="36" spans="1:5" x14ac:dyDescent="0.25">
      <c r="A36" s="24" t="s">
        <v>1378</v>
      </c>
      <c r="B36" s="6" t="s">
        <v>150</v>
      </c>
      <c r="C36" s="6" t="s">
        <v>32</v>
      </c>
      <c r="D36" s="6" t="s">
        <v>123</v>
      </c>
      <c r="E36" s="25">
        <f>'Inventory master'!G36*2*7.5</f>
        <v>1230</v>
      </c>
    </row>
    <row r="37" spans="1:5" x14ac:dyDescent="0.25">
      <c r="A37" s="24" t="s">
        <v>1379</v>
      </c>
      <c r="B37" s="6" t="s">
        <v>142</v>
      </c>
      <c r="C37" s="6" t="s">
        <v>27</v>
      </c>
      <c r="D37" s="6" t="s">
        <v>9</v>
      </c>
      <c r="E37" s="25">
        <f>'Inventory master'!G37*2*7.5</f>
        <v>675</v>
      </c>
    </row>
    <row r="38" spans="1:5" x14ac:dyDescent="0.25">
      <c r="A38" s="24" t="s">
        <v>1380</v>
      </c>
      <c r="B38" s="6" t="s">
        <v>157</v>
      </c>
      <c r="C38" s="6" t="s">
        <v>27</v>
      </c>
      <c r="D38" s="6" t="s">
        <v>28</v>
      </c>
      <c r="E38" s="25">
        <f>'Inventory master'!G38*2*7.5</f>
        <v>1155</v>
      </c>
    </row>
    <row r="39" spans="1:5" x14ac:dyDescent="0.25">
      <c r="A39" s="24" t="s">
        <v>1381</v>
      </c>
      <c r="B39" s="6" t="s">
        <v>110</v>
      </c>
      <c r="C39" s="6" t="s">
        <v>8</v>
      </c>
      <c r="D39" s="6" t="s">
        <v>23</v>
      </c>
      <c r="E39" s="25">
        <f>'Inventory master'!G39*2*7.5</f>
        <v>705</v>
      </c>
    </row>
    <row r="40" spans="1:5" x14ac:dyDescent="0.25">
      <c r="A40" s="24" t="s">
        <v>1382</v>
      </c>
      <c r="B40" s="6" t="s">
        <v>163</v>
      </c>
      <c r="C40" s="6" t="s">
        <v>164</v>
      </c>
      <c r="D40" s="6" t="s">
        <v>53</v>
      </c>
      <c r="E40" s="25">
        <f>'Inventory master'!G40*2*7.5</f>
        <v>1425</v>
      </c>
    </row>
    <row r="41" spans="1:5" x14ac:dyDescent="0.25">
      <c r="A41" s="24" t="s">
        <v>1383</v>
      </c>
      <c r="B41" s="6" t="s">
        <v>163</v>
      </c>
      <c r="C41" s="6" t="s">
        <v>164</v>
      </c>
      <c r="D41" s="6" t="s">
        <v>53</v>
      </c>
      <c r="E41" s="25">
        <f>'Inventory master'!G41*2*7.5</f>
        <v>1260</v>
      </c>
    </row>
    <row r="42" spans="1:5" x14ac:dyDescent="0.25">
      <c r="A42" s="24" t="s">
        <v>1384</v>
      </c>
      <c r="B42" s="6" t="s">
        <v>35</v>
      </c>
      <c r="C42" s="6" t="s">
        <v>13</v>
      </c>
      <c r="D42" s="6" t="s">
        <v>101</v>
      </c>
      <c r="E42" s="25">
        <f>'Inventory master'!G42*2*7.5</f>
        <v>1275</v>
      </c>
    </row>
    <row r="43" spans="1:5" x14ac:dyDescent="0.25">
      <c r="A43" s="24" t="s">
        <v>1385</v>
      </c>
      <c r="B43" s="6" t="s">
        <v>126</v>
      </c>
      <c r="C43" s="6" t="s">
        <v>63</v>
      </c>
      <c r="D43" s="6" t="s">
        <v>58</v>
      </c>
      <c r="E43" s="25">
        <f>'Inventory master'!G43*2*7.5</f>
        <v>705</v>
      </c>
    </row>
    <row r="44" spans="1:5" x14ac:dyDescent="0.25">
      <c r="A44" s="24" t="s">
        <v>1386</v>
      </c>
      <c r="B44" s="6" t="s">
        <v>178</v>
      </c>
      <c r="C44" s="6" t="s">
        <v>179</v>
      </c>
      <c r="D44" s="6" t="s">
        <v>14</v>
      </c>
      <c r="E44" s="25">
        <f>'Inventory master'!G44*2*7.5</f>
        <v>1065</v>
      </c>
    </row>
    <row r="45" spans="1:5" x14ac:dyDescent="0.25">
      <c r="A45" s="24" t="s">
        <v>1387</v>
      </c>
      <c r="B45" s="6" t="s">
        <v>184</v>
      </c>
      <c r="C45" s="6" t="s">
        <v>164</v>
      </c>
      <c r="D45" s="6" t="s">
        <v>9</v>
      </c>
      <c r="E45" s="25">
        <f>'Inventory master'!G45*2*7.5</f>
        <v>1155</v>
      </c>
    </row>
    <row r="46" spans="1:5" x14ac:dyDescent="0.25">
      <c r="A46" s="24" t="s">
        <v>1388</v>
      </c>
      <c r="B46" s="6" t="s">
        <v>187</v>
      </c>
      <c r="C46" s="6" t="s">
        <v>18</v>
      </c>
      <c r="D46" s="6" t="s">
        <v>78</v>
      </c>
      <c r="E46" s="25">
        <f>'Inventory master'!G46*2*7.5</f>
        <v>1140</v>
      </c>
    </row>
    <row r="47" spans="1:5" x14ac:dyDescent="0.25">
      <c r="A47" s="24" t="s">
        <v>1389</v>
      </c>
      <c r="B47" s="6" t="s">
        <v>12</v>
      </c>
      <c r="C47" s="6" t="s">
        <v>13</v>
      </c>
      <c r="D47" s="6" t="s">
        <v>23</v>
      </c>
      <c r="E47" s="25">
        <f>'Inventory master'!G47*2*7.5</f>
        <v>465</v>
      </c>
    </row>
    <row r="48" spans="1:5" x14ac:dyDescent="0.25">
      <c r="A48" s="24" t="s">
        <v>1390</v>
      </c>
      <c r="B48" s="6" t="s">
        <v>51</v>
      </c>
      <c r="C48" s="6" t="s">
        <v>52</v>
      </c>
      <c r="D48" s="6" t="s">
        <v>53</v>
      </c>
      <c r="E48" s="25">
        <f>'Inventory master'!G48*2*7.5</f>
        <v>1005</v>
      </c>
    </row>
    <row r="49" spans="1:5" x14ac:dyDescent="0.25">
      <c r="A49" s="24" t="s">
        <v>1391</v>
      </c>
      <c r="B49" s="6" t="s">
        <v>197</v>
      </c>
      <c r="C49" s="6" t="s">
        <v>18</v>
      </c>
      <c r="D49" s="6" t="s">
        <v>123</v>
      </c>
      <c r="E49" s="25">
        <f>'Inventory master'!G49*2*7.5</f>
        <v>255</v>
      </c>
    </row>
    <row r="50" spans="1:5" x14ac:dyDescent="0.25">
      <c r="A50" s="24" t="s">
        <v>1392</v>
      </c>
      <c r="B50" s="6" t="s">
        <v>35</v>
      </c>
      <c r="C50" s="6" t="s">
        <v>13</v>
      </c>
      <c r="D50" s="6" t="s">
        <v>53</v>
      </c>
      <c r="E50" s="25">
        <f>'Inventory master'!G50*2*7.5</f>
        <v>810</v>
      </c>
    </row>
    <row r="51" spans="1:5" x14ac:dyDescent="0.25">
      <c r="A51" s="24" t="s">
        <v>1393</v>
      </c>
      <c r="B51" s="6" t="s">
        <v>133</v>
      </c>
      <c r="C51" s="6" t="s">
        <v>52</v>
      </c>
      <c r="D51" s="6" t="s">
        <v>9</v>
      </c>
      <c r="E51" s="25">
        <f>'Inventory master'!G51*2*7.5</f>
        <v>990</v>
      </c>
    </row>
    <row r="52" spans="1:5" x14ac:dyDescent="0.25">
      <c r="A52" s="24" t="s">
        <v>1394</v>
      </c>
      <c r="B52" s="6" t="s">
        <v>51</v>
      </c>
      <c r="C52" s="6" t="s">
        <v>52</v>
      </c>
      <c r="D52" s="6" t="s">
        <v>53</v>
      </c>
      <c r="E52" s="25">
        <f>'Inventory master'!G52*2*7.5</f>
        <v>945</v>
      </c>
    </row>
    <row r="53" spans="1:5" x14ac:dyDescent="0.25">
      <c r="A53" s="24" t="s">
        <v>1395</v>
      </c>
      <c r="B53" s="6" t="s">
        <v>17</v>
      </c>
      <c r="C53" s="6" t="s">
        <v>18</v>
      </c>
      <c r="D53" s="6" t="s">
        <v>123</v>
      </c>
      <c r="E53" s="25">
        <f>'Inventory master'!G53*2*7.5</f>
        <v>240</v>
      </c>
    </row>
    <row r="54" spans="1:5" x14ac:dyDescent="0.25">
      <c r="A54" s="24" t="s">
        <v>1396</v>
      </c>
      <c r="B54" s="6" t="s">
        <v>22</v>
      </c>
      <c r="C54" s="6" t="s">
        <v>8</v>
      </c>
      <c r="D54" s="6" t="s">
        <v>58</v>
      </c>
      <c r="E54" s="25">
        <f>'Inventory master'!G54*2*7.5</f>
        <v>1245</v>
      </c>
    </row>
    <row r="55" spans="1:5" x14ac:dyDescent="0.25">
      <c r="A55" s="24" t="s">
        <v>1397</v>
      </c>
      <c r="B55" s="6" t="s">
        <v>214</v>
      </c>
      <c r="C55" s="6" t="s">
        <v>164</v>
      </c>
      <c r="D55" s="6" t="s">
        <v>91</v>
      </c>
      <c r="E55" s="25">
        <f>'Inventory master'!G55*2*7.5</f>
        <v>840</v>
      </c>
    </row>
    <row r="56" spans="1:5" x14ac:dyDescent="0.25">
      <c r="A56" s="24" t="s">
        <v>1398</v>
      </c>
      <c r="B56" s="6" t="s">
        <v>12</v>
      </c>
      <c r="C56" s="6" t="s">
        <v>13</v>
      </c>
      <c r="D56" s="6" t="s">
        <v>9</v>
      </c>
      <c r="E56" s="25">
        <f>'Inventory master'!G56*2*7.5</f>
        <v>1050</v>
      </c>
    </row>
    <row r="57" spans="1:5" x14ac:dyDescent="0.25">
      <c r="A57" s="24" t="s">
        <v>1399</v>
      </c>
      <c r="B57" s="6" t="s">
        <v>12</v>
      </c>
      <c r="C57" s="6" t="s">
        <v>13</v>
      </c>
      <c r="D57" s="6" t="s">
        <v>53</v>
      </c>
      <c r="E57" s="25">
        <f>'Inventory master'!G57*2*7.5</f>
        <v>165</v>
      </c>
    </row>
    <row r="58" spans="1:5" x14ac:dyDescent="0.25">
      <c r="A58" s="24" t="s">
        <v>1400</v>
      </c>
      <c r="B58" s="6" t="s">
        <v>157</v>
      </c>
      <c r="C58" s="6" t="s">
        <v>27</v>
      </c>
      <c r="D58" s="6" t="s">
        <v>91</v>
      </c>
      <c r="E58" s="25">
        <f>'Inventory master'!G58*2*7.5</f>
        <v>1410</v>
      </c>
    </row>
    <row r="59" spans="1:5" x14ac:dyDescent="0.25">
      <c r="A59" s="24" t="s">
        <v>1401</v>
      </c>
      <c r="B59" s="6" t="s">
        <v>228</v>
      </c>
      <c r="C59" s="6" t="s">
        <v>63</v>
      </c>
      <c r="D59" s="6" t="s">
        <v>14</v>
      </c>
      <c r="E59" s="25">
        <f>'Inventory master'!G59*2*7.5</f>
        <v>540</v>
      </c>
    </row>
    <row r="60" spans="1:5" x14ac:dyDescent="0.25">
      <c r="A60" s="24" t="s">
        <v>1402</v>
      </c>
      <c r="B60" s="6" t="s">
        <v>57</v>
      </c>
      <c r="C60" s="6" t="s">
        <v>42</v>
      </c>
      <c r="D60" s="6" t="s">
        <v>9</v>
      </c>
      <c r="E60" s="25">
        <f>'Inventory master'!G60*2*7.5</f>
        <v>360</v>
      </c>
    </row>
    <row r="61" spans="1:5" x14ac:dyDescent="0.25">
      <c r="A61" s="24" t="s">
        <v>1403</v>
      </c>
      <c r="B61" s="6" t="s">
        <v>214</v>
      </c>
      <c r="C61" s="6" t="s">
        <v>164</v>
      </c>
      <c r="D61" s="6" t="s">
        <v>58</v>
      </c>
      <c r="E61" s="25">
        <f>'Inventory master'!G61*2*7.5</f>
        <v>1185</v>
      </c>
    </row>
    <row r="62" spans="1:5" x14ac:dyDescent="0.25">
      <c r="A62" s="24" t="s">
        <v>1404</v>
      </c>
      <c r="B62" s="6" t="s">
        <v>17</v>
      </c>
      <c r="C62" s="6" t="s">
        <v>18</v>
      </c>
      <c r="D62" s="6" t="s">
        <v>23</v>
      </c>
      <c r="E62" s="25">
        <f>'Inventory master'!G62*2*7.5</f>
        <v>1470</v>
      </c>
    </row>
    <row r="63" spans="1:5" x14ac:dyDescent="0.25">
      <c r="A63" s="24" t="s">
        <v>1405</v>
      </c>
      <c r="B63" s="6" t="s">
        <v>241</v>
      </c>
      <c r="C63" s="6" t="s">
        <v>27</v>
      </c>
      <c r="D63" s="6" t="s">
        <v>91</v>
      </c>
      <c r="E63" s="25">
        <f>'Inventory master'!G63*2*7.5</f>
        <v>150</v>
      </c>
    </row>
    <row r="64" spans="1:5" x14ac:dyDescent="0.25">
      <c r="A64" s="24" t="s">
        <v>1406</v>
      </c>
      <c r="B64" s="6" t="s">
        <v>35</v>
      </c>
      <c r="C64" s="6" t="s">
        <v>13</v>
      </c>
      <c r="D64" s="6" t="s">
        <v>58</v>
      </c>
      <c r="E64" s="25">
        <f>'Inventory master'!G64*2*7.5</f>
        <v>780</v>
      </c>
    </row>
    <row r="65" spans="1:5" x14ac:dyDescent="0.25">
      <c r="A65" s="24" t="s">
        <v>1407</v>
      </c>
      <c r="B65" s="6" t="s">
        <v>100</v>
      </c>
      <c r="C65" s="6" t="s">
        <v>52</v>
      </c>
      <c r="D65" s="6" t="s">
        <v>58</v>
      </c>
      <c r="E65" s="25">
        <f>'Inventory master'!G65*2*7.5</f>
        <v>1440</v>
      </c>
    </row>
    <row r="66" spans="1:5" x14ac:dyDescent="0.25">
      <c r="A66" s="24" t="s">
        <v>1408</v>
      </c>
      <c r="B66" s="6" t="s">
        <v>250</v>
      </c>
      <c r="C66" s="6" t="s">
        <v>63</v>
      </c>
      <c r="D66" s="6" t="s">
        <v>14</v>
      </c>
      <c r="E66" s="25">
        <f>'Inventory master'!G66*2*7.5</f>
        <v>690</v>
      </c>
    </row>
    <row r="67" spans="1:5" x14ac:dyDescent="0.25">
      <c r="A67" s="24" t="s">
        <v>1409</v>
      </c>
      <c r="B67" s="6" t="s">
        <v>12</v>
      </c>
      <c r="C67" s="6" t="s">
        <v>13</v>
      </c>
      <c r="D67" s="6" t="s">
        <v>23</v>
      </c>
      <c r="E67" s="25">
        <f>'Inventory master'!G67*2*7.5</f>
        <v>990</v>
      </c>
    </row>
    <row r="68" spans="1:5" x14ac:dyDescent="0.25">
      <c r="A68" s="24" t="s">
        <v>1410</v>
      </c>
      <c r="B68" s="6" t="s">
        <v>255</v>
      </c>
      <c r="C68" s="6" t="s">
        <v>164</v>
      </c>
      <c r="D68" s="6" t="s">
        <v>14</v>
      </c>
      <c r="E68" s="25">
        <f>'Inventory master'!G68*2*7.5</f>
        <v>1470</v>
      </c>
    </row>
    <row r="69" spans="1:5" x14ac:dyDescent="0.25">
      <c r="A69" s="24" t="s">
        <v>1411</v>
      </c>
      <c r="B69" s="6" t="s">
        <v>7</v>
      </c>
      <c r="C69" s="6" t="s">
        <v>8</v>
      </c>
      <c r="D69" s="6" t="s">
        <v>23</v>
      </c>
      <c r="E69" s="25">
        <f>'Inventory master'!G69*2*7.5</f>
        <v>1350</v>
      </c>
    </row>
    <row r="70" spans="1:5" x14ac:dyDescent="0.25">
      <c r="A70" s="24" t="s">
        <v>1412</v>
      </c>
      <c r="B70" s="6" t="s">
        <v>263</v>
      </c>
      <c r="C70" s="6" t="s">
        <v>8</v>
      </c>
      <c r="D70" s="6" t="s">
        <v>28</v>
      </c>
      <c r="E70" s="25">
        <f>'Inventory master'!G70*2*7.5</f>
        <v>855</v>
      </c>
    </row>
    <row r="71" spans="1:5" x14ac:dyDescent="0.25">
      <c r="A71" s="24" t="s">
        <v>1413</v>
      </c>
      <c r="B71" s="6" t="s">
        <v>35</v>
      </c>
      <c r="C71" s="6" t="s">
        <v>13</v>
      </c>
      <c r="D71" s="6" t="s">
        <v>78</v>
      </c>
      <c r="E71" s="25">
        <f>'Inventory master'!G71*2*7.5</f>
        <v>780</v>
      </c>
    </row>
    <row r="72" spans="1:5" x14ac:dyDescent="0.25">
      <c r="A72" s="24" t="s">
        <v>1414</v>
      </c>
      <c r="B72" s="6" t="s">
        <v>142</v>
      </c>
      <c r="C72" s="6" t="s">
        <v>27</v>
      </c>
      <c r="D72" s="6" t="s">
        <v>53</v>
      </c>
      <c r="E72" s="25">
        <f>'Inventory master'!G72*2*7.5</f>
        <v>765</v>
      </c>
    </row>
    <row r="73" spans="1:5" x14ac:dyDescent="0.25">
      <c r="A73" s="24" t="s">
        <v>1415</v>
      </c>
      <c r="B73" s="6" t="s">
        <v>142</v>
      </c>
      <c r="C73" s="6" t="s">
        <v>27</v>
      </c>
      <c r="D73" s="6" t="s">
        <v>28</v>
      </c>
      <c r="E73" s="25">
        <f>'Inventory master'!G73*2*7.5</f>
        <v>975</v>
      </c>
    </row>
    <row r="74" spans="1:5" x14ac:dyDescent="0.25">
      <c r="A74" s="24" t="s">
        <v>1416</v>
      </c>
      <c r="B74" s="6" t="s">
        <v>274</v>
      </c>
      <c r="C74" s="6" t="s">
        <v>32</v>
      </c>
      <c r="D74" s="6" t="s">
        <v>36</v>
      </c>
      <c r="E74" s="25">
        <f>'Inventory master'!G74*2*7.5</f>
        <v>705</v>
      </c>
    </row>
    <row r="75" spans="1:5" x14ac:dyDescent="0.25">
      <c r="A75" s="24" t="s">
        <v>1417</v>
      </c>
      <c r="B75" s="6" t="s">
        <v>263</v>
      </c>
      <c r="C75" s="6" t="s">
        <v>8</v>
      </c>
      <c r="D75" s="6" t="s">
        <v>58</v>
      </c>
      <c r="E75" s="25">
        <f>'Inventory master'!G75*2*7.5</f>
        <v>795</v>
      </c>
    </row>
    <row r="76" spans="1:5" x14ac:dyDescent="0.25">
      <c r="A76" s="24" t="s">
        <v>1418</v>
      </c>
      <c r="B76" s="6" t="s">
        <v>12</v>
      </c>
      <c r="C76" s="6" t="s">
        <v>13</v>
      </c>
      <c r="D76" s="6" t="s">
        <v>19</v>
      </c>
      <c r="E76" s="25">
        <f>'Inventory master'!G76*2*7.5</f>
        <v>1080</v>
      </c>
    </row>
    <row r="77" spans="1:5" x14ac:dyDescent="0.25">
      <c r="A77" s="24" t="s">
        <v>1419</v>
      </c>
      <c r="B77" s="6" t="s">
        <v>35</v>
      </c>
      <c r="C77" s="6" t="s">
        <v>13</v>
      </c>
      <c r="D77" s="6" t="s">
        <v>91</v>
      </c>
      <c r="E77" s="25">
        <f>'Inventory master'!G77*2*7.5</f>
        <v>375</v>
      </c>
    </row>
    <row r="78" spans="1:5" x14ac:dyDescent="0.25">
      <c r="A78" s="24" t="s">
        <v>1420</v>
      </c>
      <c r="B78" s="6" t="s">
        <v>184</v>
      </c>
      <c r="C78" s="6" t="s">
        <v>164</v>
      </c>
      <c r="D78" s="6" t="s">
        <v>23</v>
      </c>
      <c r="E78" s="25">
        <f>'Inventory master'!G78*2*7.5</f>
        <v>705</v>
      </c>
    </row>
    <row r="79" spans="1:5" x14ac:dyDescent="0.25">
      <c r="A79" s="24" t="s">
        <v>1421</v>
      </c>
      <c r="B79" s="6" t="s">
        <v>110</v>
      </c>
      <c r="C79" s="6" t="s">
        <v>8</v>
      </c>
      <c r="D79" s="6" t="s">
        <v>78</v>
      </c>
      <c r="E79" s="25">
        <f>'Inventory master'!G79*2*7.5</f>
        <v>1500</v>
      </c>
    </row>
    <row r="80" spans="1:5" x14ac:dyDescent="0.25">
      <c r="A80" s="24" t="s">
        <v>1422</v>
      </c>
      <c r="B80" s="6" t="s">
        <v>133</v>
      </c>
      <c r="C80" s="6" t="s">
        <v>52</v>
      </c>
      <c r="D80" s="6" t="s">
        <v>53</v>
      </c>
      <c r="E80" s="25">
        <f>'Inventory master'!G80*2*7.5</f>
        <v>1395</v>
      </c>
    </row>
    <row r="81" spans="1:5" x14ac:dyDescent="0.25">
      <c r="A81" s="24" t="s">
        <v>1423</v>
      </c>
      <c r="B81" s="6" t="s">
        <v>126</v>
      </c>
      <c r="C81" s="6" t="s">
        <v>63</v>
      </c>
      <c r="D81" s="6" t="s">
        <v>91</v>
      </c>
      <c r="E81" s="25">
        <f>'Inventory master'!G81*2*7.5</f>
        <v>780</v>
      </c>
    </row>
    <row r="82" spans="1:5" x14ac:dyDescent="0.25">
      <c r="A82" s="24" t="s">
        <v>1424</v>
      </c>
      <c r="B82" s="6" t="s">
        <v>214</v>
      </c>
      <c r="C82" s="6" t="s">
        <v>164</v>
      </c>
      <c r="D82" s="6" t="s">
        <v>14</v>
      </c>
      <c r="E82" s="25">
        <f>'Inventory master'!G82*2*7.5</f>
        <v>390</v>
      </c>
    </row>
    <row r="83" spans="1:5" x14ac:dyDescent="0.25">
      <c r="A83" s="24" t="s">
        <v>1425</v>
      </c>
      <c r="B83" s="6" t="s">
        <v>133</v>
      </c>
      <c r="C83" s="6" t="s">
        <v>52</v>
      </c>
      <c r="D83" s="6" t="s">
        <v>58</v>
      </c>
      <c r="E83" s="25">
        <f>'Inventory master'!G83*2*7.5</f>
        <v>300</v>
      </c>
    </row>
    <row r="84" spans="1:5" x14ac:dyDescent="0.25">
      <c r="A84" s="24" t="s">
        <v>1426</v>
      </c>
      <c r="B84" s="6" t="s">
        <v>255</v>
      </c>
      <c r="C84" s="6" t="s">
        <v>164</v>
      </c>
      <c r="D84" s="6" t="s">
        <v>28</v>
      </c>
      <c r="E84" s="25">
        <f>'Inventory master'!G84*2*7.5</f>
        <v>1110</v>
      </c>
    </row>
    <row r="85" spans="1:5" x14ac:dyDescent="0.25">
      <c r="A85" s="24" t="s">
        <v>1427</v>
      </c>
      <c r="B85" s="6" t="s">
        <v>241</v>
      </c>
      <c r="C85" s="6" t="s">
        <v>27</v>
      </c>
      <c r="D85" s="6" t="s">
        <v>14</v>
      </c>
      <c r="E85" s="25">
        <f>'Inventory master'!G85*2*7.5</f>
        <v>885</v>
      </c>
    </row>
    <row r="86" spans="1:5" x14ac:dyDescent="0.25">
      <c r="A86" s="24" t="s">
        <v>1428</v>
      </c>
      <c r="B86" s="6" t="s">
        <v>62</v>
      </c>
      <c r="C86" s="6" t="s">
        <v>63</v>
      </c>
      <c r="D86" s="6" t="s">
        <v>23</v>
      </c>
      <c r="E86" s="25">
        <f>'Inventory master'!G86*2*7.5</f>
        <v>345</v>
      </c>
    </row>
    <row r="87" spans="1:5" x14ac:dyDescent="0.25">
      <c r="A87" s="24" t="s">
        <v>1429</v>
      </c>
      <c r="B87" s="6" t="s">
        <v>157</v>
      </c>
      <c r="C87" s="6" t="s">
        <v>27</v>
      </c>
      <c r="D87" s="6" t="s">
        <v>101</v>
      </c>
      <c r="E87" s="25">
        <f>'Inventory master'!G87*2*7.5</f>
        <v>720</v>
      </c>
    </row>
    <row r="88" spans="1:5" x14ac:dyDescent="0.25">
      <c r="A88" s="24" t="s">
        <v>1430</v>
      </c>
      <c r="B88" s="6" t="s">
        <v>309</v>
      </c>
      <c r="C88" s="6" t="s">
        <v>18</v>
      </c>
      <c r="D88" s="6" t="s">
        <v>23</v>
      </c>
      <c r="E88" s="25">
        <f>'Inventory master'!G88*2*7.5</f>
        <v>285</v>
      </c>
    </row>
    <row r="89" spans="1:5" x14ac:dyDescent="0.25">
      <c r="A89" s="24" t="s">
        <v>1431</v>
      </c>
      <c r="B89" s="6" t="s">
        <v>47</v>
      </c>
      <c r="C89" s="6" t="s">
        <v>42</v>
      </c>
      <c r="D89" s="6" t="s">
        <v>58</v>
      </c>
      <c r="E89" s="25">
        <f>'Inventory master'!G89*2*7.5</f>
        <v>330</v>
      </c>
    </row>
    <row r="90" spans="1:5" x14ac:dyDescent="0.25">
      <c r="A90" s="24" t="s">
        <v>1432</v>
      </c>
      <c r="B90" s="6" t="s">
        <v>126</v>
      </c>
      <c r="C90" s="6" t="s">
        <v>63</v>
      </c>
      <c r="D90" s="6" t="s">
        <v>123</v>
      </c>
      <c r="E90" s="25">
        <f>'Inventory master'!G90*2*7.5</f>
        <v>150</v>
      </c>
    </row>
    <row r="91" spans="1:5" x14ac:dyDescent="0.25">
      <c r="A91" s="24" t="s">
        <v>1433</v>
      </c>
      <c r="B91" s="6" t="s">
        <v>7</v>
      </c>
      <c r="C91" s="6" t="s">
        <v>8</v>
      </c>
      <c r="D91" s="6" t="s">
        <v>101</v>
      </c>
      <c r="E91" s="25">
        <f>'Inventory master'!G91*2*7.5</f>
        <v>1425</v>
      </c>
    </row>
    <row r="92" spans="1:5" x14ac:dyDescent="0.25">
      <c r="A92" s="24" t="s">
        <v>1434</v>
      </c>
      <c r="B92" s="6" t="s">
        <v>241</v>
      </c>
      <c r="C92" s="6" t="s">
        <v>27</v>
      </c>
      <c r="D92" s="6" t="s">
        <v>14</v>
      </c>
      <c r="E92" s="25">
        <f>'Inventory master'!G92*2*7.5</f>
        <v>810</v>
      </c>
    </row>
    <row r="93" spans="1:5" x14ac:dyDescent="0.25">
      <c r="A93" s="24" t="s">
        <v>1435</v>
      </c>
      <c r="B93" s="6" t="s">
        <v>26</v>
      </c>
      <c r="C93" s="6" t="s">
        <v>27</v>
      </c>
      <c r="D93" s="6" t="s">
        <v>19</v>
      </c>
      <c r="E93" s="25">
        <f>'Inventory master'!G93*2*7.5</f>
        <v>795</v>
      </c>
    </row>
    <row r="94" spans="1:5" x14ac:dyDescent="0.25">
      <c r="A94" s="24" t="s">
        <v>1436</v>
      </c>
      <c r="B94" s="6" t="s">
        <v>178</v>
      </c>
      <c r="C94" s="6" t="s">
        <v>179</v>
      </c>
      <c r="D94" s="6" t="s">
        <v>58</v>
      </c>
      <c r="E94" s="25">
        <f>'Inventory master'!G94*2*7.5</f>
        <v>1230</v>
      </c>
    </row>
    <row r="95" spans="1:5" x14ac:dyDescent="0.25">
      <c r="A95" s="24" t="s">
        <v>1437</v>
      </c>
      <c r="B95" s="6" t="s">
        <v>26</v>
      </c>
      <c r="C95" s="6" t="s">
        <v>27</v>
      </c>
      <c r="D95" s="6" t="s">
        <v>123</v>
      </c>
      <c r="E95" s="25">
        <f>'Inventory master'!G95*2*7.5</f>
        <v>510</v>
      </c>
    </row>
    <row r="96" spans="1:5" x14ac:dyDescent="0.25">
      <c r="A96" s="24" t="s">
        <v>1438</v>
      </c>
      <c r="B96" s="6" t="s">
        <v>255</v>
      </c>
      <c r="C96" s="6" t="s">
        <v>164</v>
      </c>
      <c r="D96" s="6" t="s">
        <v>9</v>
      </c>
      <c r="E96" s="25">
        <f>'Inventory master'!G96*2*7.5</f>
        <v>1260</v>
      </c>
    </row>
    <row r="97" spans="1:5" x14ac:dyDescent="0.25">
      <c r="A97" s="24" t="s">
        <v>1439</v>
      </c>
      <c r="B97" s="6" t="s">
        <v>7</v>
      </c>
      <c r="C97" s="6" t="s">
        <v>8</v>
      </c>
      <c r="D97" s="6" t="s">
        <v>9</v>
      </c>
      <c r="E97" s="25">
        <f>'Inventory master'!G97*2*7.5</f>
        <v>1260</v>
      </c>
    </row>
    <row r="98" spans="1:5" x14ac:dyDescent="0.25">
      <c r="A98" s="24" t="s">
        <v>1440</v>
      </c>
      <c r="B98" s="6" t="s">
        <v>7</v>
      </c>
      <c r="C98" s="6" t="s">
        <v>8</v>
      </c>
      <c r="D98" s="6" t="s">
        <v>123</v>
      </c>
      <c r="E98" s="25">
        <f>'Inventory master'!G98*2*7.5</f>
        <v>975</v>
      </c>
    </row>
    <row r="99" spans="1:5" x14ac:dyDescent="0.25">
      <c r="A99" s="24" t="s">
        <v>1441</v>
      </c>
      <c r="B99" s="6" t="s">
        <v>163</v>
      </c>
      <c r="C99" s="6" t="s">
        <v>164</v>
      </c>
      <c r="D99" s="6" t="s">
        <v>9</v>
      </c>
      <c r="E99" s="25">
        <f>'Inventory master'!G99*2*7.5</f>
        <v>1140</v>
      </c>
    </row>
    <row r="100" spans="1:5" x14ac:dyDescent="0.25">
      <c r="A100" s="24" t="s">
        <v>1442</v>
      </c>
      <c r="B100" s="6" t="s">
        <v>35</v>
      </c>
      <c r="C100" s="6" t="s">
        <v>13</v>
      </c>
      <c r="D100" s="6" t="s">
        <v>36</v>
      </c>
      <c r="E100" s="25">
        <f>'Inventory master'!G100*2*7.5</f>
        <v>825</v>
      </c>
    </row>
    <row r="101" spans="1:5" x14ac:dyDescent="0.25">
      <c r="A101" s="24" t="s">
        <v>1443</v>
      </c>
      <c r="B101" s="6" t="s">
        <v>22</v>
      </c>
      <c r="C101" s="6" t="s">
        <v>8</v>
      </c>
      <c r="D101" s="6" t="s">
        <v>23</v>
      </c>
      <c r="E101" s="25">
        <f>'Inventory master'!G101*2*7.5</f>
        <v>300</v>
      </c>
    </row>
    <row r="102" spans="1:5" x14ac:dyDescent="0.25">
      <c r="A102" s="24" t="s">
        <v>1444</v>
      </c>
      <c r="B102" s="6" t="s">
        <v>74</v>
      </c>
      <c r="C102" s="6" t="s">
        <v>8</v>
      </c>
      <c r="D102" s="6" t="s">
        <v>28</v>
      </c>
      <c r="E102" s="25">
        <f>'Inventory master'!G102*2*7.5</f>
        <v>420</v>
      </c>
    </row>
    <row r="103" spans="1:5" x14ac:dyDescent="0.25">
      <c r="A103" s="24" t="s">
        <v>1445</v>
      </c>
      <c r="B103" s="6" t="s">
        <v>344</v>
      </c>
      <c r="C103" s="6" t="s">
        <v>63</v>
      </c>
      <c r="D103" s="6" t="s">
        <v>23</v>
      </c>
      <c r="E103" s="25">
        <f>'Inventory master'!G103*2*7.5</f>
        <v>765</v>
      </c>
    </row>
    <row r="104" spans="1:5" x14ac:dyDescent="0.25">
      <c r="A104" s="24" t="s">
        <v>1446</v>
      </c>
      <c r="B104" s="6" t="s">
        <v>100</v>
      </c>
      <c r="C104" s="6" t="s">
        <v>52</v>
      </c>
      <c r="D104" s="6" t="s">
        <v>53</v>
      </c>
      <c r="E104" s="25">
        <f>'Inventory master'!G104*2*7.5</f>
        <v>420</v>
      </c>
    </row>
    <row r="105" spans="1:5" x14ac:dyDescent="0.25">
      <c r="A105" s="24" t="s">
        <v>1447</v>
      </c>
      <c r="B105" s="6" t="s">
        <v>349</v>
      </c>
      <c r="C105" s="6" t="s">
        <v>179</v>
      </c>
      <c r="D105" s="6" t="s">
        <v>28</v>
      </c>
      <c r="E105" s="25">
        <f>'Inventory master'!G105*2*7.5</f>
        <v>1365</v>
      </c>
    </row>
    <row r="106" spans="1:5" x14ac:dyDescent="0.25">
      <c r="A106" s="24" t="s">
        <v>1448</v>
      </c>
      <c r="B106" s="6" t="s">
        <v>228</v>
      </c>
      <c r="C106" s="6" t="s">
        <v>63</v>
      </c>
      <c r="D106" s="6" t="s">
        <v>58</v>
      </c>
      <c r="E106" s="25">
        <f>'Inventory master'!G106*2*7.5</f>
        <v>195</v>
      </c>
    </row>
    <row r="107" spans="1:5" x14ac:dyDescent="0.25">
      <c r="A107" s="24" t="s">
        <v>1449</v>
      </c>
      <c r="B107" s="6" t="s">
        <v>263</v>
      </c>
      <c r="C107" s="6" t="s">
        <v>8</v>
      </c>
      <c r="D107" s="6" t="s">
        <v>14</v>
      </c>
      <c r="E107" s="25">
        <f>'Inventory master'!G107*2*7.5</f>
        <v>1005</v>
      </c>
    </row>
    <row r="108" spans="1:5" x14ac:dyDescent="0.25">
      <c r="A108" s="24" t="s">
        <v>1450</v>
      </c>
      <c r="B108" s="6" t="s">
        <v>356</v>
      </c>
      <c r="C108" s="6" t="s">
        <v>18</v>
      </c>
      <c r="D108" s="6" t="s">
        <v>53</v>
      </c>
      <c r="E108" s="25">
        <f>'Inventory master'!G108*2*7.5</f>
        <v>180</v>
      </c>
    </row>
    <row r="109" spans="1:5" x14ac:dyDescent="0.25">
      <c r="A109" s="24" t="s">
        <v>1451</v>
      </c>
      <c r="B109" s="6" t="s">
        <v>51</v>
      </c>
      <c r="C109" s="6" t="s">
        <v>52</v>
      </c>
      <c r="D109" s="6" t="s">
        <v>101</v>
      </c>
      <c r="E109" s="25">
        <f>'Inventory master'!G109*2*7.5</f>
        <v>1365</v>
      </c>
    </row>
    <row r="110" spans="1:5" x14ac:dyDescent="0.25">
      <c r="A110" s="24" t="s">
        <v>1452</v>
      </c>
      <c r="B110" s="6" t="s">
        <v>361</v>
      </c>
      <c r="C110" s="6" t="s">
        <v>179</v>
      </c>
      <c r="D110" s="6" t="s">
        <v>101</v>
      </c>
      <c r="E110" s="25">
        <f>'Inventory master'!G110*2*7.5</f>
        <v>1350</v>
      </c>
    </row>
    <row r="111" spans="1:5" x14ac:dyDescent="0.25">
      <c r="A111" s="24" t="s">
        <v>1453</v>
      </c>
      <c r="B111" s="6" t="s">
        <v>364</v>
      </c>
      <c r="C111" s="6" t="s">
        <v>52</v>
      </c>
      <c r="D111" s="6" t="s">
        <v>123</v>
      </c>
      <c r="E111" s="25">
        <f>'Inventory master'!G111*2*7.5</f>
        <v>495</v>
      </c>
    </row>
    <row r="112" spans="1:5" x14ac:dyDescent="0.25">
      <c r="A112" s="24" t="s">
        <v>1454</v>
      </c>
      <c r="B112" s="6" t="s">
        <v>122</v>
      </c>
      <c r="C112" s="6" t="s">
        <v>18</v>
      </c>
      <c r="D112" s="6" t="s">
        <v>91</v>
      </c>
      <c r="E112" s="25">
        <f>'Inventory master'!G112*2*7.5</f>
        <v>825</v>
      </c>
    </row>
    <row r="113" spans="1:5" x14ac:dyDescent="0.25">
      <c r="A113" s="24" t="s">
        <v>1455</v>
      </c>
      <c r="B113" s="6" t="s">
        <v>361</v>
      </c>
      <c r="C113" s="6" t="s">
        <v>179</v>
      </c>
      <c r="D113" s="6" t="s">
        <v>23</v>
      </c>
      <c r="E113" s="25">
        <f>'Inventory master'!G113*2*7.5</f>
        <v>570</v>
      </c>
    </row>
    <row r="114" spans="1:5" x14ac:dyDescent="0.25">
      <c r="A114" s="24" t="s">
        <v>1456</v>
      </c>
      <c r="B114" s="6" t="s">
        <v>12</v>
      </c>
      <c r="C114" s="6" t="s">
        <v>13</v>
      </c>
      <c r="D114" s="6" t="s">
        <v>23</v>
      </c>
      <c r="E114" s="25">
        <f>'Inventory master'!G114*2*7.5</f>
        <v>1050</v>
      </c>
    </row>
    <row r="115" spans="1:5" x14ac:dyDescent="0.25">
      <c r="A115" s="24" t="s">
        <v>1457</v>
      </c>
      <c r="B115" s="6" t="s">
        <v>82</v>
      </c>
      <c r="C115" s="6" t="s">
        <v>63</v>
      </c>
      <c r="D115" s="6" t="s">
        <v>14</v>
      </c>
      <c r="E115" s="25">
        <f>'Inventory master'!G115*2*7.5</f>
        <v>1380</v>
      </c>
    </row>
    <row r="116" spans="1:5" x14ac:dyDescent="0.25">
      <c r="A116" s="24" t="s">
        <v>1458</v>
      </c>
      <c r="B116" s="6" t="s">
        <v>22</v>
      </c>
      <c r="C116" s="6" t="s">
        <v>8</v>
      </c>
      <c r="D116" s="6" t="s">
        <v>14</v>
      </c>
      <c r="E116" s="25">
        <f>'Inventory master'!G116*2*7.5</f>
        <v>345</v>
      </c>
    </row>
    <row r="117" spans="1:5" x14ac:dyDescent="0.25">
      <c r="A117" s="24" t="s">
        <v>1459</v>
      </c>
      <c r="B117" s="6" t="s">
        <v>163</v>
      </c>
      <c r="C117" s="6" t="s">
        <v>164</v>
      </c>
      <c r="D117" s="6" t="s">
        <v>9</v>
      </c>
      <c r="E117" s="25">
        <f>'Inventory master'!G117*2*7.5</f>
        <v>855</v>
      </c>
    </row>
    <row r="118" spans="1:5" x14ac:dyDescent="0.25">
      <c r="A118" s="24" t="s">
        <v>1460</v>
      </c>
      <c r="B118" s="6" t="s">
        <v>133</v>
      </c>
      <c r="C118" s="6" t="s">
        <v>52</v>
      </c>
      <c r="D118" s="6" t="s">
        <v>9</v>
      </c>
      <c r="E118" s="25">
        <f>'Inventory master'!G118*2*7.5</f>
        <v>195</v>
      </c>
    </row>
    <row r="119" spans="1:5" x14ac:dyDescent="0.25">
      <c r="A119" s="24" t="s">
        <v>1461</v>
      </c>
      <c r="B119" s="6" t="s">
        <v>263</v>
      </c>
      <c r="C119" s="6" t="s">
        <v>8</v>
      </c>
      <c r="D119" s="6" t="s">
        <v>23</v>
      </c>
      <c r="E119" s="25">
        <f>'Inventory master'!G119*2*7.5</f>
        <v>885</v>
      </c>
    </row>
    <row r="120" spans="1:5" x14ac:dyDescent="0.25">
      <c r="A120" s="24" t="s">
        <v>1462</v>
      </c>
      <c r="B120" s="6" t="s">
        <v>356</v>
      </c>
      <c r="C120" s="6" t="s">
        <v>18</v>
      </c>
      <c r="D120" s="6" t="s">
        <v>101</v>
      </c>
      <c r="E120" s="25">
        <f>'Inventory master'!G120*2*7.5</f>
        <v>555</v>
      </c>
    </row>
    <row r="121" spans="1:5" x14ac:dyDescent="0.25">
      <c r="A121" s="24" t="s">
        <v>1463</v>
      </c>
      <c r="B121" s="6" t="s">
        <v>385</v>
      </c>
      <c r="C121" s="6" t="s">
        <v>32</v>
      </c>
      <c r="D121" s="6" t="s">
        <v>91</v>
      </c>
      <c r="E121" s="25">
        <f>'Inventory master'!G121*2*7.5</f>
        <v>645</v>
      </c>
    </row>
    <row r="122" spans="1:5" x14ac:dyDescent="0.25">
      <c r="A122" s="24" t="s">
        <v>1464</v>
      </c>
      <c r="B122" s="6" t="s">
        <v>142</v>
      </c>
      <c r="C122" s="6" t="s">
        <v>27</v>
      </c>
      <c r="D122" s="6" t="s">
        <v>78</v>
      </c>
      <c r="E122" s="25">
        <f>'Inventory master'!G122*2*7.5</f>
        <v>195</v>
      </c>
    </row>
    <row r="123" spans="1:5" x14ac:dyDescent="0.25">
      <c r="A123" s="24" t="s">
        <v>1465</v>
      </c>
      <c r="B123" s="6" t="s">
        <v>51</v>
      </c>
      <c r="C123" s="6" t="s">
        <v>52</v>
      </c>
      <c r="D123" s="6" t="s">
        <v>53</v>
      </c>
      <c r="E123" s="25">
        <f>'Inventory master'!G123*2*7.5</f>
        <v>750</v>
      </c>
    </row>
    <row r="124" spans="1:5" x14ac:dyDescent="0.25">
      <c r="A124" s="24" t="s">
        <v>1466</v>
      </c>
      <c r="B124" s="6" t="s">
        <v>22</v>
      </c>
      <c r="C124" s="6" t="s">
        <v>8</v>
      </c>
      <c r="D124" s="6" t="s">
        <v>53</v>
      </c>
      <c r="E124" s="25">
        <f>'Inventory master'!G124*2*7.5</f>
        <v>1200</v>
      </c>
    </row>
    <row r="125" spans="1:5" x14ac:dyDescent="0.25">
      <c r="A125" s="24" t="s">
        <v>1467</v>
      </c>
      <c r="B125" s="6" t="s">
        <v>74</v>
      </c>
      <c r="C125" s="6" t="s">
        <v>8</v>
      </c>
      <c r="D125" s="6" t="s">
        <v>123</v>
      </c>
      <c r="E125" s="25">
        <f>'Inventory master'!G125*2*7.5</f>
        <v>1350</v>
      </c>
    </row>
    <row r="126" spans="1:5" x14ac:dyDescent="0.25">
      <c r="A126" s="24" t="s">
        <v>1468</v>
      </c>
      <c r="B126" s="6" t="s">
        <v>361</v>
      </c>
      <c r="C126" s="6" t="s">
        <v>179</v>
      </c>
      <c r="D126" s="6" t="s">
        <v>58</v>
      </c>
      <c r="E126" s="25">
        <f>'Inventory master'!G126*2*7.5</f>
        <v>1035</v>
      </c>
    </row>
    <row r="127" spans="1:5" x14ac:dyDescent="0.25">
      <c r="A127" s="24" t="s">
        <v>1469</v>
      </c>
      <c r="B127" s="6" t="s">
        <v>398</v>
      </c>
      <c r="C127" s="6" t="s">
        <v>42</v>
      </c>
      <c r="D127" s="6" t="s">
        <v>123</v>
      </c>
      <c r="E127" s="25">
        <f>'Inventory master'!G127*2*7.5</f>
        <v>1380</v>
      </c>
    </row>
    <row r="128" spans="1:5" x14ac:dyDescent="0.25">
      <c r="A128" s="24" t="s">
        <v>1470</v>
      </c>
      <c r="B128" s="6" t="s">
        <v>35</v>
      </c>
      <c r="C128" s="6" t="s">
        <v>13</v>
      </c>
      <c r="D128" s="6" t="s">
        <v>19</v>
      </c>
      <c r="E128" s="25">
        <f>'Inventory master'!G128*2*7.5</f>
        <v>435</v>
      </c>
    </row>
    <row r="129" spans="1:5" x14ac:dyDescent="0.25">
      <c r="A129" s="24" t="s">
        <v>1471</v>
      </c>
      <c r="B129" s="6" t="s">
        <v>35</v>
      </c>
      <c r="C129" s="6" t="s">
        <v>13</v>
      </c>
      <c r="D129" s="6" t="s">
        <v>36</v>
      </c>
      <c r="E129" s="25">
        <f>'Inventory master'!G129*2*7.5</f>
        <v>1260</v>
      </c>
    </row>
    <row r="130" spans="1:5" x14ac:dyDescent="0.25">
      <c r="A130" s="24" t="s">
        <v>1472</v>
      </c>
      <c r="B130" s="6" t="s">
        <v>361</v>
      </c>
      <c r="C130" s="6" t="s">
        <v>179</v>
      </c>
      <c r="D130" s="6" t="s">
        <v>101</v>
      </c>
      <c r="E130" s="25">
        <f>'Inventory master'!G130*2*7.5</f>
        <v>1095</v>
      </c>
    </row>
    <row r="131" spans="1:5" x14ac:dyDescent="0.25">
      <c r="A131" s="24" t="s">
        <v>1473</v>
      </c>
      <c r="B131" s="6" t="s">
        <v>407</v>
      </c>
      <c r="C131" s="6" t="s">
        <v>179</v>
      </c>
      <c r="D131" s="6" t="s">
        <v>91</v>
      </c>
      <c r="E131" s="25">
        <f>'Inventory master'!G131*2*7.5</f>
        <v>270</v>
      </c>
    </row>
    <row r="132" spans="1:5" x14ac:dyDescent="0.25">
      <c r="A132" s="24" t="s">
        <v>1474</v>
      </c>
      <c r="B132" s="6" t="s">
        <v>26</v>
      </c>
      <c r="C132" s="6" t="s">
        <v>27</v>
      </c>
      <c r="D132" s="6" t="s">
        <v>36</v>
      </c>
      <c r="E132" s="25">
        <f>'Inventory master'!G132*2*7.5</f>
        <v>735</v>
      </c>
    </row>
    <row r="133" spans="1:5" x14ac:dyDescent="0.25">
      <c r="A133" s="24" t="s">
        <v>1475</v>
      </c>
      <c r="B133" s="6" t="s">
        <v>274</v>
      </c>
      <c r="C133" s="6" t="s">
        <v>32</v>
      </c>
      <c r="D133" s="6" t="s">
        <v>36</v>
      </c>
      <c r="E133" s="25">
        <f>'Inventory master'!G133*2*7.5</f>
        <v>1440</v>
      </c>
    </row>
    <row r="134" spans="1:5" x14ac:dyDescent="0.25">
      <c r="A134" s="24" t="s">
        <v>1476</v>
      </c>
      <c r="B134" s="6" t="s">
        <v>263</v>
      </c>
      <c r="C134" s="6" t="s">
        <v>8</v>
      </c>
      <c r="D134" s="6" t="s">
        <v>14</v>
      </c>
      <c r="E134" s="25">
        <f>'Inventory master'!G134*2*7.5</f>
        <v>1170</v>
      </c>
    </row>
    <row r="135" spans="1:5" x14ac:dyDescent="0.25">
      <c r="A135" s="24" t="s">
        <v>1477</v>
      </c>
      <c r="B135" s="6" t="s">
        <v>416</v>
      </c>
      <c r="C135" s="6" t="s">
        <v>63</v>
      </c>
      <c r="D135" s="6" t="s">
        <v>91</v>
      </c>
      <c r="E135" s="25">
        <f>'Inventory master'!G135*2*7.5</f>
        <v>675</v>
      </c>
    </row>
    <row r="136" spans="1:5" x14ac:dyDescent="0.25">
      <c r="A136" s="24" t="s">
        <v>1478</v>
      </c>
      <c r="B136" s="6" t="s">
        <v>41</v>
      </c>
      <c r="C136" s="6" t="s">
        <v>42</v>
      </c>
      <c r="D136" s="6" t="s">
        <v>78</v>
      </c>
      <c r="E136" s="25">
        <f>'Inventory master'!G136*2*7.5</f>
        <v>1275</v>
      </c>
    </row>
    <row r="137" spans="1:5" x14ac:dyDescent="0.25">
      <c r="A137" s="24" t="s">
        <v>1479</v>
      </c>
      <c r="B137" s="6" t="s">
        <v>110</v>
      </c>
      <c r="C137" s="6" t="s">
        <v>8</v>
      </c>
      <c r="D137" s="6" t="s">
        <v>78</v>
      </c>
      <c r="E137" s="25">
        <f>'Inventory master'!G137*2*7.5</f>
        <v>990</v>
      </c>
    </row>
    <row r="138" spans="1:5" x14ac:dyDescent="0.25">
      <c r="A138" s="24" t="s">
        <v>1480</v>
      </c>
      <c r="B138" s="6" t="s">
        <v>423</v>
      </c>
      <c r="C138" s="6" t="s">
        <v>18</v>
      </c>
      <c r="D138" s="6" t="s">
        <v>23</v>
      </c>
      <c r="E138" s="25">
        <f>'Inventory master'!G138*2*7.5</f>
        <v>1230</v>
      </c>
    </row>
    <row r="139" spans="1:5" x14ac:dyDescent="0.25">
      <c r="A139" s="24" t="s">
        <v>1481</v>
      </c>
      <c r="B139" s="6" t="s">
        <v>407</v>
      </c>
      <c r="C139" s="6" t="s">
        <v>179</v>
      </c>
      <c r="D139" s="6" t="s">
        <v>123</v>
      </c>
      <c r="E139" s="25">
        <f>'Inventory master'!G139*2*7.5</f>
        <v>585</v>
      </c>
    </row>
    <row r="140" spans="1:5" x14ac:dyDescent="0.25">
      <c r="A140" s="24" t="s">
        <v>1482</v>
      </c>
      <c r="B140" s="6" t="s">
        <v>349</v>
      </c>
      <c r="C140" s="6" t="s">
        <v>179</v>
      </c>
      <c r="D140" s="6" t="s">
        <v>28</v>
      </c>
      <c r="E140" s="25">
        <f>'Inventory master'!G140*2*7.5</f>
        <v>975</v>
      </c>
    </row>
    <row r="141" spans="1:5" x14ac:dyDescent="0.25">
      <c r="A141" s="24" t="s">
        <v>1483</v>
      </c>
      <c r="B141" s="6" t="s">
        <v>7</v>
      </c>
      <c r="C141" s="6" t="s">
        <v>8</v>
      </c>
      <c r="D141" s="6" t="s">
        <v>14</v>
      </c>
      <c r="E141" s="25">
        <f>'Inventory master'!G141*2*7.5</f>
        <v>1275</v>
      </c>
    </row>
    <row r="142" spans="1:5" x14ac:dyDescent="0.25">
      <c r="A142" s="24" t="s">
        <v>1484</v>
      </c>
      <c r="B142" s="6" t="s">
        <v>57</v>
      </c>
      <c r="C142" s="6" t="s">
        <v>42</v>
      </c>
      <c r="D142" s="6" t="s">
        <v>101</v>
      </c>
      <c r="E142" s="25">
        <f>'Inventory master'!G142*2*7.5</f>
        <v>810</v>
      </c>
    </row>
    <row r="143" spans="1:5" x14ac:dyDescent="0.25">
      <c r="A143" s="24" t="s">
        <v>1485</v>
      </c>
      <c r="B143" s="6" t="s">
        <v>434</v>
      </c>
      <c r="C143" s="6" t="s">
        <v>18</v>
      </c>
      <c r="D143" s="6" t="s">
        <v>9</v>
      </c>
      <c r="E143" s="25">
        <f>'Inventory master'!G143*2*7.5</f>
        <v>1020</v>
      </c>
    </row>
    <row r="144" spans="1:5" x14ac:dyDescent="0.25">
      <c r="A144" s="24" t="s">
        <v>1486</v>
      </c>
      <c r="B144" s="6" t="s">
        <v>41</v>
      </c>
      <c r="C144" s="6" t="s">
        <v>42</v>
      </c>
      <c r="D144" s="6" t="s">
        <v>91</v>
      </c>
      <c r="E144" s="25">
        <f>'Inventory master'!G144*2*7.5</f>
        <v>375</v>
      </c>
    </row>
    <row r="145" spans="1:5" x14ac:dyDescent="0.25">
      <c r="A145" s="24" t="s">
        <v>1487</v>
      </c>
      <c r="B145" s="6" t="s">
        <v>41</v>
      </c>
      <c r="C145" s="6" t="s">
        <v>42</v>
      </c>
      <c r="D145" s="6" t="s">
        <v>14</v>
      </c>
      <c r="E145" s="25">
        <f>'Inventory master'!G145*2*7.5</f>
        <v>1230</v>
      </c>
    </row>
    <row r="146" spans="1:5" x14ac:dyDescent="0.25">
      <c r="A146" s="24" t="s">
        <v>1488</v>
      </c>
      <c r="B146" s="6" t="s">
        <v>110</v>
      </c>
      <c r="C146" s="6" t="s">
        <v>8</v>
      </c>
      <c r="D146" s="6" t="s">
        <v>78</v>
      </c>
      <c r="E146" s="25">
        <f>'Inventory master'!G146*2*7.5</f>
        <v>960</v>
      </c>
    </row>
    <row r="147" spans="1:5" x14ac:dyDescent="0.25">
      <c r="A147" s="24" t="s">
        <v>1489</v>
      </c>
      <c r="B147" s="6" t="s">
        <v>22</v>
      </c>
      <c r="C147" s="6" t="s">
        <v>8</v>
      </c>
      <c r="D147" s="6" t="s">
        <v>101</v>
      </c>
      <c r="E147" s="25">
        <f>'Inventory master'!G147*2*7.5</f>
        <v>720</v>
      </c>
    </row>
    <row r="148" spans="1:5" x14ac:dyDescent="0.25">
      <c r="A148" s="24" t="s">
        <v>1490</v>
      </c>
      <c r="B148" s="6" t="s">
        <v>423</v>
      </c>
      <c r="C148" s="6" t="s">
        <v>18</v>
      </c>
      <c r="D148" s="6" t="s">
        <v>78</v>
      </c>
      <c r="E148" s="25">
        <f>'Inventory master'!G148*2*7.5</f>
        <v>765</v>
      </c>
    </row>
    <row r="149" spans="1:5" x14ac:dyDescent="0.25">
      <c r="A149" s="24" t="s">
        <v>1491</v>
      </c>
      <c r="B149" s="6" t="s">
        <v>110</v>
      </c>
      <c r="C149" s="6" t="s">
        <v>8</v>
      </c>
      <c r="D149" s="6" t="s">
        <v>78</v>
      </c>
      <c r="E149" s="25">
        <f>'Inventory master'!G149*2*7.5</f>
        <v>1290</v>
      </c>
    </row>
    <row r="150" spans="1:5" x14ac:dyDescent="0.25">
      <c r="A150" s="24" t="s">
        <v>1492</v>
      </c>
      <c r="B150" s="6" t="s">
        <v>133</v>
      </c>
      <c r="C150" s="6" t="s">
        <v>52</v>
      </c>
      <c r="D150" s="6" t="s">
        <v>9</v>
      </c>
      <c r="E150" s="25">
        <f>'Inventory master'!G150*2*7.5</f>
        <v>555</v>
      </c>
    </row>
    <row r="151" spans="1:5" x14ac:dyDescent="0.25">
      <c r="A151" s="24" t="s">
        <v>1493</v>
      </c>
      <c r="B151" s="6" t="s">
        <v>142</v>
      </c>
      <c r="C151" s="6" t="s">
        <v>27</v>
      </c>
      <c r="D151" s="6" t="s">
        <v>19</v>
      </c>
      <c r="E151" s="25">
        <f>'Inventory master'!G151*2*7.5</f>
        <v>1215</v>
      </c>
    </row>
    <row r="152" spans="1:5" x14ac:dyDescent="0.25">
      <c r="A152" s="24" t="s">
        <v>1494</v>
      </c>
      <c r="B152" s="6" t="s">
        <v>82</v>
      </c>
      <c r="C152" s="6" t="s">
        <v>63</v>
      </c>
      <c r="D152" s="6" t="s">
        <v>53</v>
      </c>
      <c r="E152" s="25">
        <f>'Inventory master'!G152*2*7.5</f>
        <v>510</v>
      </c>
    </row>
    <row r="153" spans="1:5" x14ac:dyDescent="0.25">
      <c r="A153" s="24" t="s">
        <v>1495</v>
      </c>
      <c r="B153" s="6" t="s">
        <v>455</v>
      </c>
      <c r="C153" s="6" t="s">
        <v>18</v>
      </c>
      <c r="D153" s="6" t="s">
        <v>101</v>
      </c>
      <c r="E153" s="25">
        <f>'Inventory master'!G153*2*7.5</f>
        <v>465</v>
      </c>
    </row>
    <row r="154" spans="1:5" x14ac:dyDescent="0.25">
      <c r="A154" s="24" t="s">
        <v>1496</v>
      </c>
      <c r="B154" s="6" t="s">
        <v>178</v>
      </c>
      <c r="C154" s="6" t="s">
        <v>179</v>
      </c>
      <c r="D154" s="6" t="s">
        <v>14</v>
      </c>
      <c r="E154" s="25">
        <f>'Inventory master'!G154*2*7.5</f>
        <v>570</v>
      </c>
    </row>
    <row r="155" spans="1:5" x14ac:dyDescent="0.25">
      <c r="A155" s="24" t="s">
        <v>1497</v>
      </c>
      <c r="B155" s="6" t="s">
        <v>255</v>
      </c>
      <c r="C155" s="6" t="s">
        <v>164</v>
      </c>
      <c r="D155" s="6" t="s">
        <v>53</v>
      </c>
      <c r="E155" s="25">
        <f>'Inventory master'!G155*2*7.5</f>
        <v>975</v>
      </c>
    </row>
    <row r="156" spans="1:5" x14ac:dyDescent="0.25">
      <c r="A156" s="24" t="s">
        <v>1498</v>
      </c>
      <c r="B156" s="6" t="s">
        <v>12</v>
      </c>
      <c r="C156" s="6" t="s">
        <v>13</v>
      </c>
      <c r="D156" s="6" t="s">
        <v>123</v>
      </c>
      <c r="E156" s="25">
        <f>'Inventory master'!G156*2*7.5</f>
        <v>1275</v>
      </c>
    </row>
    <row r="157" spans="1:5" x14ac:dyDescent="0.25">
      <c r="A157" s="24" t="s">
        <v>1499</v>
      </c>
      <c r="B157" s="6" t="s">
        <v>178</v>
      </c>
      <c r="C157" s="6" t="s">
        <v>179</v>
      </c>
      <c r="D157" s="6" t="s">
        <v>91</v>
      </c>
      <c r="E157" s="25">
        <f>'Inventory master'!G157*2*7.5</f>
        <v>150</v>
      </c>
    </row>
    <row r="158" spans="1:5" x14ac:dyDescent="0.25">
      <c r="A158" s="24" t="s">
        <v>1500</v>
      </c>
      <c r="B158" s="6" t="s">
        <v>57</v>
      </c>
      <c r="C158" s="6" t="s">
        <v>42</v>
      </c>
      <c r="D158" s="6" t="s">
        <v>14</v>
      </c>
      <c r="E158" s="25">
        <f>'Inventory master'!G158*2*7.5</f>
        <v>945</v>
      </c>
    </row>
    <row r="159" spans="1:5" x14ac:dyDescent="0.25">
      <c r="A159" s="24" t="s">
        <v>1501</v>
      </c>
      <c r="B159" s="6" t="s">
        <v>468</v>
      </c>
      <c r="C159" s="6" t="s">
        <v>32</v>
      </c>
      <c r="D159" s="6" t="s">
        <v>78</v>
      </c>
      <c r="E159" s="25">
        <f>'Inventory master'!G159*2*7.5</f>
        <v>465</v>
      </c>
    </row>
    <row r="160" spans="1:5" x14ac:dyDescent="0.25">
      <c r="A160" s="24" t="s">
        <v>1502</v>
      </c>
      <c r="B160" s="6" t="s">
        <v>344</v>
      </c>
      <c r="C160" s="6" t="s">
        <v>63</v>
      </c>
      <c r="D160" s="6" t="s">
        <v>101</v>
      </c>
      <c r="E160" s="25">
        <f>'Inventory master'!G160*2*7.5</f>
        <v>1290</v>
      </c>
    </row>
    <row r="161" spans="1:5" x14ac:dyDescent="0.25">
      <c r="A161" s="24" t="s">
        <v>1503</v>
      </c>
      <c r="B161" s="6" t="s">
        <v>178</v>
      </c>
      <c r="C161" s="6" t="s">
        <v>179</v>
      </c>
      <c r="D161" s="6" t="s">
        <v>91</v>
      </c>
      <c r="E161" s="25">
        <f>'Inventory master'!G161*2*7.5</f>
        <v>795</v>
      </c>
    </row>
    <row r="162" spans="1:5" x14ac:dyDescent="0.25">
      <c r="A162" s="24" t="s">
        <v>1504</v>
      </c>
      <c r="B162" s="6" t="s">
        <v>87</v>
      </c>
      <c r="C162" s="6" t="s">
        <v>42</v>
      </c>
      <c r="D162" s="6" t="s">
        <v>101</v>
      </c>
      <c r="E162" s="25">
        <f>'Inventory master'!G162*2*7.5</f>
        <v>255</v>
      </c>
    </row>
    <row r="163" spans="1:5" x14ac:dyDescent="0.25">
      <c r="A163" s="24" t="s">
        <v>1505</v>
      </c>
      <c r="B163" s="6" t="s">
        <v>398</v>
      </c>
      <c r="C163" s="6" t="s">
        <v>42</v>
      </c>
      <c r="D163" s="6" t="s">
        <v>14</v>
      </c>
      <c r="E163" s="25">
        <f>'Inventory master'!G163*2*7.5</f>
        <v>915</v>
      </c>
    </row>
    <row r="164" spans="1:5" x14ac:dyDescent="0.25">
      <c r="A164" s="24" t="s">
        <v>1506</v>
      </c>
      <c r="B164" s="6" t="s">
        <v>57</v>
      </c>
      <c r="C164" s="6" t="s">
        <v>42</v>
      </c>
      <c r="D164" s="6" t="s">
        <v>19</v>
      </c>
      <c r="E164" s="25">
        <f>'Inventory master'!G164*2*7.5</f>
        <v>1215</v>
      </c>
    </row>
    <row r="165" spans="1:5" x14ac:dyDescent="0.25">
      <c r="A165" s="24" t="s">
        <v>1507</v>
      </c>
      <c r="B165" s="6" t="s">
        <v>364</v>
      </c>
      <c r="C165" s="6" t="s">
        <v>52</v>
      </c>
      <c r="D165" s="6" t="s">
        <v>53</v>
      </c>
      <c r="E165" s="25">
        <f>'Inventory master'!G165*2*7.5</f>
        <v>1215</v>
      </c>
    </row>
    <row r="166" spans="1:5" x14ac:dyDescent="0.25">
      <c r="A166" s="24" t="s">
        <v>1508</v>
      </c>
      <c r="B166" s="6" t="s">
        <v>110</v>
      </c>
      <c r="C166" s="6" t="s">
        <v>8</v>
      </c>
      <c r="D166" s="6" t="s">
        <v>91</v>
      </c>
      <c r="E166" s="25">
        <f>'Inventory master'!G166*2*7.5</f>
        <v>315</v>
      </c>
    </row>
    <row r="167" spans="1:5" x14ac:dyDescent="0.25">
      <c r="A167" s="24" t="s">
        <v>1509</v>
      </c>
      <c r="B167" s="6" t="s">
        <v>82</v>
      </c>
      <c r="C167" s="6" t="s">
        <v>63</v>
      </c>
      <c r="D167" s="6" t="s">
        <v>91</v>
      </c>
      <c r="E167" s="25">
        <f>'Inventory master'!G167*2*7.5</f>
        <v>510</v>
      </c>
    </row>
    <row r="168" spans="1:5" x14ac:dyDescent="0.25">
      <c r="A168" s="24" t="s">
        <v>1510</v>
      </c>
      <c r="B168" s="6" t="s">
        <v>263</v>
      </c>
      <c r="C168" s="6" t="s">
        <v>8</v>
      </c>
      <c r="D168" s="6" t="s">
        <v>53</v>
      </c>
      <c r="E168" s="25">
        <f>'Inventory master'!G168*2*7.5</f>
        <v>1440</v>
      </c>
    </row>
    <row r="169" spans="1:5" x14ac:dyDescent="0.25">
      <c r="A169" s="24" t="s">
        <v>1511</v>
      </c>
      <c r="B169" s="6" t="s">
        <v>274</v>
      </c>
      <c r="C169" s="6" t="s">
        <v>32</v>
      </c>
      <c r="D169" s="6" t="s">
        <v>14</v>
      </c>
      <c r="E169" s="25">
        <f>'Inventory master'!G169*2*7.5</f>
        <v>795</v>
      </c>
    </row>
    <row r="170" spans="1:5" x14ac:dyDescent="0.25">
      <c r="A170" s="24" t="s">
        <v>1512</v>
      </c>
      <c r="B170" s="6" t="s">
        <v>197</v>
      </c>
      <c r="C170" s="6" t="s">
        <v>18</v>
      </c>
      <c r="D170" s="6" t="s">
        <v>9</v>
      </c>
      <c r="E170" s="25">
        <f>'Inventory master'!G170*2*7.5</f>
        <v>615</v>
      </c>
    </row>
    <row r="171" spans="1:5" x14ac:dyDescent="0.25">
      <c r="A171" s="24" t="s">
        <v>1513</v>
      </c>
      <c r="B171" s="6" t="s">
        <v>398</v>
      </c>
      <c r="C171" s="6" t="s">
        <v>42</v>
      </c>
      <c r="D171" s="6" t="s">
        <v>28</v>
      </c>
      <c r="E171" s="25">
        <f>'Inventory master'!G171*2*7.5</f>
        <v>1395</v>
      </c>
    </row>
    <row r="172" spans="1:5" x14ac:dyDescent="0.25">
      <c r="A172" s="24" t="s">
        <v>1514</v>
      </c>
      <c r="B172" s="6" t="s">
        <v>349</v>
      </c>
      <c r="C172" s="6" t="s">
        <v>179</v>
      </c>
      <c r="D172" s="6" t="s">
        <v>19</v>
      </c>
      <c r="E172" s="25">
        <f>'Inventory master'!G172*2*7.5</f>
        <v>735</v>
      </c>
    </row>
    <row r="173" spans="1:5" x14ac:dyDescent="0.25">
      <c r="A173" s="24" t="s">
        <v>1515</v>
      </c>
      <c r="B173" s="6" t="s">
        <v>31</v>
      </c>
      <c r="C173" s="6" t="s">
        <v>32</v>
      </c>
      <c r="D173" s="6" t="s">
        <v>58</v>
      </c>
      <c r="E173" s="25">
        <f>'Inventory master'!G173*2*7.5</f>
        <v>1395</v>
      </c>
    </row>
    <row r="174" spans="1:5" x14ac:dyDescent="0.25">
      <c r="A174" s="24" t="s">
        <v>1516</v>
      </c>
      <c r="B174" s="6" t="s">
        <v>214</v>
      </c>
      <c r="C174" s="6" t="s">
        <v>164</v>
      </c>
      <c r="D174" s="6" t="s">
        <v>9</v>
      </c>
      <c r="E174" s="25">
        <f>'Inventory master'!G174*2*7.5</f>
        <v>870</v>
      </c>
    </row>
    <row r="175" spans="1:5" x14ac:dyDescent="0.25">
      <c r="A175" s="24" t="s">
        <v>1517</v>
      </c>
      <c r="B175" s="6" t="s">
        <v>184</v>
      </c>
      <c r="C175" s="6" t="s">
        <v>164</v>
      </c>
      <c r="D175" s="6" t="s">
        <v>78</v>
      </c>
      <c r="E175" s="25">
        <f>'Inventory master'!G175*2*7.5</f>
        <v>795</v>
      </c>
    </row>
    <row r="176" spans="1:5" x14ac:dyDescent="0.25">
      <c r="A176" s="24" t="s">
        <v>1518</v>
      </c>
      <c r="B176" s="6" t="s">
        <v>26</v>
      </c>
      <c r="C176" s="6" t="s">
        <v>27</v>
      </c>
      <c r="D176" s="6" t="s">
        <v>23</v>
      </c>
      <c r="E176" s="25">
        <f>'Inventory master'!G176*2*7.5</f>
        <v>930</v>
      </c>
    </row>
    <row r="177" spans="1:5" x14ac:dyDescent="0.25">
      <c r="A177" s="24" t="s">
        <v>1519</v>
      </c>
      <c r="B177" s="6" t="s">
        <v>416</v>
      </c>
      <c r="C177" s="6" t="s">
        <v>63</v>
      </c>
      <c r="D177" s="6" t="s">
        <v>36</v>
      </c>
      <c r="E177" s="25">
        <f>'Inventory master'!G177*2*7.5</f>
        <v>1380</v>
      </c>
    </row>
    <row r="178" spans="1:5" x14ac:dyDescent="0.25">
      <c r="A178" s="24" t="s">
        <v>1520</v>
      </c>
      <c r="B178" s="6" t="s">
        <v>361</v>
      </c>
      <c r="C178" s="6" t="s">
        <v>179</v>
      </c>
      <c r="D178" s="6" t="s">
        <v>14</v>
      </c>
      <c r="E178" s="25">
        <f>'Inventory master'!G178*2*7.5</f>
        <v>720</v>
      </c>
    </row>
    <row r="179" spans="1:5" x14ac:dyDescent="0.25">
      <c r="A179" s="24" t="s">
        <v>1521</v>
      </c>
      <c r="B179" s="6" t="s">
        <v>509</v>
      </c>
      <c r="C179" s="6" t="s">
        <v>18</v>
      </c>
      <c r="D179" s="6" t="s">
        <v>14</v>
      </c>
      <c r="E179" s="25">
        <f>'Inventory master'!G179*2*7.5</f>
        <v>945</v>
      </c>
    </row>
    <row r="180" spans="1:5" x14ac:dyDescent="0.25">
      <c r="A180" s="24" t="s">
        <v>1522</v>
      </c>
      <c r="B180" s="6" t="s">
        <v>214</v>
      </c>
      <c r="C180" s="6" t="s">
        <v>164</v>
      </c>
      <c r="D180" s="6" t="s">
        <v>9</v>
      </c>
      <c r="E180" s="25">
        <f>'Inventory master'!G180*2*7.5</f>
        <v>765</v>
      </c>
    </row>
    <row r="181" spans="1:5" x14ac:dyDescent="0.25">
      <c r="A181" s="24" t="s">
        <v>1523</v>
      </c>
      <c r="B181" s="6" t="s">
        <v>35</v>
      </c>
      <c r="C181" s="6" t="s">
        <v>13</v>
      </c>
      <c r="D181" s="6" t="s">
        <v>101</v>
      </c>
      <c r="E181" s="25">
        <f>'Inventory master'!G181*2*7.5</f>
        <v>1185</v>
      </c>
    </row>
    <row r="182" spans="1:5" x14ac:dyDescent="0.25">
      <c r="A182" s="24" t="s">
        <v>1524</v>
      </c>
      <c r="B182" s="6" t="s">
        <v>12</v>
      </c>
      <c r="C182" s="6" t="s">
        <v>13</v>
      </c>
      <c r="D182" s="6" t="s">
        <v>78</v>
      </c>
      <c r="E182" s="25">
        <f>'Inventory master'!G182*2*7.5</f>
        <v>1500</v>
      </c>
    </row>
    <row r="183" spans="1:5" x14ac:dyDescent="0.25">
      <c r="A183" s="24" t="s">
        <v>1525</v>
      </c>
      <c r="B183" s="6" t="s">
        <v>518</v>
      </c>
      <c r="C183" s="6" t="s">
        <v>164</v>
      </c>
      <c r="D183" s="6" t="s">
        <v>123</v>
      </c>
      <c r="E183" s="25">
        <f>'Inventory master'!G183*2*7.5</f>
        <v>615</v>
      </c>
    </row>
    <row r="184" spans="1:5" x14ac:dyDescent="0.25">
      <c r="A184" s="24" t="s">
        <v>1526</v>
      </c>
      <c r="B184" s="6" t="s">
        <v>110</v>
      </c>
      <c r="C184" s="6" t="s">
        <v>8</v>
      </c>
      <c r="D184" s="6" t="s">
        <v>78</v>
      </c>
      <c r="E184" s="25">
        <f>'Inventory master'!G184*2*7.5</f>
        <v>1365</v>
      </c>
    </row>
    <row r="185" spans="1:5" x14ac:dyDescent="0.25">
      <c r="A185" s="24" t="s">
        <v>1527</v>
      </c>
      <c r="B185" s="6" t="s">
        <v>523</v>
      </c>
      <c r="C185" s="6" t="s">
        <v>18</v>
      </c>
      <c r="D185" s="6" t="s">
        <v>23</v>
      </c>
      <c r="E185" s="25">
        <f>'Inventory master'!G185*2*7.5</f>
        <v>630</v>
      </c>
    </row>
    <row r="186" spans="1:5" x14ac:dyDescent="0.25">
      <c r="A186" s="24" t="s">
        <v>1528</v>
      </c>
      <c r="B186" s="6" t="s">
        <v>17</v>
      </c>
      <c r="C186" s="6" t="s">
        <v>18</v>
      </c>
      <c r="D186" s="6" t="s">
        <v>23</v>
      </c>
      <c r="E186" s="25">
        <f>'Inventory master'!G186*2*7.5</f>
        <v>1170</v>
      </c>
    </row>
    <row r="187" spans="1:5" x14ac:dyDescent="0.25">
      <c r="A187" s="24" t="s">
        <v>1529</v>
      </c>
      <c r="B187" s="6" t="s">
        <v>344</v>
      </c>
      <c r="C187" s="6" t="s">
        <v>63</v>
      </c>
      <c r="D187" s="6" t="s">
        <v>19</v>
      </c>
      <c r="E187" s="25">
        <f>'Inventory master'!G187*2*7.5</f>
        <v>255</v>
      </c>
    </row>
    <row r="188" spans="1:5" x14ac:dyDescent="0.25">
      <c r="A188" s="24" t="s">
        <v>1530</v>
      </c>
      <c r="B188" s="6" t="s">
        <v>398</v>
      </c>
      <c r="C188" s="6" t="s">
        <v>42</v>
      </c>
      <c r="D188" s="6" t="s">
        <v>23</v>
      </c>
      <c r="E188" s="25">
        <f>'Inventory master'!G188*2*7.5</f>
        <v>795</v>
      </c>
    </row>
    <row r="189" spans="1:5" x14ac:dyDescent="0.25">
      <c r="A189" s="24" t="s">
        <v>1531</v>
      </c>
      <c r="B189" s="6" t="s">
        <v>163</v>
      </c>
      <c r="C189" s="6" t="s">
        <v>164</v>
      </c>
      <c r="D189" s="6" t="s">
        <v>58</v>
      </c>
      <c r="E189" s="25">
        <f>'Inventory master'!G189*2*7.5</f>
        <v>180</v>
      </c>
    </row>
    <row r="190" spans="1:5" x14ac:dyDescent="0.25">
      <c r="A190" s="24" t="s">
        <v>1532</v>
      </c>
      <c r="B190" s="6" t="s">
        <v>31</v>
      </c>
      <c r="C190" s="6" t="s">
        <v>32</v>
      </c>
      <c r="D190" s="6" t="s">
        <v>101</v>
      </c>
      <c r="E190" s="25">
        <f>'Inventory master'!G190*2*7.5</f>
        <v>1110</v>
      </c>
    </row>
    <row r="191" spans="1:5" x14ac:dyDescent="0.25">
      <c r="A191" s="24" t="s">
        <v>1533</v>
      </c>
      <c r="B191" s="6" t="s">
        <v>518</v>
      </c>
      <c r="C191" s="6" t="s">
        <v>164</v>
      </c>
      <c r="D191" s="6" t="s">
        <v>78</v>
      </c>
      <c r="E191" s="25">
        <f>'Inventory master'!G191*2*7.5</f>
        <v>1080</v>
      </c>
    </row>
    <row r="192" spans="1:5" x14ac:dyDescent="0.25">
      <c r="A192" s="24" t="s">
        <v>1534</v>
      </c>
      <c r="B192" s="6" t="s">
        <v>41</v>
      </c>
      <c r="C192" s="6" t="s">
        <v>42</v>
      </c>
      <c r="D192" s="6" t="s">
        <v>91</v>
      </c>
      <c r="E192" s="25">
        <f>'Inventory master'!G192*2*7.5</f>
        <v>990</v>
      </c>
    </row>
    <row r="193" spans="1:5" x14ac:dyDescent="0.25">
      <c r="A193" s="24" t="s">
        <v>1535</v>
      </c>
      <c r="B193" s="6" t="s">
        <v>87</v>
      </c>
      <c r="C193" s="6" t="s">
        <v>42</v>
      </c>
      <c r="D193" s="6" t="s">
        <v>36</v>
      </c>
      <c r="E193" s="25">
        <f>'Inventory master'!G193*2*7.5</f>
        <v>1410</v>
      </c>
    </row>
    <row r="194" spans="1:5" x14ac:dyDescent="0.25">
      <c r="A194" s="24" t="s">
        <v>1536</v>
      </c>
      <c r="B194" s="6" t="s">
        <v>150</v>
      </c>
      <c r="C194" s="6" t="s">
        <v>32</v>
      </c>
      <c r="D194" s="6" t="s">
        <v>36</v>
      </c>
      <c r="E194" s="25">
        <f>'Inventory master'!G194*2*7.5</f>
        <v>1035</v>
      </c>
    </row>
    <row r="195" spans="1:5" x14ac:dyDescent="0.25">
      <c r="A195" s="24" t="s">
        <v>1537</v>
      </c>
      <c r="B195" s="6" t="s">
        <v>344</v>
      </c>
      <c r="C195" s="6" t="s">
        <v>63</v>
      </c>
      <c r="D195" s="6" t="s">
        <v>58</v>
      </c>
      <c r="E195" s="25">
        <f>'Inventory master'!G195*2*7.5</f>
        <v>1485</v>
      </c>
    </row>
    <row r="196" spans="1:5" x14ac:dyDescent="0.25">
      <c r="A196" s="24" t="s">
        <v>1538</v>
      </c>
      <c r="B196" s="6" t="s">
        <v>82</v>
      </c>
      <c r="C196" s="6" t="s">
        <v>63</v>
      </c>
      <c r="D196" s="6" t="s">
        <v>28</v>
      </c>
      <c r="E196" s="25">
        <f>'Inventory master'!G196*2*7.5</f>
        <v>1395</v>
      </c>
    </row>
    <row r="197" spans="1:5" x14ac:dyDescent="0.25">
      <c r="A197" s="24" t="s">
        <v>1539</v>
      </c>
      <c r="B197" s="6" t="s">
        <v>356</v>
      </c>
      <c r="C197" s="6" t="s">
        <v>18</v>
      </c>
      <c r="D197" s="6" t="s">
        <v>23</v>
      </c>
      <c r="E197" s="25">
        <f>'Inventory master'!G197*2*7.5</f>
        <v>1485</v>
      </c>
    </row>
    <row r="198" spans="1:5" x14ac:dyDescent="0.25">
      <c r="A198" s="24" t="s">
        <v>1540</v>
      </c>
      <c r="B198" s="6" t="s">
        <v>385</v>
      </c>
      <c r="C198" s="6" t="s">
        <v>32</v>
      </c>
      <c r="D198" s="6" t="s">
        <v>14</v>
      </c>
      <c r="E198" s="25">
        <f>'Inventory master'!G198*2*7.5</f>
        <v>570</v>
      </c>
    </row>
    <row r="199" spans="1:5" x14ac:dyDescent="0.25">
      <c r="A199" s="24" t="s">
        <v>1541</v>
      </c>
      <c r="B199" s="6" t="s">
        <v>468</v>
      </c>
      <c r="C199" s="6" t="s">
        <v>32</v>
      </c>
      <c r="D199" s="6" t="s">
        <v>19</v>
      </c>
      <c r="E199" s="25">
        <f>'Inventory master'!G199*2*7.5</f>
        <v>180</v>
      </c>
    </row>
    <row r="200" spans="1:5" x14ac:dyDescent="0.25">
      <c r="A200" s="24" t="s">
        <v>1542</v>
      </c>
      <c r="B200" s="6" t="s">
        <v>35</v>
      </c>
      <c r="C200" s="6" t="s">
        <v>13</v>
      </c>
      <c r="D200" s="6" t="s">
        <v>78</v>
      </c>
      <c r="E200" s="25">
        <f>'Inventory master'!G200*2*7.5</f>
        <v>675</v>
      </c>
    </row>
    <row r="201" spans="1:5" x14ac:dyDescent="0.25">
      <c r="A201" s="24" t="s">
        <v>1543</v>
      </c>
      <c r="B201" s="6" t="s">
        <v>157</v>
      </c>
      <c r="C201" s="6" t="s">
        <v>27</v>
      </c>
      <c r="D201" s="6" t="s">
        <v>23</v>
      </c>
      <c r="E201" s="25">
        <f>'Inventory master'!G201*2*7.5</f>
        <v>795</v>
      </c>
    </row>
    <row r="202" spans="1:5" x14ac:dyDescent="0.25">
      <c r="A202" s="24" t="s">
        <v>1544</v>
      </c>
      <c r="B202" s="6" t="s">
        <v>250</v>
      </c>
      <c r="C202" s="6" t="s">
        <v>63</v>
      </c>
      <c r="D202" s="6" t="s">
        <v>123</v>
      </c>
      <c r="E202" s="25">
        <f>'Inventory master'!G202*2*7.5</f>
        <v>255</v>
      </c>
    </row>
    <row r="203" spans="1:5" x14ac:dyDescent="0.25">
      <c r="A203" s="24" t="s">
        <v>1545</v>
      </c>
      <c r="B203" s="6" t="s">
        <v>250</v>
      </c>
      <c r="C203" s="6" t="s">
        <v>63</v>
      </c>
      <c r="D203" s="6" t="s">
        <v>101</v>
      </c>
      <c r="E203" s="25">
        <f>'Inventory master'!G203*2*7.5</f>
        <v>645</v>
      </c>
    </row>
    <row r="204" spans="1:5" x14ac:dyDescent="0.25">
      <c r="A204" s="24" t="s">
        <v>1546</v>
      </c>
      <c r="B204" s="6" t="s">
        <v>51</v>
      </c>
      <c r="C204" s="6" t="s">
        <v>52</v>
      </c>
      <c r="D204" s="6" t="s">
        <v>101</v>
      </c>
      <c r="E204" s="25">
        <f>'Inventory master'!G204*2*7.5</f>
        <v>390</v>
      </c>
    </row>
    <row r="205" spans="1:5" x14ac:dyDescent="0.25">
      <c r="A205" s="24" t="s">
        <v>1547</v>
      </c>
      <c r="B205" s="6" t="s">
        <v>563</v>
      </c>
      <c r="C205" s="6" t="s">
        <v>52</v>
      </c>
      <c r="D205" s="6" t="s">
        <v>9</v>
      </c>
      <c r="E205" s="25">
        <f>'Inventory master'!G205*2*7.5</f>
        <v>405</v>
      </c>
    </row>
    <row r="206" spans="1:5" x14ac:dyDescent="0.25">
      <c r="A206" s="24" t="s">
        <v>1548</v>
      </c>
      <c r="B206" s="6" t="s">
        <v>178</v>
      </c>
      <c r="C206" s="6" t="s">
        <v>179</v>
      </c>
      <c r="D206" s="6" t="s">
        <v>23</v>
      </c>
      <c r="E206" s="25">
        <f>'Inventory master'!G206*2*7.5</f>
        <v>375</v>
      </c>
    </row>
    <row r="207" spans="1:5" x14ac:dyDescent="0.25">
      <c r="A207" s="24" t="s">
        <v>1549</v>
      </c>
      <c r="B207" s="6" t="s">
        <v>47</v>
      </c>
      <c r="C207" s="6" t="s">
        <v>42</v>
      </c>
      <c r="D207" s="6" t="s">
        <v>78</v>
      </c>
      <c r="E207" s="25">
        <f>'Inventory master'!G207*2*7.5</f>
        <v>825</v>
      </c>
    </row>
    <row r="208" spans="1:5" x14ac:dyDescent="0.25">
      <c r="A208" s="24" t="s">
        <v>1550</v>
      </c>
      <c r="B208" s="6" t="s">
        <v>35</v>
      </c>
      <c r="C208" s="6" t="s">
        <v>13</v>
      </c>
      <c r="D208" s="6" t="s">
        <v>123</v>
      </c>
      <c r="E208" s="25">
        <f>'Inventory master'!G208*2*7.5</f>
        <v>750</v>
      </c>
    </row>
    <row r="209" spans="1:5" x14ac:dyDescent="0.25">
      <c r="A209" s="24" t="s">
        <v>1551</v>
      </c>
      <c r="B209" s="6" t="s">
        <v>12</v>
      </c>
      <c r="C209" s="6" t="s">
        <v>13</v>
      </c>
      <c r="D209" s="6" t="s">
        <v>14</v>
      </c>
      <c r="E209" s="25">
        <f>'Inventory master'!G209*2*7.5</f>
        <v>1470</v>
      </c>
    </row>
    <row r="210" spans="1:5" x14ac:dyDescent="0.25">
      <c r="A210" s="24" t="s">
        <v>1552</v>
      </c>
      <c r="B210" s="6" t="s">
        <v>349</v>
      </c>
      <c r="C210" s="6" t="s">
        <v>179</v>
      </c>
      <c r="D210" s="6" t="s">
        <v>36</v>
      </c>
      <c r="E210" s="25">
        <f>'Inventory master'!G210*2*7.5</f>
        <v>540</v>
      </c>
    </row>
    <row r="211" spans="1:5" x14ac:dyDescent="0.25">
      <c r="A211" s="24" t="s">
        <v>1553</v>
      </c>
      <c r="B211" s="6" t="s">
        <v>576</v>
      </c>
      <c r="C211" s="6" t="s">
        <v>63</v>
      </c>
      <c r="D211" s="6" t="s">
        <v>58</v>
      </c>
      <c r="E211" s="25">
        <f>'Inventory master'!G211*2*7.5</f>
        <v>435</v>
      </c>
    </row>
    <row r="212" spans="1:5" x14ac:dyDescent="0.25">
      <c r="A212" s="24" t="s">
        <v>1554</v>
      </c>
      <c r="B212" s="6" t="s">
        <v>184</v>
      </c>
      <c r="C212" s="6" t="s">
        <v>164</v>
      </c>
      <c r="D212" s="6" t="s">
        <v>14</v>
      </c>
      <c r="E212" s="25">
        <f>'Inventory master'!G212*2*7.5</f>
        <v>150</v>
      </c>
    </row>
    <row r="213" spans="1:5" x14ac:dyDescent="0.25">
      <c r="A213" s="24" t="s">
        <v>1555</v>
      </c>
      <c r="B213" s="6" t="s">
        <v>62</v>
      </c>
      <c r="C213" s="6" t="s">
        <v>63</v>
      </c>
      <c r="D213" s="6" t="s">
        <v>36</v>
      </c>
      <c r="E213" s="25">
        <f>'Inventory master'!G213*2*7.5</f>
        <v>270</v>
      </c>
    </row>
    <row r="214" spans="1:5" x14ac:dyDescent="0.25">
      <c r="A214" s="24" t="s">
        <v>1556</v>
      </c>
      <c r="B214" s="6" t="s">
        <v>82</v>
      </c>
      <c r="C214" s="6" t="s">
        <v>63</v>
      </c>
      <c r="D214" s="6" t="s">
        <v>19</v>
      </c>
      <c r="E214" s="25">
        <f>'Inventory master'!G214*2*7.5</f>
        <v>1365</v>
      </c>
    </row>
    <row r="215" spans="1:5" x14ac:dyDescent="0.25">
      <c r="A215" s="24" t="s">
        <v>1557</v>
      </c>
      <c r="B215" s="6" t="s">
        <v>385</v>
      </c>
      <c r="C215" s="6" t="s">
        <v>32</v>
      </c>
      <c r="D215" s="6" t="s">
        <v>9</v>
      </c>
      <c r="E215" s="25">
        <f>'Inventory master'!G215*2*7.5</f>
        <v>795</v>
      </c>
    </row>
    <row r="216" spans="1:5" x14ac:dyDescent="0.25">
      <c r="A216" s="24" t="s">
        <v>1558</v>
      </c>
      <c r="B216" s="6" t="s">
        <v>184</v>
      </c>
      <c r="C216" s="6" t="s">
        <v>164</v>
      </c>
      <c r="D216" s="6" t="s">
        <v>36</v>
      </c>
      <c r="E216" s="25">
        <f>'Inventory master'!G216*2*7.5</f>
        <v>1470</v>
      </c>
    </row>
    <row r="217" spans="1:5" x14ac:dyDescent="0.25">
      <c r="A217" s="24" t="s">
        <v>1559</v>
      </c>
      <c r="B217" s="6" t="s">
        <v>47</v>
      </c>
      <c r="C217" s="6" t="s">
        <v>42</v>
      </c>
      <c r="D217" s="6" t="s">
        <v>28</v>
      </c>
      <c r="E217" s="25">
        <f>'Inventory master'!G217*2*7.5</f>
        <v>855</v>
      </c>
    </row>
    <row r="218" spans="1:5" x14ac:dyDescent="0.25">
      <c r="A218" s="24" t="s">
        <v>1560</v>
      </c>
      <c r="B218" s="6" t="s">
        <v>591</v>
      </c>
      <c r="C218" s="6" t="s">
        <v>18</v>
      </c>
      <c r="D218" s="6" t="s">
        <v>101</v>
      </c>
      <c r="E218" s="25">
        <f>'Inventory master'!G218*2*7.5</f>
        <v>840</v>
      </c>
    </row>
    <row r="219" spans="1:5" x14ac:dyDescent="0.25">
      <c r="A219" s="24" t="s">
        <v>1561</v>
      </c>
      <c r="B219" s="6" t="s">
        <v>594</v>
      </c>
      <c r="C219" s="6" t="s">
        <v>63</v>
      </c>
      <c r="D219" s="6" t="s">
        <v>19</v>
      </c>
      <c r="E219" s="25">
        <f>'Inventory master'!G219*2*7.5</f>
        <v>900</v>
      </c>
    </row>
    <row r="220" spans="1:5" x14ac:dyDescent="0.25">
      <c r="A220" s="24" t="s">
        <v>1562</v>
      </c>
      <c r="B220" s="6" t="s">
        <v>142</v>
      </c>
      <c r="C220" s="6" t="s">
        <v>27</v>
      </c>
      <c r="D220" s="6" t="s">
        <v>9</v>
      </c>
      <c r="E220" s="25">
        <f>'Inventory master'!G220*2*7.5</f>
        <v>840</v>
      </c>
    </row>
    <row r="221" spans="1:5" x14ac:dyDescent="0.25">
      <c r="A221" s="24" t="s">
        <v>1563</v>
      </c>
      <c r="B221" s="6" t="s">
        <v>178</v>
      </c>
      <c r="C221" s="6" t="s">
        <v>179</v>
      </c>
      <c r="D221" s="6" t="s">
        <v>14</v>
      </c>
      <c r="E221" s="25">
        <f>'Inventory master'!G221*2*7.5</f>
        <v>1290</v>
      </c>
    </row>
    <row r="222" spans="1:5" x14ac:dyDescent="0.25">
      <c r="A222" s="24" t="s">
        <v>1564</v>
      </c>
      <c r="B222" s="6" t="s">
        <v>591</v>
      </c>
      <c r="C222" s="6" t="s">
        <v>18</v>
      </c>
      <c r="D222" s="6" t="s">
        <v>53</v>
      </c>
      <c r="E222" s="25">
        <f>'Inventory master'!G222*2*7.5</f>
        <v>510</v>
      </c>
    </row>
    <row r="223" spans="1:5" x14ac:dyDescent="0.25">
      <c r="A223" s="24" t="s">
        <v>1565</v>
      </c>
      <c r="B223" s="6" t="s">
        <v>12</v>
      </c>
      <c r="C223" s="6" t="s">
        <v>13</v>
      </c>
      <c r="D223" s="6" t="s">
        <v>14</v>
      </c>
      <c r="E223" s="25">
        <f>'Inventory master'!G223*2*7.5</f>
        <v>990</v>
      </c>
    </row>
    <row r="224" spans="1:5" x14ac:dyDescent="0.25">
      <c r="A224" s="24" t="s">
        <v>1566</v>
      </c>
      <c r="B224" s="6" t="s">
        <v>7</v>
      </c>
      <c r="C224" s="6" t="s">
        <v>8</v>
      </c>
      <c r="D224" s="6" t="s">
        <v>23</v>
      </c>
      <c r="E224" s="25">
        <f>'Inventory master'!G224*2*7.5</f>
        <v>780</v>
      </c>
    </row>
    <row r="225" spans="1:5" x14ac:dyDescent="0.25">
      <c r="A225" s="24" t="s">
        <v>1567</v>
      </c>
      <c r="B225" s="6" t="s">
        <v>364</v>
      </c>
      <c r="C225" s="6" t="s">
        <v>52</v>
      </c>
      <c r="D225" s="6" t="s">
        <v>9</v>
      </c>
      <c r="E225" s="25">
        <f>'Inventory master'!G225*2*7.5</f>
        <v>1305</v>
      </c>
    </row>
    <row r="226" spans="1:5" x14ac:dyDescent="0.25">
      <c r="A226" s="24" t="s">
        <v>1568</v>
      </c>
      <c r="B226" s="6" t="s">
        <v>250</v>
      </c>
      <c r="C226" s="6" t="s">
        <v>63</v>
      </c>
      <c r="D226" s="6" t="s">
        <v>9</v>
      </c>
      <c r="E226" s="25">
        <f>'Inventory master'!G226*2*7.5</f>
        <v>1065</v>
      </c>
    </row>
    <row r="227" spans="1:5" x14ac:dyDescent="0.25">
      <c r="A227" s="24" t="s">
        <v>1569</v>
      </c>
      <c r="B227" s="6" t="s">
        <v>364</v>
      </c>
      <c r="C227" s="6" t="s">
        <v>52</v>
      </c>
      <c r="D227" s="6" t="s">
        <v>28</v>
      </c>
      <c r="E227" s="25">
        <f>'Inventory master'!G227*2*7.5</f>
        <v>1020</v>
      </c>
    </row>
    <row r="228" spans="1:5" x14ac:dyDescent="0.25">
      <c r="A228" s="24" t="s">
        <v>1570</v>
      </c>
      <c r="B228" s="6" t="s">
        <v>41</v>
      </c>
      <c r="C228" s="6" t="s">
        <v>42</v>
      </c>
      <c r="D228" s="6" t="s">
        <v>28</v>
      </c>
      <c r="E228" s="25">
        <f>'Inventory master'!G228*2*7.5</f>
        <v>1275</v>
      </c>
    </row>
    <row r="229" spans="1:5" x14ac:dyDescent="0.25">
      <c r="A229" s="24" t="s">
        <v>1571</v>
      </c>
      <c r="B229" s="6" t="s">
        <v>41</v>
      </c>
      <c r="C229" s="6" t="s">
        <v>42</v>
      </c>
      <c r="D229" s="6" t="s">
        <v>19</v>
      </c>
      <c r="E229" s="25">
        <f>'Inventory master'!G229*2*7.5</f>
        <v>990</v>
      </c>
    </row>
    <row r="230" spans="1:5" x14ac:dyDescent="0.25">
      <c r="A230" s="24" t="s">
        <v>1572</v>
      </c>
      <c r="B230" s="6" t="s">
        <v>263</v>
      </c>
      <c r="C230" s="6" t="s">
        <v>8</v>
      </c>
      <c r="D230" s="6" t="s">
        <v>36</v>
      </c>
      <c r="E230" s="25">
        <f>'Inventory master'!G230*2*7.5</f>
        <v>1215</v>
      </c>
    </row>
    <row r="231" spans="1:5" x14ac:dyDescent="0.25">
      <c r="A231" s="24" t="s">
        <v>1573</v>
      </c>
      <c r="B231" s="6" t="s">
        <v>26</v>
      </c>
      <c r="C231" s="6" t="s">
        <v>27</v>
      </c>
      <c r="D231" s="6" t="s">
        <v>23</v>
      </c>
      <c r="E231" s="25">
        <f>'Inventory master'!G231*2*7.5</f>
        <v>1050</v>
      </c>
    </row>
    <row r="232" spans="1:5" x14ac:dyDescent="0.25">
      <c r="A232" s="24" t="s">
        <v>1574</v>
      </c>
      <c r="B232" s="6" t="s">
        <v>178</v>
      </c>
      <c r="C232" s="6" t="s">
        <v>179</v>
      </c>
      <c r="D232" s="6" t="s">
        <v>78</v>
      </c>
      <c r="E232" s="25">
        <f>'Inventory master'!G232*2*7.5</f>
        <v>930</v>
      </c>
    </row>
    <row r="233" spans="1:5" x14ac:dyDescent="0.25">
      <c r="A233" s="24" t="s">
        <v>1575</v>
      </c>
      <c r="B233" s="6" t="s">
        <v>228</v>
      </c>
      <c r="C233" s="6" t="s">
        <v>63</v>
      </c>
      <c r="D233" s="6" t="s">
        <v>101</v>
      </c>
      <c r="E233" s="25">
        <f>'Inventory master'!G233*2*7.5</f>
        <v>645</v>
      </c>
    </row>
    <row r="234" spans="1:5" x14ac:dyDescent="0.25">
      <c r="A234" s="24" t="s">
        <v>1576</v>
      </c>
      <c r="B234" s="6" t="s">
        <v>364</v>
      </c>
      <c r="C234" s="6" t="s">
        <v>52</v>
      </c>
      <c r="D234" s="6" t="s">
        <v>101</v>
      </c>
      <c r="E234" s="25">
        <f>'Inventory master'!G234*2*7.5</f>
        <v>630</v>
      </c>
    </row>
    <row r="235" spans="1:5" x14ac:dyDescent="0.25">
      <c r="A235" s="24" t="s">
        <v>1577</v>
      </c>
      <c r="B235" s="6" t="s">
        <v>26</v>
      </c>
      <c r="C235" s="6" t="s">
        <v>27</v>
      </c>
      <c r="D235" s="6" t="s">
        <v>78</v>
      </c>
      <c r="E235" s="25">
        <f>'Inventory master'!G235*2*7.5</f>
        <v>315</v>
      </c>
    </row>
    <row r="236" spans="1:5" x14ac:dyDescent="0.25">
      <c r="A236" s="24" t="s">
        <v>1578</v>
      </c>
      <c r="B236" s="6" t="s">
        <v>361</v>
      </c>
      <c r="C236" s="6" t="s">
        <v>179</v>
      </c>
      <c r="D236" s="6" t="s">
        <v>9</v>
      </c>
      <c r="E236" s="25">
        <f>'Inventory master'!G236*2*7.5</f>
        <v>1500</v>
      </c>
    </row>
    <row r="237" spans="1:5" x14ac:dyDescent="0.25">
      <c r="A237" s="24" t="s">
        <v>1579</v>
      </c>
      <c r="B237" s="6" t="s">
        <v>214</v>
      </c>
      <c r="C237" s="6" t="s">
        <v>164</v>
      </c>
      <c r="D237" s="6" t="s">
        <v>53</v>
      </c>
      <c r="E237" s="25">
        <f>'Inventory master'!G237*2*7.5</f>
        <v>615</v>
      </c>
    </row>
    <row r="238" spans="1:5" x14ac:dyDescent="0.25">
      <c r="A238" s="24" t="s">
        <v>1580</v>
      </c>
      <c r="B238" s="6" t="s">
        <v>87</v>
      </c>
      <c r="C238" s="6" t="s">
        <v>42</v>
      </c>
      <c r="D238" s="6" t="s">
        <v>53</v>
      </c>
      <c r="E238" s="25">
        <f>'Inventory master'!G238*2*7.5</f>
        <v>975</v>
      </c>
    </row>
    <row r="239" spans="1:5" x14ac:dyDescent="0.25">
      <c r="A239" s="24" t="s">
        <v>1581</v>
      </c>
      <c r="B239" s="6" t="s">
        <v>74</v>
      </c>
      <c r="C239" s="6" t="s">
        <v>8</v>
      </c>
      <c r="D239" s="6" t="s">
        <v>101</v>
      </c>
      <c r="E239" s="25">
        <f>'Inventory master'!G239*2*7.5</f>
        <v>255</v>
      </c>
    </row>
    <row r="240" spans="1:5" x14ac:dyDescent="0.25">
      <c r="A240" s="24" t="s">
        <v>1582</v>
      </c>
      <c r="B240" s="6" t="s">
        <v>364</v>
      </c>
      <c r="C240" s="6" t="s">
        <v>52</v>
      </c>
      <c r="D240" s="6" t="s">
        <v>58</v>
      </c>
      <c r="E240" s="25">
        <f>'Inventory master'!G240*2*7.5</f>
        <v>1410</v>
      </c>
    </row>
    <row r="241" spans="1:5" x14ac:dyDescent="0.25">
      <c r="A241" s="24" t="s">
        <v>1583</v>
      </c>
      <c r="B241" s="6" t="s">
        <v>349</v>
      </c>
      <c r="C241" s="6" t="s">
        <v>179</v>
      </c>
      <c r="D241" s="6" t="s">
        <v>58</v>
      </c>
      <c r="E241" s="25">
        <f>'Inventory master'!G241*2*7.5</f>
        <v>570</v>
      </c>
    </row>
    <row r="242" spans="1:5" x14ac:dyDescent="0.25">
      <c r="A242" s="24" t="s">
        <v>1584</v>
      </c>
      <c r="B242" s="6" t="s">
        <v>82</v>
      </c>
      <c r="C242" s="6" t="s">
        <v>63</v>
      </c>
      <c r="D242" s="6" t="s">
        <v>19</v>
      </c>
      <c r="E242" s="25">
        <f>'Inventory master'!G242*2*7.5</f>
        <v>1470</v>
      </c>
    </row>
    <row r="243" spans="1:5" x14ac:dyDescent="0.25">
      <c r="A243" s="24" t="s">
        <v>1585</v>
      </c>
      <c r="B243" s="6" t="s">
        <v>35</v>
      </c>
      <c r="C243" s="6" t="s">
        <v>13</v>
      </c>
      <c r="D243" s="6" t="s">
        <v>23</v>
      </c>
      <c r="E243" s="25">
        <f>'Inventory master'!G243*2*7.5</f>
        <v>795</v>
      </c>
    </row>
    <row r="244" spans="1:5" x14ac:dyDescent="0.25">
      <c r="A244" s="24" t="s">
        <v>1586</v>
      </c>
      <c r="B244" s="6" t="s">
        <v>82</v>
      </c>
      <c r="C244" s="6" t="s">
        <v>63</v>
      </c>
      <c r="D244" s="6" t="s">
        <v>28</v>
      </c>
      <c r="E244" s="25">
        <f>'Inventory master'!G244*2*7.5</f>
        <v>180</v>
      </c>
    </row>
    <row r="245" spans="1:5" x14ac:dyDescent="0.25">
      <c r="A245" s="24" t="s">
        <v>1587</v>
      </c>
      <c r="B245" s="6" t="s">
        <v>647</v>
      </c>
      <c r="C245" s="6" t="s">
        <v>63</v>
      </c>
      <c r="D245" s="6" t="s">
        <v>123</v>
      </c>
      <c r="E245" s="25">
        <f>'Inventory master'!G245*2*7.5</f>
        <v>270</v>
      </c>
    </row>
    <row r="246" spans="1:5" x14ac:dyDescent="0.25">
      <c r="A246" s="24" t="s">
        <v>1588</v>
      </c>
      <c r="B246" s="6" t="s">
        <v>650</v>
      </c>
      <c r="C246" s="6" t="s">
        <v>32</v>
      </c>
      <c r="D246" s="6" t="s">
        <v>19</v>
      </c>
      <c r="E246" s="25">
        <f>'Inventory master'!G246*2*7.5</f>
        <v>960</v>
      </c>
    </row>
    <row r="247" spans="1:5" x14ac:dyDescent="0.25">
      <c r="A247" s="24" t="s">
        <v>1589</v>
      </c>
      <c r="B247" s="6" t="s">
        <v>364</v>
      </c>
      <c r="C247" s="6" t="s">
        <v>52</v>
      </c>
      <c r="D247" s="6" t="s">
        <v>9</v>
      </c>
      <c r="E247" s="25">
        <f>'Inventory master'!G247*2*7.5</f>
        <v>780</v>
      </c>
    </row>
    <row r="248" spans="1:5" x14ac:dyDescent="0.25">
      <c r="A248" s="24" t="s">
        <v>1590</v>
      </c>
      <c r="B248" s="6" t="s">
        <v>407</v>
      </c>
      <c r="C248" s="6" t="s">
        <v>179</v>
      </c>
      <c r="D248" s="6" t="s">
        <v>78</v>
      </c>
      <c r="E248" s="25">
        <f>'Inventory master'!G248*2*7.5</f>
        <v>1395</v>
      </c>
    </row>
    <row r="249" spans="1:5" x14ac:dyDescent="0.25">
      <c r="A249" s="24" t="s">
        <v>1591</v>
      </c>
      <c r="B249" s="6" t="s">
        <v>35</v>
      </c>
      <c r="C249" s="6" t="s">
        <v>13</v>
      </c>
      <c r="D249" s="6" t="s">
        <v>101</v>
      </c>
      <c r="E249" s="25">
        <f>'Inventory master'!G249*2*7.5</f>
        <v>615</v>
      </c>
    </row>
    <row r="250" spans="1:5" x14ac:dyDescent="0.25">
      <c r="A250" s="24" t="s">
        <v>1592</v>
      </c>
      <c r="B250" s="6" t="s">
        <v>184</v>
      </c>
      <c r="C250" s="6" t="s">
        <v>164</v>
      </c>
      <c r="D250" s="6" t="s">
        <v>14</v>
      </c>
      <c r="E250" s="25">
        <f>'Inventory master'!G250*2*7.5</f>
        <v>1125</v>
      </c>
    </row>
    <row r="251" spans="1:5" x14ac:dyDescent="0.25">
      <c r="A251" s="24" t="s">
        <v>1593</v>
      </c>
      <c r="B251" s="6" t="s">
        <v>163</v>
      </c>
      <c r="C251" s="6" t="s">
        <v>164</v>
      </c>
      <c r="D251" s="6" t="s">
        <v>28</v>
      </c>
      <c r="E251" s="25">
        <f>'Inventory master'!G251*2*7.5</f>
        <v>450</v>
      </c>
    </row>
    <row r="252" spans="1:5" x14ac:dyDescent="0.25">
      <c r="A252" s="24" t="s">
        <v>1594</v>
      </c>
      <c r="B252" s="6" t="s">
        <v>663</v>
      </c>
      <c r="C252" s="6" t="s">
        <v>18</v>
      </c>
      <c r="D252" s="6" t="s">
        <v>14</v>
      </c>
      <c r="E252" s="25">
        <f>'Inventory master'!G252*2*7.5</f>
        <v>510</v>
      </c>
    </row>
    <row r="253" spans="1:5" x14ac:dyDescent="0.25">
      <c r="A253" s="24" t="s">
        <v>1595</v>
      </c>
      <c r="B253" s="6" t="s">
        <v>110</v>
      </c>
      <c r="C253" s="6" t="s">
        <v>8</v>
      </c>
      <c r="D253" s="6" t="s">
        <v>91</v>
      </c>
      <c r="E253" s="25">
        <f>'Inventory master'!G253*2*7.5</f>
        <v>510</v>
      </c>
    </row>
    <row r="254" spans="1:5" x14ac:dyDescent="0.25">
      <c r="A254" s="24" t="s">
        <v>1596</v>
      </c>
      <c r="B254" s="6" t="s">
        <v>35</v>
      </c>
      <c r="C254" s="6" t="s">
        <v>13</v>
      </c>
      <c r="D254" s="6" t="s">
        <v>19</v>
      </c>
      <c r="E254" s="25">
        <f>'Inventory master'!G254*2*7.5</f>
        <v>375</v>
      </c>
    </row>
    <row r="255" spans="1:5" x14ac:dyDescent="0.25">
      <c r="A255" s="24" t="s">
        <v>1597</v>
      </c>
      <c r="B255" s="6" t="s">
        <v>349</v>
      </c>
      <c r="C255" s="6" t="s">
        <v>179</v>
      </c>
      <c r="D255" s="6" t="s">
        <v>123</v>
      </c>
      <c r="E255" s="25">
        <f>'Inventory master'!G255*2*7.5</f>
        <v>570</v>
      </c>
    </row>
    <row r="256" spans="1:5" x14ac:dyDescent="0.25">
      <c r="A256" s="24" t="s">
        <v>1598</v>
      </c>
      <c r="B256" s="6" t="s">
        <v>250</v>
      </c>
      <c r="C256" s="6" t="s">
        <v>63</v>
      </c>
      <c r="D256" s="6" t="s">
        <v>91</v>
      </c>
      <c r="E256" s="25">
        <f>'Inventory master'!G256*2*7.5</f>
        <v>930</v>
      </c>
    </row>
    <row r="257" spans="1:5" x14ac:dyDescent="0.25">
      <c r="A257" s="24" t="s">
        <v>1599</v>
      </c>
      <c r="B257" s="6" t="s">
        <v>122</v>
      </c>
      <c r="C257" s="6" t="s">
        <v>18</v>
      </c>
      <c r="D257" s="6" t="s">
        <v>28</v>
      </c>
      <c r="E257" s="25">
        <f>'Inventory master'!G257*2*7.5</f>
        <v>1485</v>
      </c>
    </row>
    <row r="258" spans="1:5" x14ac:dyDescent="0.25">
      <c r="A258" s="24" t="s">
        <v>1600</v>
      </c>
      <c r="B258" s="6" t="s">
        <v>100</v>
      </c>
      <c r="C258" s="6" t="s">
        <v>52</v>
      </c>
      <c r="D258" s="6" t="s">
        <v>14</v>
      </c>
      <c r="E258" s="25">
        <f>'Inventory master'!G258*2*7.5</f>
        <v>480</v>
      </c>
    </row>
    <row r="259" spans="1:5" x14ac:dyDescent="0.25">
      <c r="A259" s="24" t="s">
        <v>1601</v>
      </c>
      <c r="B259" s="6" t="s">
        <v>361</v>
      </c>
      <c r="C259" s="6" t="s">
        <v>179</v>
      </c>
      <c r="D259" s="6" t="s">
        <v>58</v>
      </c>
      <c r="E259" s="25">
        <f>'Inventory master'!G259*2*7.5</f>
        <v>315</v>
      </c>
    </row>
    <row r="260" spans="1:5" x14ac:dyDescent="0.25">
      <c r="A260" s="24" t="s">
        <v>1602</v>
      </c>
      <c r="B260" s="6" t="s">
        <v>214</v>
      </c>
      <c r="C260" s="6" t="s">
        <v>164</v>
      </c>
      <c r="D260" s="6" t="s">
        <v>14</v>
      </c>
      <c r="E260" s="25">
        <f>'Inventory master'!G260*2*7.5</f>
        <v>1065</v>
      </c>
    </row>
    <row r="261" spans="1:5" x14ac:dyDescent="0.25">
      <c r="A261" s="24" t="s">
        <v>1603</v>
      </c>
      <c r="B261" s="6" t="s">
        <v>100</v>
      </c>
      <c r="C261" s="6" t="s">
        <v>52</v>
      </c>
      <c r="D261" s="6" t="s">
        <v>78</v>
      </c>
      <c r="E261" s="25">
        <f>'Inventory master'!G261*2*7.5</f>
        <v>1305</v>
      </c>
    </row>
    <row r="262" spans="1:5" x14ac:dyDescent="0.25">
      <c r="A262" s="24" t="s">
        <v>1604</v>
      </c>
      <c r="B262" s="6" t="s">
        <v>12</v>
      </c>
      <c r="C262" s="6" t="s">
        <v>13</v>
      </c>
      <c r="D262" s="6" t="s">
        <v>78</v>
      </c>
      <c r="E262" s="25">
        <f>'Inventory master'!G262*2*7.5</f>
        <v>840</v>
      </c>
    </row>
    <row r="263" spans="1:5" x14ac:dyDescent="0.25">
      <c r="A263" s="24" t="s">
        <v>1605</v>
      </c>
      <c r="B263" s="6" t="s">
        <v>7</v>
      </c>
      <c r="C263" s="6" t="s">
        <v>8</v>
      </c>
      <c r="D263" s="6" t="s">
        <v>19</v>
      </c>
      <c r="E263" s="25">
        <f>'Inventory master'!G263*2*7.5</f>
        <v>1125</v>
      </c>
    </row>
    <row r="264" spans="1:5" x14ac:dyDescent="0.25">
      <c r="A264" s="24" t="s">
        <v>1606</v>
      </c>
      <c r="B264" s="6" t="s">
        <v>364</v>
      </c>
      <c r="C264" s="6" t="s">
        <v>52</v>
      </c>
      <c r="D264" s="6" t="s">
        <v>36</v>
      </c>
      <c r="E264" s="25">
        <f>'Inventory master'!G264*2*7.5</f>
        <v>270</v>
      </c>
    </row>
    <row r="265" spans="1:5" x14ac:dyDescent="0.25">
      <c r="A265" s="24" t="s">
        <v>1607</v>
      </c>
      <c r="B265" s="6" t="s">
        <v>385</v>
      </c>
      <c r="C265" s="6" t="s">
        <v>32</v>
      </c>
      <c r="D265" s="6" t="s">
        <v>91</v>
      </c>
      <c r="E265" s="25">
        <f>'Inventory master'!G265*2*7.5</f>
        <v>1500</v>
      </c>
    </row>
    <row r="266" spans="1:5" x14ac:dyDescent="0.25">
      <c r="A266" s="24" t="s">
        <v>1608</v>
      </c>
      <c r="B266" s="6" t="s">
        <v>241</v>
      </c>
      <c r="C266" s="6" t="s">
        <v>27</v>
      </c>
      <c r="D266" s="6" t="s">
        <v>14</v>
      </c>
      <c r="E266" s="25">
        <f>'Inventory master'!G266*2*7.5</f>
        <v>1200</v>
      </c>
    </row>
    <row r="267" spans="1:5" x14ac:dyDescent="0.25">
      <c r="A267" s="24" t="s">
        <v>1609</v>
      </c>
      <c r="B267" s="6" t="s">
        <v>468</v>
      </c>
      <c r="C267" s="6" t="s">
        <v>32</v>
      </c>
      <c r="D267" s="6" t="s">
        <v>23</v>
      </c>
      <c r="E267" s="25">
        <f>'Inventory master'!G267*2*7.5</f>
        <v>330</v>
      </c>
    </row>
    <row r="268" spans="1:5" x14ac:dyDescent="0.25">
      <c r="A268" s="24" t="s">
        <v>1610</v>
      </c>
      <c r="B268" s="6" t="s">
        <v>356</v>
      </c>
      <c r="C268" s="6" t="s">
        <v>18</v>
      </c>
      <c r="D268" s="6" t="s">
        <v>53</v>
      </c>
      <c r="E268" s="25">
        <f>'Inventory master'!G268*2*7.5</f>
        <v>780</v>
      </c>
    </row>
    <row r="269" spans="1:5" x14ac:dyDescent="0.25">
      <c r="A269" s="24" t="s">
        <v>1611</v>
      </c>
      <c r="B269" s="6" t="s">
        <v>31</v>
      </c>
      <c r="C269" s="6" t="s">
        <v>32</v>
      </c>
      <c r="D269" s="6" t="s">
        <v>53</v>
      </c>
      <c r="E269" s="25">
        <f>'Inventory master'!G269*2*7.5</f>
        <v>675</v>
      </c>
    </row>
    <row r="270" spans="1:5" x14ac:dyDescent="0.25">
      <c r="A270" s="24" t="s">
        <v>1612</v>
      </c>
      <c r="B270" s="6" t="s">
        <v>407</v>
      </c>
      <c r="C270" s="6" t="s">
        <v>179</v>
      </c>
      <c r="D270" s="6" t="s">
        <v>36</v>
      </c>
      <c r="E270" s="25">
        <f>'Inventory master'!G270*2*7.5</f>
        <v>1125</v>
      </c>
    </row>
    <row r="271" spans="1:5" x14ac:dyDescent="0.25">
      <c r="A271" s="24" t="s">
        <v>1613</v>
      </c>
      <c r="B271" s="6" t="s">
        <v>509</v>
      </c>
      <c r="C271" s="6" t="s">
        <v>18</v>
      </c>
      <c r="D271" s="6" t="s">
        <v>53</v>
      </c>
      <c r="E271" s="25">
        <f>'Inventory master'!G271*2*7.5</f>
        <v>840</v>
      </c>
    </row>
    <row r="272" spans="1:5" x14ac:dyDescent="0.25">
      <c r="A272" s="24" t="s">
        <v>1614</v>
      </c>
      <c r="B272" s="6" t="s">
        <v>31</v>
      </c>
      <c r="C272" s="6" t="s">
        <v>32</v>
      </c>
      <c r="D272" s="6" t="s">
        <v>9</v>
      </c>
      <c r="E272" s="25">
        <f>'Inventory master'!G272*2*7.5</f>
        <v>300</v>
      </c>
    </row>
    <row r="273" spans="1:5" x14ac:dyDescent="0.25">
      <c r="A273" s="24" t="s">
        <v>1615</v>
      </c>
      <c r="B273" s="6" t="s">
        <v>163</v>
      </c>
      <c r="C273" s="6" t="s">
        <v>164</v>
      </c>
      <c r="D273" s="6" t="s">
        <v>91</v>
      </c>
      <c r="E273" s="25">
        <f>'Inventory master'!G273*2*7.5</f>
        <v>1335</v>
      </c>
    </row>
    <row r="274" spans="1:5" x14ac:dyDescent="0.25">
      <c r="A274" s="24" t="s">
        <v>1616</v>
      </c>
      <c r="B274" s="6" t="s">
        <v>110</v>
      </c>
      <c r="C274" s="6" t="s">
        <v>8</v>
      </c>
      <c r="D274" s="6" t="s">
        <v>23</v>
      </c>
      <c r="E274" s="25">
        <f>'Inventory master'!G274*2*7.5</f>
        <v>1275</v>
      </c>
    </row>
    <row r="275" spans="1:5" x14ac:dyDescent="0.25">
      <c r="A275" s="24" t="s">
        <v>1617</v>
      </c>
      <c r="B275" s="6" t="s">
        <v>263</v>
      </c>
      <c r="C275" s="6" t="s">
        <v>8</v>
      </c>
      <c r="D275" s="6" t="s">
        <v>9</v>
      </c>
      <c r="E275" s="25">
        <f>'Inventory master'!G275*2*7.5</f>
        <v>270</v>
      </c>
    </row>
    <row r="276" spans="1:5" x14ac:dyDescent="0.25">
      <c r="A276" s="24" t="s">
        <v>1618</v>
      </c>
      <c r="B276" s="6" t="s">
        <v>518</v>
      </c>
      <c r="C276" s="6" t="s">
        <v>164</v>
      </c>
      <c r="D276" s="6" t="s">
        <v>58</v>
      </c>
      <c r="E276" s="25">
        <f>'Inventory master'!G276*2*7.5</f>
        <v>1170</v>
      </c>
    </row>
    <row r="277" spans="1:5" x14ac:dyDescent="0.25">
      <c r="A277" s="24" t="s">
        <v>1619</v>
      </c>
      <c r="B277" s="6" t="s">
        <v>157</v>
      </c>
      <c r="C277" s="6" t="s">
        <v>27</v>
      </c>
      <c r="D277" s="6" t="s">
        <v>9</v>
      </c>
      <c r="E277" s="25">
        <f>'Inventory master'!G277*2*7.5</f>
        <v>165</v>
      </c>
    </row>
    <row r="278" spans="1:5" x14ac:dyDescent="0.25">
      <c r="A278" s="24" t="s">
        <v>1620</v>
      </c>
      <c r="B278" s="6" t="s">
        <v>12</v>
      </c>
      <c r="C278" s="6" t="s">
        <v>13</v>
      </c>
      <c r="D278" s="6" t="s">
        <v>91</v>
      </c>
      <c r="E278" s="25">
        <f>'Inventory master'!G278*2*7.5</f>
        <v>210</v>
      </c>
    </row>
    <row r="279" spans="1:5" x14ac:dyDescent="0.25">
      <c r="A279" s="24" t="s">
        <v>1621</v>
      </c>
      <c r="B279" s="6" t="s">
        <v>468</v>
      </c>
      <c r="C279" s="6" t="s">
        <v>32</v>
      </c>
      <c r="D279" s="6" t="s">
        <v>36</v>
      </c>
      <c r="E279" s="25">
        <f>'Inventory master'!G279*2*7.5</f>
        <v>570</v>
      </c>
    </row>
    <row r="280" spans="1:5" x14ac:dyDescent="0.25">
      <c r="A280" s="24" t="s">
        <v>1622</v>
      </c>
      <c r="B280" s="6" t="s">
        <v>26</v>
      </c>
      <c r="C280" s="6" t="s">
        <v>27</v>
      </c>
      <c r="D280" s="6" t="s">
        <v>9</v>
      </c>
      <c r="E280" s="25">
        <f>'Inventory master'!G280*2*7.5</f>
        <v>1170</v>
      </c>
    </row>
    <row r="281" spans="1:5" x14ac:dyDescent="0.25">
      <c r="A281" s="24" t="s">
        <v>1623</v>
      </c>
      <c r="B281" s="6" t="s">
        <v>100</v>
      </c>
      <c r="C281" s="6" t="s">
        <v>52</v>
      </c>
      <c r="D281" s="6" t="s">
        <v>58</v>
      </c>
      <c r="E281" s="25">
        <f>'Inventory master'!G281*2*7.5</f>
        <v>1095</v>
      </c>
    </row>
    <row r="282" spans="1:5" x14ac:dyDescent="0.25">
      <c r="A282" s="24" t="s">
        <v>1624</v>
      </c>
      <c r="B282" s="6" t="s">
        <v>12</v>
      </c>
      <c r="C282" s="6" t="s">
        <v>13</v>
      </c>
      <c r="D282" s="6" t="s">
        <v>91</v>
      </c>
      <c r="E282" s="25">
        <f>'Inventory master'!G282*2*7.5</f>
        <v>510</v>
      </c>
    </row>
    <row r="283" spans="1:5" x14ac:dyDescent="0.25">
      <c r="A283" s="24" t="s">
        <v>1625</v>
      </c>
      <c r="B283" s="6" t="s">
        <v>726</v>
      </c>
      <c r="C283" s="6" t="s">
        <v>18</v>
      </c>
      <c r="D283" s="6" t="s">
        <v>9</v>
      </c>
      <c r="E283" s="25">
        <f>'Inventory master'!G283*2*7.5</f>
        <v>960</v>
      </c>
    </row>
    <row r="284" spans="1:5" x14ac:dyDescent="0.25">
      <c r="A284" s="24" t="s">
        <v>1626</v>
      </c>
      <c r="B284" s="6" t="s">
        <v>57</v>
      </c>
      <c r="C284" s="6" t="s">
        <v>42</v>
      </c>
      <c r="D284" s="6" t="s">
        <v>19</v>
      </c>
      <c r="E284" s="25">
        <f>'Inventory master'!G284*2*7.5</f>
        <v>735</v>
      </c>
    </row>
    <row r="285" spans="1:5" x14ac:dyDescent="0.25">
      <c r="A285" s="24" t="s">
        <v>1627</v>
      </c>
      <c r="B285" s="6" t="s">
        <v>385</v>
      </c>
      <c r="C285" s="6" t="s">
        <v>32</v>
      </c>
      <c r="D285" s="6" t="s">
        <v>91</v>
      </c>
      <c r="E285" s="25">
        <f>'Inventory master'!G285*2*7.5</f>
        <v>1380</v>
      </c>
    </row>
    <row r="286" spans="1:5" x14ac:dyDescent="0.25">
      <c r="A286" s="24" t="s">
        <v>1628</v>
      </c>
      <c r="B286" s="6" t="s">
        <v>12</v>
      </c>
      <c r="C286" s="6" t="s">
        <v>13</v>
      </c>
      <c r="D286" s="6" t="s">
        <v>53</v>
      </c>
      <c r="E286" s="25">
        <f>'Inventory master'!G286*2*7.5</f>
        <v>600</v>
      </c>
    </row>
    <row r="287" spans="1:5" x14ac:dyDescent="0.25">
      <c r="A287" s="24" t="s">
        <v>1629</v>
      </c>
      <c r="B287" s="6" t="s">
        <v>178</v>
      </c>
      <c r="C287" s="6" t="s">
        <v>179</v>
      </c>
      <c r="D287" s="6" t="s">
        <v>19</v>
      </c>
      <c r="E287" s="25">
        <f>'Inventory master'!G287*2*7.5</f>
        <v>435</v>
      </c>
    </row>
    <row r="288" spans="1:5" x14ac:dyDescent="0.25">
      <c r="A288" s="24" t="s">
        <v>1630</v>
      </c>
      <c r="B288" s="6" t="s">
        <v>51</v>
      </c>
      <c r="C288" s="6" t="s">
        <v>52</v>
      </c>
      <c r="D288" s="6" t="s">
        <v>19</v>
      </c>
      <c r="E288" s="25">
        <f>'Inventory master'!G288*2*7.5</f>
        <v>1380</v>
      </c>
    </row>
    <row r="289" spans="1:5" x14ac:dyDescent="0.25">
      <c r="A289" s="24" t="s">
        <v>1631</v>
      </c>
      <c r="B289" s="6" t="s">
        <v>47</v>
      </c>
      <c r="C289" s="6" t="s">
        <v>42</v>
      </c>
      <c r="D289" s="6" t="s">
        <v>78</v>
      </c>
      <c r="E289" s="25">
        <f>'Inventory master'!G289*2*7.5</f>
        <v>915</v>
      </c>
    </row>
    <row r="290" spans="1:5" x14ac:dyDescent="0.25">
      <c r="A290" s="24" t="s">
        <v>1632</v>
      </c>
      <c r="B290" s="6" t="s">
        <v>57</v>
      </c>
      <c r="C290" s="6" t="s">
        <v>42</v>
      </c>
      <c r="D290" s="6" t="s">
        <v>36</v>
      </c>
      <c r="E290" s="25">
        <f>'Inventory master'!G290*2*7.5</f>
        <v>840</v>
      </c>
    </row>
    <row r="291" spans="1:5" x14ac:dyDescent="0.25">
      <c r="A291" s="24" t="s">
        <v>1633</v>
      </c>
      <c r="B291" s="6" t="s">
        <v>7</v>
      </c>
      <c r="C291" s="6" t="s">
        <v>8</v>
      </c>
      <c r="D291" s="6" t="s">
        <v>36</v>
      </c>
      <c r="E291" s="25">
        <f>'Inventory master'!G291*2*7.5</f>
        <v>765</v>
      </c>
    </row>
    <row r="292" spans="1:5" x14ac:dyDescent="0.25">
      <c r="A292" s="24" t="s">
        <v>1634</v>
      </c>
      <c r="B292" s="6" t="s">
        <v>74</v>
      </c>
      <c r="C292" s="6" t="s">
        <v>8</v>
      </c>
      <c r="D292" s="6" t="s">
        <v>78</v>
      </c>
      <c r="E292" s="25">
        <f>'Inventory master'!G292*2*7.5</f>
        <v>510</v>
      </c>
    </row>
    <row r="293" spans="1:5" x14ac:dyDescent="0.25">
      <c r="A293" s="24" t="s">
        <v>1635</v>
      </c>
      <c r="B293" s="6" t="s">
        <v>214</v>
      </c>
      <c r="C293" s="6" t="s">
        <v>164</v>
      </c>
      <c r="D293" s="6" t="s">
        <v>14</v>
      </c>
      <c r="E293" s="25">
        <f>'Inventory master'!G293*2*7.5</f>
        <v>750</v>
      </c>
    </row>
    <row r="294" spans="1:5" x14ac:dyDescent="0.25">
      <c r="A294" s="24" t="s">
        <v>1636</v>
      </c>
      <c r="B294" s="6" t="s">
        <v>434</v>
      </c>
      <c r="C294" s="6" t="s">
        <v>18</v>
      </c>
      <c r="D294" s="6" t="s">
        <v>53</v>
      </c>
      <c r="E294" s="25">
        <f>'Inventory master'!G294*2*7.5</f>
        <v>150</v>
      </c>
    </row>
    <row r="295" spans="1:5" x14ac:dyDescent="0.25">
      <c r="A295" s="24" t="s">
        <v>1637</v>
      </c>
      <c r="B295" s="6" t="s">
        <v>263</v>
      </c>
      <c r="C295" s="6" t="s">
        <v>8</v>
      </c>
      <c r="D295" s="6" t="s">
        <v>36</v>
      </c>
      <c r="E295" s="25">
        <f>'Inventory master'!G295*2*7.5</f>
        <v>600</v>
      </c>
    </row>
    <row r="296" spans="1:5" x14ac:dyDescent="0.25">
      <c r="A296" s="24" t="s">
        <v>1638</v>
      </c>
      <c r="B296" s="6" t="s">
        <v>26</v>
      </c>
      <c r="C296" s="6" t="s">
        <v>27</v>
      </c>
      <c r="D296" s="6" t="s">
        <v>53</v>
      </c>
      <c r="E296" s="25">
        <f>'Inventory master'!G296*2*7.5</f>
        <v>1470</v>
      </c>
    </row>
    <row r="297" spans="1:5" x14ac:dyDescent="0.25">
      <c r="A297" s="24" t="s">
        <v>1639</v>
      </c>
      <c r="B297" s="6" t="s">
        <v>250</v>
      </c>
      <c r="C297" s="6" t="s">
        <v>63</v>
      </c>
      <c r="D297" s="6" t="s">
        <v>101</v>
      </c>
      <c r="E297" s="25">
        <f>'Inventory master'!G297*2*7.5</f>
        <v>1350</v>
      </c>
    </row>
    <row r="298" spans="1:5" x14ac:dyDescent="0.25">
      <c r="A298" s="24" t="s">
        <v>1640</v>
      </c>
      <c r="B298" s="6" t="s">
        <v>349</v>
      </c>
      <c r="C298" s="6" t="s">
        <v>179</v>
      </c>
      <c r="D298" s="6" t="s">
        <v>23</v>
      </c>
      <c r="E298" s="25">
        <f>'Inventory master'!G298*2*7.5</f>
        <v>1395</v>
      </c>
    </row>
    <row r="299" spans="1:5" x14ac:dyDescent="0.25">
      <c r="A299" s="24" t="s">
        <v>1641</v>
      </c>
      <c r="B299" s="6" t="s">
        <v>468</v>
      </c>
      <c r="C299" s="6" t="s">
        <v>32</v>
      </c>
      <c r="D299" s="6" t="s">
        <v>19</v>
      </c>
      <c r="E299" s="25">
        <f>'Inventory master'!G299*2*7.5</f>
        <v>915</v>
      </c>
    </row>
    <row r="300" spans="1:5" x14ac:dyDescent="0.25">
      <c r="A300" s="24" t="s">
        <v>1642</v>
      </c>
      <c r="B300" s="6" t="s">
        <v>647</v>
      </c>
      <c r="C300" s="6" t="s">
        <v>63</v>
      </c>
      <c r="D300" s="6" t="s">
        <v>23</v>
      </c>
      <c r="E300" s="25">
        <f>'Inventory master'!G300*2*7.5</f>
        <v>840</v>
      </c>
    </row>
    <row r="301" spans="1:5" x14ac:dyDescent="0.25">
      <c r="A301" s="24" t="s">
        <v>1643</v>
      </c>
      <c r="B301" s="6" t="s">
        <v>35</v>
      </c>
      <c r="C301" s="6" t="s">
        <v>13</v>
      </c>
      <c r="D301" s="6" t="s">
        <v>58</v>
      </c>
      <c r="E301" s="25">
        <f>'Inventory master'!G301*2*7.5</f>
        <v>795</v>
      </c>
    </row>
    <row r="302" spans="1:5" x14ac:dyDescent="0.25">
      <c r="A302" s="24" t="s">
        <v>1644</v>
      </c>
      <c r="B302" s="6" t="s">
        <v>241</v>
      </c>
      <c r="C302" s="6" t="s">
        <v>27</v>
      </c>
      <c r="D302" s="6" t="s">
        <v>9</v>
      </c>
      <c r="E302" s="25">
        <f>'Inventory master'!G302*2*7.5</f>
        <v>615</v>
      </c>
    </row>
    <row r="303" spans="1:5" x14ac:dyDescent="0.25">
      <c r="A303" s="24" t="s">
        <v>1645</v>
      </c>
      <c r="B303" s="6" t="s">
        <v>274</v>
      </c>
      <c r="C303" s="6" t="s">
        <v>32</v>
      </c>
      <c r="D303" s="6" t="s">
        <v>23</v>
      </c>
      <c r="E303" s="25">
        <f>'Inventory master'!G303*2*7.5</f>
        <v>645</v>
      </c>
    </row>
    <row r="304" spans="1:5" x14ac:dyDescent="0.25">
      <c r="A304" s="24" t="s">
        <v>1646</v>
      </c>
      <c r="B304" s="6" t="s">
        <v>142</v>
      </c>
      <c r="C304" s="6" t="s">
        <v>27</v>
      </c>
      <c r="D304" s="6" t="s">
        <v>9</v>
      </c>
      <c r="E304" s="25">
        <f>'Inventory master'!G304*2*7.5</f>
        <v>450</v>
      </c>
    </row>
    <row r="305" spans="1:5" x14ac:dyDescent="0.25">
      <c r="A305" s="24" t="s">
        <v>1647</v>
      </c>
      <c r="B305" s="6" t="s">
        <v>57</v>
      </c>
      <c r="C305" s="6" t="s">
        <v>42</v>
      </c>
      <c r="D305" s="6" t="s">
        <v>53</v>
      </c>
      <c r="E305" s="25">
        <f>'Inventory master'!G305*2*7.5</f>
        <v>165</v>
      </c>
    </row>
    <row r="306" spans="1:5" x14ac:dyDescent="0.25">
      <c r="A306" s="24" t="s">
        <v>1648</v>
      </c>
      <c r="B306" s="6" t="s">
        <v>12</v>
      </c>
      <c r="C306" s="6" t="s">
        <v>13</v>
      </c>
      <c r="D306" s="6" t="s">
        <v>91</v>
      </c>
      <c r="E306" s="25">
        <f>'Inventory master'!G306*2*7.5</f>
        <v>240</v>
      </c>
    </row>
    <row r="307" spans="1:5" x14ac:dyDescent="0.25">
      <c r="A307" s="24" t="s">
        <v>1649</v>
      </c>
      <c r="B307" s="6" t="s">
        <v>41</v>
      </c>
      <c r="C307" s="6" t="s">
        <v>42</v>
      </c>
      <c r="D307" s="6" t="s">
        <v>78</v>
      </c>
      <c r="E307" s="25">
        <f>'Inventory master'!G307*2*7.5</f>
        <v>1050</v>
      </c>
    </row>
    <row r="308" spans="1:5" x14ac:dyDescent="0.25">
      <c r="A308" s="24" t="s">
        <v>1650</v>
      </c>
      <c r="B308" s="6" t="s">
        <v>777</v>
      </c>
      <c r="C308" s="6" t="s">
        <v>18</v>
      </c>
      <c r="D308" s="6" t="s">
        <v>101</v>
      </c>
      <c r="E308" s="25">
        <f>'Inventory master'!G308*2*7.5</f>
        <v>360</v>
      </c>
    </row>
    <row r="309" spans="1:5" x14ac:dyDescent="0.25">
      <c r="A309" s="24" t="s">
        <v>1651</v>
      </c>
      <c r="B309" s="6" t="s">
        <v>110</v>
      </c>
      <c r="C309" s="6" t="s">
        <v>8</v>
      </c>
      <c r="D309" s="6" t="s">
        <v>36</v>
      </c>
      <c r="E309" s="25">
        <f>'Inventory master'!G309*2*7.5</f>
        <v>345</v>
      </c>
    </row>
    <row r="310" spans="1:5" x14ac:dyDescent="0.25">
      <c r="A310" s="24" t="s">
        <v>1652</v>
      </c>
      <c r="B310" s="6" t="s">
        <v>12</v>
      </c>
      <c r="C310" s="6" t="s">
        <v>13</v>
      </c>
      <c r="D310" s="6" t="s">
        <v>23</v>
      </c>
      <c r="E310" s="25">
        <f>'Inventory master'!G310*2*7.5</f>
        <v>1320</v>
      </c>
    </row>
    <row r="311" spans="1:5" x14ac:dyDescent="0.25">
      <c r="A311" s="24" t="s">
        <v>1653</v>
      </c>
      <c r="B311" s="6" t="s">
        <v>563</v>
      </c>
      <c r="C311" s="6" t="s">
        <v>52</v>
      </c>
      <c r="D311" s="6" t="s">
        <v>101</v>
      </c>
      <c r="E311" s="25">
        <f>'Inventory master'!G311*2*7.5</f>
        <v>825</v>
      </c>
    </row>
    <row r="312" spans="1:5" x14ac:dyDescent="0.25">
      <c r="A312" s="24" t="s">
        <v>1654</v>
      </c>
      <c r="B312" s="6" t="s">
        <v>100</v>
      </c>
      <c r="C312" s="6" t="s">
        <v>52</v>
      </c>
      <c r="D312" s="6" t="s">
        <v>14</v>
      </c>
      <c r="E312" s="25">
        <f>'Inventory master'!G312*2*7.5</f>
        <v>780</v>
      </c>
    </row>
    <row r="313" spans="1:5" x14ac:dyDescent="0.25">
      <c r="A313" s="24" t="s">
        <v>1655</v>
      </c>
      <c r="B313" s="6" t="s">
        <v>31</v>
      </c>
      <c r="C313" s="6" t="s">
        <v>32</v>
      </c>
      <c r="D313" s="6" t="s">
        <v>53</v>
      </c>
      <c r="E313" s="25">
        <f>'Inventory master'!G313*2*7.5</f>
        <v>1500</v>
      </c>
    </row>
    <row r="314" spans="1:5" x14ac:dyDescent="0.25">
      <c r="A314" s="24" t="s">
        <v>1656</v>
      </c>
      <c r="B314" s="6" t="s">
        <v>263</v>
      </c>
      <c r="C314" s="6" t="s">
        <v>8</v>
      </c>
      <c r="D314" s="6" t="s">
        <v>58</v>
      </c>
      <c r="E314" s="25">
        <f>'Inventory master'!G314*2*7.5</f>
        <v>1005</v>
      </c>
    </row>
    <row r="315" spans="1:5" x14ac:dyDescent="0.25">
      <c r="A315" s="24" t="s">
        <v>1657</v>
      </c>
      <c r="B315" s="6" t="s">
        <v>31</v>
      </c>
      <c r="C315" s="6" t="s">
        <v>32</v>
      </c>
      <c r="D315" s="6" t="s">
        <v>58</v>
      </c>
      <c r="E315" s="25">
        <f>'Inventory master'!G315*2*7.5</f>
        <v>930</v>
      </c>
    </row>
    <row r="316" spans="1:5" x14ac:dyDescent="0.25">
      <c r="A316" s="24" t="s">
        <v>1658</v>
      </c>
      <c r="B316" s="6" t="s">
        <v>26</v>
      </c>
      <c r="C316" s="6" t="s">
        <v>27</v>
      </c>
      <c r="D316" s="6" t="s">
        <v>36</v>
      </c>
      <c r="E316" s="25">
        <f>'Inventory master'!G316*2*7.5</f>
        <v>345</v>
      </c>
    </row>
    <row r="317" spans="1:5" x14ac:dyDescent="0.25">
      <c r="A317" s="24" t="s">
        <v>1659</v>
      </c>
      <c r="B317" s="6" t="s">
        <v>796</v>
      </c>
      <c r="C317" s="6" t="s">
        <v>18</v>
      </c>
      <c r="D317" s="6" t="s">
        <v>58</v>
      </c>
      <c r="E317" s="25">
        <f>'Inventory master'!G317*2*7.5</f>
        <v>945</v>
      </c>
    </row>
    <row r="318" spans="1:5" x14ac:dyDescent="0.25">
      <c r="A318" s="24" t="s">
        <v>1660</v>
      </c>
      <c r="B318" s="6" t="s">
        <v>241</v>
      </c>
      <c r="C318" s="6" t="s">
        <v>27</v>
      </c>
      <c r="D318" s="6" t="s">
        <v>123</v>
      </c>
      <c r="E318" s="25">
        <f>'Inventory master'!G318*2*7.5</f>
        <v>390</v>
      </c>
    </row>
    <row r="319" spans="1:5" x14ac:dyDescent="0.25">
      <c r="A319" s="24" t="s">
        <v>1661</v>
      </c>
      <c r="B319" s="6" t="s">
        <v>241</v>
      </c>
      <c r="C319" s="6" t="s">
        <v>27</v>
      </c>
      <c r="D319" s="6" t="s">
        <v>53</v>
      </c>
      <c r="E319" s="25">
        <f>'Inventory master'!G319*2*7.5</f>
        <v>300</v>
      </c>
    </row>
    <row r="320" spans="1:5" x14ac:dyDescent="0.25">
      <c r="A320" s="24" t="s">
        <v>1662</v>
      </c>
      <c r="B320" s="6" t="s">
        <v>12</v>
      </c>
      <c r="C320" s="6" t="s">
        <v>13</v>
      </c>
      <c r="D320" s="6" t="s">
        <v>36</v>
      </c>
      <c r="E320" s="25">
        <f>'Inventory master'!G320*2*7.5</f>
        <v>570</v>
      </c>
    </row>
    <row r="321" spans="1:5" x14ac:dyDescent="0.25">
      <c r="A321" s="24" t="s">
        <v>1663</v>
      </c>
      <c r="B321" s="6" t="s">
        <v>455</v>
      </c>
      <c r="C321" s="6" t="s">
        <v>18</v>
      </c>
      <c r="D321" s="6" t="s">
        <v>28</v>
      </c>
      <c r="E321" s="25">
        <f>'Inventory master'!G321*2*7.5</f>
        <v>825</v>
      </c>
    </row>
    <row r="322" spans="1:5" x14ac:dyDescent="0.25">
      <c r="A322" s="24" t="s">
        <v>1664</v>
      </c>
      <c r="B322" s="6" t="s">
        <v>455</v>
      </c>
      <c r="C322" s="6" t="s">
        <v>18</v>
      </c>
      <c r="D322" s="6" t="s">
        <v>78</v>
      </c>
      <c r="E322" s="25">
        <f>'Inventory master'!G322*2*7.5</f>
        <v>360</v>
      </c>
    </row>
    <row r="323" spans="1:5" x14ac:dyDescent="0.25">
      <c r="A323" s="24" t="s">
        <v>1665</v>
      </c>
      <c r="B323" s="6" t="s">
        <v>41</v>
      </c>
      <c r="C323" s="6" t="s">
        <v>42</v>
      </c>
      <c r="D323" s="6" t="s">
        <v>28</v>
      </c>
      <c r="E323" s="25">
        <f>'Inventory master'!G323*2*7.5</f>
        <v>780</v>
      </c>
    </row>
    <row r="324" spans="1:5" x14ac:dyDescent="0.25">
      <c r="A324" s="24" t="s">
        <v>1666</v>
      </c>
      <c r="B324" s="6" t="s">
        <v>110</v>
      </c>
      <c r="C324" s="6" t="s">
        <v>8</v>
      </c>
      <c r="D324" s="6" t="s">
        <v>23</v>
      </c>
      <c r="E324" s="25">
        <f>'Inventory master'!G324*2*7.5</f>
        <v>675</v>
      </c>
    </row>
    <row r="325" spans="1:5" x14ac:dyDescent="0.25">
      <c r="A325" s="24" t="s">
        <v>1667</v>
      </c>
      <c r="B325" s="6" t="s">
        <v>416</v>
      </c>
      <c r="C325" s="6" t="s">
        <v>63</v>
      </c>
      <c r="D325" s="6" t="s">
        <v>123</v>
      </c>
      <c r="E325" s="25">
        <f>'Inventory master'!G325*2*7.5</f>
        <v>1080</v>
      </c>
    </row>
    <row r="326" spans="1:5" x14ac:dyDescent="0.25">
      <c r="A326" s="24" t="s">
        <v>1668</v>
      </c>
      <c r="B326" s="6" t="s">
        <v>385</v>
      </c>
      <c r="C326" s="6" t="s">
        <v>32</v>
      </c>
      <c r="D326" s="6" t="s">
        <v>58</v>
      </c>
      <c r="E326" s="25">
        <f>'Inventory master'!G326*2*7.5</f>
        <v>255</v>
      </c>
    </row>
    <row r="327" spans="1:5" x14ac:dyDescent="0.25">
      <c r="A327" s="24" t="s">
        <v>1669</v>
      </c>
      <c r="B327" s="6" t="s">
        <v>35</v>
      </c>
      <c r="C327" s="6" t="s">
        <v>13</v>
      </c>
      <c r="D327" s="6" t="s">
        <v>58</v>
      </c>
      <c r="E327" s="25">
        <f>'Inventory master'!G327*2*7.5</f>
        <v>465</v>
      </c>
    </row>
    <row r="328" spans="1:5" x14ac:dyDescent="0.25">
      <c r="A328" s="24" t="s">
        <v>1670</v>
      </c>
      <c r="B328" s="6" t="s">
        <v>142</v>
      </c>
      <c r="C328" s="6" t="s">
        <v>27</v>
      </c>
      <c r="D328" s="6" t="s">
        <v>78</v>
      </c>
      <c r="E328" s="25">
        <f>'Inventory master'!G328*2*7.5</f>
        <v>1230</v>
      </c>
    </row>
    <row r="329" spans="1:5" x14ac:dyDescent="0.25">
      <c r="A329" s="24" t="s">
        <v>1671</v>
      </c>
      <c r="B329" s="6" t="s">
        <v>349</v>
      </c>
      <c r="C329" s="6" t="s">
        <v>179</v>
      </c>
      <c r="D329" s="6" t="s">
        <v>101</v>
      </c>
      <c r="E329" s="25">
        <f>'Inventory master'!G329*2*7.5</f>
        <v>945</v>
      </c>
    </row>
    <row r="330" spans="1:5" x14ac:dyDescent="0.25">
      <c r="A330" s="24" t="s">
        <v>1672</v>
      </c>
      <c r="B330" s="6" t="s">
        <v>361</v>
      </c>
      <c r="C330" s="6" t="s">
        <v>179</v>
      </c>
      <c r="D330" s="6" t="s">
        <v>36</v>
      </c>
      <c r="E330" s="25">
        <f>'Inventory master'!G330*2*7.5</f>
        <v>870</v>
      </c>
    </row>
    <row r="331" spans="1:5" x14ac:dyDescent="0.25">
      <c r="A331" s="24" t="s">
        <v>1673</v>
      </c>
      <c r="B331" s="6" t="s">
        <v>126</v>
      </c>
      <c r="C331" s="6" t="s">
        <v>63</v>
      </c>
      <c r="D331" s="6" t="s">
        <v>53</v>
      </c>
      <c r="E331" s="25">
        <f>'Inventory master'!G331*2*7.5</f>
        <v>390</v>
      </c>
    </row>
    <row r="332" spans="1:5" x14ac:dyDescent="0.25">
      <c r="A332" s="24" t="s">
        <v>1674</v>
      </c>
      <c r="B332" s="6" t="s">
        <v>650</v>
      </c>
      <c r="C332" s="6" t="s">
        <v>32</v>
      </c>
      <c r="D332" s="6" t="s">
        <v>123</v>
      </c>
      <c r="E332" s="25">
        <f>'Inventory master'!G332*2*7.5</f>
        <v>765</v>
      </c>
    </row>
    <row r="333" spans="1:5" x14ac:dyDescent="0.25">
      <c r="A333" s="24" t="s">
        <v>1675</v>
      </c>
      <c r="B333" s="6" t="s">
        <v>57</v>
      </c>
      <c r="C333" s="6" t="s">
        <v>42</v>
      </c>
      <c r="D333" s="6" t="s">
        <v>28</v>
      </c>
      <c r="E333" s="25">
        <f>'Inventory master'!G333*2*7.5</f>
        <v>900</v>
      </c>
    </row>
    <row r="334" spans="1:5" x14ac:dyDescent="0.25">
      <c r="A334" s="24" t="s">
        <v>1676</v>
      </c>
      <c r="B334" s="6" t="s">
        <v>7</v>
      </c>
      <c r="C334" s="6" t="s">
        <v>8</v>
      </c>
      <c r="D334" s="6" t="s">
        <v>36</v>
      </c>
      <c r="E334" s="25">
        <f>'Inventory master'!G334*2*7.5</f>
        <v>330</v>
      </c>
    </row>
    <row r="335" spans="1:5" x14ac:dyDescent="0.25">
      <c r="A335" s="24" t="s">
        <v>1677</v>
      </c>
      <c r="B335" s="6" t="s">
        <v>35</v>
      </c>
      <c r="C335" s="6" t="s">
        <v>13</v>
      </c>
      <c r="D335" s="6" t="s">
        <v>101</v>
      </c>
      <c r="E335" s="25">
        <f>'Inventory master'!G335*2*7.5</f>
        <v>390</v>
      </c>
    </row>
    <row r="336" spans="1:5" x14ac:dyDescent="0.25">
      <c r="A336" s="24" t="s">
        <v>1678</v>
      </c>
      <c r="B336" s="6" t="s">
        <v>349</v>
      </c>
      <c r="C336" s="6" t="s">
        <v>179</v>
      </c>
      <c r="D336" s="6" t="s">
        <v>36</v>
      </c>
      <c r="E336" s="25">
        <f>'Inventory master'!G336*2*7.5</f>
        <v>1185</v>
      </c>
    </row>
    <row r="337" spans="1:5" x14ac:dyDescent="0.25">
      <c r="A337" s="24" t="s">
        <v>1679</v>
      </c>
      <c r="B337" s="6" t="s">
        <v>100</v>
      </c>
      <c r="C337" s="6" t="s">
        <v>52</v>
      </c>
      <c r="D337" s="6" t="s">
        <v>101</v>
      </c>
      <c r="E337" s="25">
        <f>'Inventory master'!G337*2*7.5</f>
        <v>615</v>
      </c>
    </row>
    <row r="338" spans="1:5" x14ac:dyDescent="0.25">
      <c r="A338" s="24" t="s">
        <v>1680</v>
      </c>
      <c r="B338" s="6" t="s">
        <v>178</v>
      </c>
      <c r="C338" s="6" t="s">
        <v>179</v>
      </c>
      <c r="D338" s="6" t="s">
        <v>14</v>
      </c>
      <c r="E338" s="25">
        <f>'Inventory master'!G338*2*7.5</f>
        <v>855</v>
      </c>
    </row>
    <row r="339" spans="1:5" x14ac:dyDescent="0.25">
      <c r="A339" s="24" t="s">
        <v>1681</v>
      </c>
      <c r="B339" s="6" t="s">
        <v>841</v>
      </c>
      <c r="C339" s="6" t="s">
        <v>63</v>
      </c>
      <c r="D339" s="6" t="s">
        <v>91</v>
      </c>
      <c r="E339" s="25">
        <f>'Inventory master'!G339*2*7.5</f>
        <v>630</v>
      </c>
    </row>
    <row r="340" spans="1:5" x14ac:dyDescent="0.25">
      <c r="A340" s="24" t="s">
        <v>1682</v>
      </c>
      <c r="B340" s="6" t="s">
        <v>197</v>
      </c>
      <c r="C340" s="6" t="s">
        <v>18</v>
      </c>
      <c r="D340" s="6" t="s">
        <v>101</v>
      </c>
      <c r="E340" s="25">
        <f>'Inventory master'!G340*2*7.5</f>
        <v>1485</v>
      </c>
    </row>
    <row r="341" spans="1:5" x14ac:dyDescent="0.25">
      <c r="A341" s="24" t="s">
        <v>1683</v>
      </c>
      <c r="B341" s="6" t="s">
        <v>416</v>
      </c>
      <c r="C341" s="6" t="s">
        <v>63</v>
      </c>
      <c r="D341" s="6" t="s">
        <v>123</v>
      </c>
      <c r="E341" s="25">
        <f>'Inventory master'!G341*2*7.5</f>
        <v>1425</v>
      </c>
    </row>
    <row r="342" spans="1:5" x14ac:dyDescent="0.25">
      <c r="A342" s="24" t="s">
        <v>1684</v>
      </c>
      <c r="B342" s="6" t="s">
        <v>398</v>
      </c>
      <c r="C342" s="6" t="s">
        <v>42</v>
      </c>
      <c r="D342" s="6" t="s">
        <v>36</v>
      </c>
      <c r="E342" s="25">
        <f>'Inventory master'!G342*2*7.5</f>
        <v>300</v>
      </c>
    </row>
    <row r="343" spans="1:5" x14ac:dyDescent="0.25">
      <c r="A343" s="24" t="s">
        <v>1685</v>
      </c>
      <c r="B343" s="6" t="s">
        <v>7</v>
      </c>
      <c r="C343" s="6" t="s">
        <v>8</v>
      </c>
      <c r="D343" s="6" t="s">
        <v>91</v>
      </c>
      <c r="E343" s="25">
        <f>'Inventory master'!G343*2*7.5</f>
        <v>945</v>
      </c>
    </row>
    <row r="344" spans="1:5" x14ac:dyDescent="0.25">
      <c r="A344" s="24" t="s">
        <v>1686</v>
      </c>
      <c r="B344" s="6" t="s">
        <v>423</v>
      </c>
      <c r="C344" s="6" t="s">
        <v>18</v>
      </c>
      <c r="D344" s="6" t="s">
        <v>19</v>
      </c>
      <c r="E344" s="25">
        <f>'Inventory master'!G344*2*7.5</f>
        <v>630</v>
      </c>
    </row>
    <row r="345" spans="1:5" x14ac:dyDescent="0.25">
      <c r="A345" s="24" t="s">
        <v>1687</v>
      </c>
      <c r="B345" s="6" t="s">
        <v>12</v>
      </c>
      <c r="C345" s="6" t="s">
        <v>13</v>
      </c>
      <c r="D345" s="6" t="s">
        <v>101</v>
      </c>
      <c r="E345" s="25">
        <f>'Inventory master'!G345*2*7.5</f>
        <v>975</v>
      </c>
    </row>
    <row r="346" spans="1:5" x14ac:dyDescent="0.25">
      <c r="A346" s="24" t="s">
        <v>1688</v>
      </c>
      <c r="B346" s="6" t="s">
        <v>12</v>
      </c>
      <c r="C346" s="6" t="s">
        <v>13</v>
      </c>
      <c r="D346" s="6" t="s">
        <v>9</v>
      </c>
      <c r="E346" s="25">
        <f>'Inventory master'!G346*2*7.5</f>
        <v>375</v>
      </c>
    </row>
    <row r="347" spans="1:5" x14ac:dyDescent="0.25">
      <c r="A347" s="24" t="s">
        <v>1689</v>
      </c>
      <c r="B347" s="6" t="s">
        <v>361</v>
      </c>
      <c r="C347" s="6" t="s">
        <v>179</v>
      </c>
      <c r="D347" s="6" t="s">
        <v>28</v>
      </c>
      <c r="E347" s="25">
        <f>'Inventory master'!G347*2*7.5</f>
        <v>1275</v>
      </c>
    </row>
    <row r="348" spans="1:5" x14ac:dyDescent="0.25">
      <c r="A348" s="24" t="s">
        <v>1690</v>
      </c>
      <c r="B348" s="6" t="s">
        <v>12</v>
      </c>
      <c r="C348" s="6" t="s">
        <v>13</v>
      </c>
      <c r="D348" s="6" t="s">
        <v>78</v>
      </c>
      <c r="E348" s="25">
        <f>'Inventory master'!G348*2*7.5</f>
        <v>1080</v>
      </c>
    </row>
    <row r="349" spans="1:5" x14ac:dyDescent="0.25">
      <c r="A349" s="24" t="s">
        <v>1691</v>
      </c>
      <c r="B349" s="6" t="s">
        <v>777</v>
      </c>
      <c r="C349" s="6" t="s">
        <v>18</v>
      </c>
      <c r="D349" s="6" t="s">
        <v>28</v>
      </c>
      <c r="E349" s="25">
        <f>'Inventory master'!G349*2*7.5</f>
        <v>1065</v>
      </c>
    </row>
    <row r="350" spans="1:5" x14ac:dyDescent="0.25">
      <c r="A350" s="24" t="s">
        <v>1692</v>
      </c>
      <c r="B350" s="6" t="s">
        <v>523</v>
      </c>
      <c r="C350" s="6" t="s">
        <v>18</v>
      </c>
      <c r="D350" s="6" t="s">
        <v>9</v>
      </c>
      <c r="E350" s="25">
        <f>'Inventory master'!G350*2*7.5</f>
        <v>1005</v>
      </c>
    </row>
    <row r="351" spans="1:5" x14ac:dyDescent="0.25">
      <c r="A351" s="24" t="s">
        <v>1693</v>
      </c>
      <c r="B351" s="6" t="s">
        <v>385</v>
      </c>
      <c r="C351" s="6" t="s">
        <v>32</v>
      </c>
      <c r="D351" s="6" t="s">
        <v>28</v>
      </c>
      <c r="E351" s="25">
        <f>'Inventory master'!G351*2*7.5</f>
        <v>855</v>
      </c>
    </row>
    <row r="352" spans="1:5" x14ac:dyDescent="0.25">
      <c r="A352" s="24" t="s">
        <v>1694</v>
      </c>
      <c r="B352" s="6" t="s">
        <v>407</v>
      </c>
      <c r="C352" s="6" t="s">
        <v>179</v>
      </c>
      <c r="D352" s="6" t="s">
        <v>91</v>
      </c>
      <c r="E352" s="25">
        <f>'Inventory master'!G352*2*7.5</f>
        <v>510</v>
      </c>
    </row>
    <row r="353" spans="1:5" x14ac:dyDescent="0.25">
      <c r="A353" s="24" t="s">
        <v>1695</v>
      </c>
      <c r="B353" s="6" t="s">
        <v>12</v>
      </c>
      <c r="C353" s="6" t="s">
        <v>13</v>
      </c>
      <c r="D353" s="6" t="s">
        <v>58</v>
      </c>
      <c r="E353" s="25">
        <f>'Inventory master'!G353*2*7.5</f>
        <v>1260</v>
      </c>
    </row>
    <row r="354" spans="1:5" x14ac:dyDescent="0.25">
      <c r="A354" s="24" t="s">
        <v>1696</v>
      </c>
      <c r="B354" s="6" t="s">
        <v>87</v>
      </c>
      <c r="C354" s="6" t="s">
        <v>42</v>
      </c>
      <c r="D354" s="6" t="s">
        <v>28</v>
      </c>
      <c r="E354" s="25">
        <f>'Inventory master'!G354*2*7.5</f>
        <v>585</v>
      </c>
    </row>
    <row r="355" spans="1:5" x14ac:dyDescent="0.25">
      <c r="A355" s="24" t="s">
        <v>1697</v>
      </c>
      <c r="B355" s="6" t="s">
        <v>874</v>
      </c>
      <c r="C355" s="6" t="s">
        <v>18</v>
      </c>
      <c r="D355" s="6" t="s">
        <v>19</v>
      </c>
      <c r="E355" s="25">
        <f>'Inventory master'!G355*2*7.5</f>
        <v>210</v>
      </c>
    </row>
    <row r="356" spans="1:5" x14ac:dyDescent="0.25">
      <c r="A356" s="24" t="s">
        <v>1698</v>
      </c>
      <c r="B356" s="6" t="s">
        <v>57</v>
      </c>
      <c r="C356" s="6" t="s">
        <v>42</v>
      </c>
      <c r="D356" s="6" t="s">
        <v>19</v>
      </c>
      <c r="E356" s="25">
        <f>'Inventory master'!G356*2*7.5</f>
        <v>405</v>
      </c>
    </row>
    <row r="357" spans="1:5" x14ac:dyDescent="0.25">
      <c r="A357" s="24" t="s">
        <v>1699</v>
      </c>
      <c r="B357" s="6" t="s">
        <v>214</v>
      </c>
      <c r="C357" s="6" t="s">
        <v>164</v>
      </c>
      <c r="D357" s="6" t="s">
        <v>101</v>
      </c>
      <c r="E357" s="25">
        <f>'Inventory master'!G357*2*7.5</f>
        <v>645</v>
      </c>
    </row>
    <row r="358" spans="1:5" x14ac:dyDescent="0.25">
      <c r="A358" s="24" t="s">
        <v>1700</v>
      </c>
      <c r="B358" s="6" t="s">
        <v>349</v>
      </c>
      <c r="C358" s="6" t="s">
        <v>179</v>
      </c>
      <c r="D358" s="6" t="s">
        <v>28</v>
      </c>
      <c r="E358" s="25">
        <f>'Inventory master'!G358*2*7.5</f>
        <v>1380</v>
      </c>
    </row>
    <row r="359" spans="1:5" x14ac:dyDescent="0.25">
      <c r="A359" s="24" t="s">
        <v>1701</v>
      </c>
      <c r="B359" s="6" t="s">
        <v>398</v>
      </c>
      <c r="C359" s="6" t="s">
        <v>42</v>
      </c>
      <c r="D359" s="6" t="s">
        <v>58</v>
      </c>
      <c r="E359" s="25">
        <f>'Inventory master'!G359*2*7.5</f>
        <v>1485</v>
      </c>
    </row>
    <row r="360" spans="1:5" x14ac:dyDescent="0.25">
      <c r="A360" s="24" t="s">
        <v>1702</v>
      </c>
      <c r="B360" s="6" t="s">
        <v>35</v>
      </c>
      <c r="C360" s="6" t="s">
        <v>13</v>
      </c>
      <c r="D360" s="6" t="s">
        <v>123</v>
      </c>
      <c r="E360" s="25">
        <f>'Inventory master'!G360*2*7.5</f>
        <v>1170</v>
      </c>
    </row>
    <row r="361" spans="1:5" x14ac:dyDescent="0.25">
      <c r="A361" s="24" t="s">
        <v>1703</v>
      </c>
      <c r="B361" s="6" t="s">
        <v>274</v>
      </c>
      <c r="C361" s="6" t="s">
        <v>32</v>
      </c>
      <c r="D361" s="6" t="s">
        <v>123</v>
      </c>
      <c r="E361" s="25">
        <f>'Inventory master'!G361*2*7.5</f>
        <v>390</v>
      </c>
    </row>
    <row r="362" spans="1:5" x14ac:dyDescent="0.25">
      <c r="A362" s="24" t="s">
        <v>1704</v>
      </c>
      <c r="B362" s="6" t="s">
        <v>241</v>
      </c>
      <c r="C362" s="6" t="s">
        <v>27</v>
      </c>
      <c r="D362" s="6" t="s">
        <v>58</v>
      </c>
      <c r="E362" s="25">
        <f>'Inventory master'!G362*2*7.5</f>
        <v>1395</v>
      </c>
    </row>
    <row r="363" spans="1:5" x14ac:dyDescent="0.25">
      <c r="A363" s="24" t="s">
        <v>1705</v>
      </c>
      <c r="B363" s="6" t="s">
        <v>416</v>
      </c>
      <c r="C363" s="6" t="s">
        <v>63</v>
      </c>
      <c r="D363" s="6" t="s">
        <v>36</v>
      </c>
      <c r="E363" s="25">
        <f>'Inventory master'!G363*2*7.5</f>
        <v>960</v>
      </c>
    </row>
    <row r="364" spans="1:5" x14ac:dyDescent="0.25">
      <c r="A364" s="24" t="s">
        <v>1706</v>
      </c>
      <c r="B364" s="6" t="s">
        <v>26</v>
      </c>
      <c r="C364" s="6" t="s">
        <v>27</v>
      </c>
      <c r="D364" s="6" t="s">
        <v>78</v>
      </c>
      <c r="E364" s="25">
        <f>'Inventory master'!G364*2*7.5</f>
        <v>915</v>
      </c>
    </row>
    <row r="365" spans="1:5" x14ac:dyDescent="0.25">
      <c r="A365" s="24" t="s">
        <v>1707</v>
      </c>
      <c r="B365" s="6" t="s">
        <v>87</v>
      </c>
      <c r="C365" s="6" t="s">
        <v>42</v>
      </c>
      <c r="D365" s="6" t="s">
        <v>23</v>
      </c>
      <c r="E365" s="25">
        <f>'Inventory master'!G365*2*7.5</f>
        <v>1035</v>
      </c>
    </row>
    <row r="366" spans="1:5" x14ac:dyDescent="0.25">
      <c r="A366" s="24" t="s">
        <v>1708</v>
      </c>
      <c r="B366" s="6" t="s">
        <v>468</v>
      </c>
      <c r="C366" s="6" t="s">
        <v>32</v>
      </c>
      <c r="D366" s="6" t="s">
        <v>91</v>
      </c>
      <c r="E366" s="25">
        <f>'Inventory master'!G366*2*7.5</f>
        <v>225</v>
      </c>
    </row>
    <row r="367" spans="1:5" x14ac:dyDescent="0.25">
      <c r="A367" s="24" t="s">
        <v>1709</v>
      </c>
      <c r="B367" s="6" t="s">
        <v>647</v>
      </c>
      <c r="C367" s="6" t="s">
        <v>63</v>
      </c>
      <c r="D367" s="6" t="s">
        <v>91</v>
      </c>
      <c r="E367" s="25">
        <f>'Inventory master'!G367*2*7.5</f>
        <v>1365</v>
      </c>
    </row>
    <row r="368" spans="1:5" x14ac:dyDescent="0.25">
      <c r="A368" s="24" t="s">
        <v>1710</v>
      </c>
      <c r="B368" s="6" t="s">
        <v>184</v>
      </c>
      <c r="C368" s="6" t="s">
        <v>164</v>
      </c>
      <c r="D368" s="6" t="s">
        <v>28</v>
      </c>
      <c r="E368" s="25">
        <f>'Inventory master'!G368*2*7.5</f>
        <v>1170</v>
      </c>
    </row>
    <row r="369" spans="1:5" x14ac:dyDescent="0.25">
      <c r="A369" s="24" t="s">
        <v>1711</v>
      </c>
      <c r="B369" s="6" t="s">
        <v>126</v>
      </c>
      <c r="C369" s="6" t="s">
        <v>63</v>
      </c>
      <c r="D369" s="6" t="s">
        <v>23</v>
      </c>
      <c r="E369" s="25">
        <f>'Inventory master'!G369*2*7.5</f>
        <v>150</v>
      </c>
    </row>
    <row r="370" spans="1:5" x14ac:dyDescent="0.25">
      <c r="A370" s="24" t="s">
        <v>1712</v>
      </c>
      <c r="B370" s="6" t="s">
        <v>184</v>
      </c>
      <c r="C370" s="6" t="s">
        <v>164</v>
      </c>
      <c r="D370" s="6" t="s">
        <v>78</v>
      </c>
      <c r="E370" s="25">
        <f>'Inventory master'!G370*2*7.5</f>
        <v>735</v>
      </c>
    </row>
    <row r="371" spans="1:5" x14ac:dyDescent="0.25">
      <c r="A371" s="24" t="s">
        <v>1713</v>
      </c>
      <c r="B371" s="6" t="s">
        <v>349</v>
      </c>
      <c r="C371" s="6" t="s">
        <v>179</v>
      </c>
      <c r="D371" s="6" t="s">
        <v>101</v>
      </c>
      <c r="E371" s="25">
        <f>'Inventory master'!G371*2*7.5</f>
        <v>1110</v>
      </c>
    </row>
    <row r="372" spans="1:5" x14ac:dyDescent="0.25">
      <c r="A372" s="24" t="s">
        <v>1714</v>
      </c>
      <c r="B372" s="6" t="s">
        <v>7</v>
      </c>
      <c r="C372" s="6" t="s">
        <v>8</v>
      </c>
      <c r="D372" s="6" t="s">
        <v>78</v>
      </c>
      <c r="E372" s="25">
        <f>'Inventory master'!G372*2*7.5</f>
        <v>1005</v>
      </c>
    </row>
    <row r="373" spans="1:5" x14ac:dyDescent="0.25">
      <c r="A373" s="24" t="s">
        <v>1715</v>
      </c>
      <c r="B373" s="6" t="s">
        <v>163</v>
      </c>
      <c r="C373" s="6" t="s">
        <v>164</v>
      </c>
      <c r="D373" s="6" t="s">
        <v>78</v>
      </c>
      <c r="E373" s="25">
        <f>'Inventory master'!G373*2*7.5</f>
        <v>660</v>
      </c>
    </row>
    <row r="374" spans="1:5" x14ac:dyDescent="0.25">
      <c r="A374" s="24" t="s">
        <v>1716</v>
      </c>
      <c r="B374" s="6" t="s">
        <v>241</v>
      </c>
      <c r="C374" s="6" t="s">
        <v>27</v>
      </c>
      <c r="D374" s="6" t="s">
        <v>28</v>
      </c>
      <c r="E374" s="25">
        <f>'Inventory master'!G374*2*7.5</f>
        <v>300</v>
      </c>
    </row>
    <row r="375" spans="1:5" x14ac:dyDescent="0.25">
      <c r="A375" s="24" t="s">
        <v>1717</v>
      </c>
      <c r="B375" s="6" t="s">
        <v>110</v>
      </c>
      <c r="C375" s="6" t="s">
        <v>8</v>
      </c>
      <c r="D375" s="6" t="s">
        <v>19</v>
      </c>
      <c r="E375" s="25">
        <f>'Inventory master'!G375*2*7.5</f>
        <v>855</v>
      </c>
    </row>
    <row r="376" spans="1:5" x14ac:dyDescent="0.25">
      <c r="A376" s="24" t="s">
        <v>1718</v>
      </c>
      <c r="B376" s="6" t="s">
        <v>35</v>
      </c>
      <c r="C376" s="6" t="s">
        <v>13</v>
      </c>
      <c r="D376" s="6" t="s">
        <v>101</v>
      </c>
      <c r="E376" s="25">
        <f>'Inventory master'!G376*2*7.5</f>
        <v>1290</v>
      </c>
    </row>
    <row r="377" spans="1:5" x14ac:dyDescent="0.25">
      <c r="A377" s="24" t="s">
        <v>1719</v>
      </c>
      <c r="B377" s="6" t="s">
        <v>361</v>
      </c>
      <c r="C377" s="6" t="s">
        <v>179</v>
      </c>
      <c r="D377" s="6" t="s">
        <v>58</v>
      </c>
      <c r="E377" s="25">
        <f>'Inventory master'!G377*2*7.5</f>
        <v>1140</v>
      </c>
    </row>
    <row r="378" spans="1:5" x14ac:dyDescent="0.25">
      <c r="A378" s="24" t="s">
        <v>1720</v>
      </c>
      <c r="B378" s="6" t="s">
        <v>523</v>
      </c>
      <c r="C378" s="6" t="s">
        <v>18</v>
      </c>
      <c r="D378" s="6" t="s">
        <v>101</v>
      </c>
      <c r="E378" s="25">
        <f>'Inventory master'!G378*2*7.5</f>
        <v>1035</v>
      </c>
    </row>
    <row r="379" spans="1:5" x14ac:dyDescent="0.25">
      <c r="A379" s="24" t="s">
        <v>1721</v>
      </c>
      <c r="B379" s="6" t="s">
        <v>263</v>
      </c>
      <c r="C379" s="6" t="s">
        <v>8</v>
      </c>
      <c r="D379" s="6" t="s">
        <v>14</v>
      </c>
      <c r="E379" s="25">
        <f>'Inventory master'!G379*2*7.5</f>
        <v>870</v>
      </c>
    </row>
    <row r="380" spans="1:5" x14ac:dyDescent="0.25">
      <c r="A380" s="24" t="s">
        <v>1722</v>
      </c>
      <c r="B380" s="6" t="s">
        <v>12</v>
      </c>
      <c r="C380" s="6" t="s">
        <v>13</v>
      </c>
      <c r="D380" s="6" t="s">
        <v>14</v>
      </c>
      <c r="E380" s="25">
        <f>'Inventory master'!G380*2*7.5</f>
        <v>1290</v>
      </c>
    </row>
    <row r="381" spans="1:5" x14ac:dyDescent="0.25">
      <c r="A381" s="24" t="s">
        <v>1723</v>
      </c>
      <c r="B381" s="6" t="s">
        <v>118</v>
      </c>
      <c r="C381" s="6" t="s">
        <v>63</v>
      </c>
      <c r="D381" s="6" t="s">
        <v>19</v>
      </c>
      <c r="E381" s="25">
        <f>'Inventory master'!G381*2*7.5</f>
        <v>1230</v>
      </c>
    </row>
    <row r="382" spans="1:5" x14ac:dyDescent="0.25">
      <c r="A382" s="24" t="s">
        <v>1724</v>
      </c>
      <c r="B382" s="6" t="s">
        <v>12</v>
      </c>
      <c r="C382" s="6" t="s">
        <v>13</v>
      </c>
      <c r="D382" s="6" t="s">
        <v>9</v>
      </c>
      <c r="E382" s="25">
        <f>'Inventory master'!G382*2*7.5</f>
        <v>1170</v>
      </c>
    </row>
    <row r="383" spans="1:5" x14ac:dyDescent="0.25">
      <c r="A383" s="24" t="s">
        <v>1725</v>
      </c>
      <c r="B383" s="6" t="s">
        <v>35</v>
      </c>
      <c r="C383" s="6" t="s">
        <v>13</v>
      </c>
      <c r="D383" s="6" t="s">
        <v>78</v>
      </c>
      <c r="E383" s="25">
        <f>'Inventory master'!G383*2*7.5</f>
        <v>810</v>
      </c>
    </row>
    <row r="384" spans="1:5" x14ac:dyDescent="0.25">
      <c r="A384" s="24" t="s">
        <v>1726</v>
      </c>
      <c r="B384" s="6" t="s">
        <v>841</v>
      </c>
      <c r="C384" s="6" t="s">
        <v>63</v>
      </c>
      <c r="D384" s="6" t="s">
        <v>78</v>
      </c>
      <c r="E384" s="25">
        <f>'Inventory master'!G384*2*7.5</f>
        <v>1470</v>
      </c>
    </row>
    <row r="385" spans="1:5" x14ac:dyDescent="0.25">
      <c r="A385" s="24" t="s">
        <v>1727</v>
      </c>
      <c r="B385" s="6" t="s">
        <v>385</v>
      </c>
      <c r="C385" s="6" t="s">
        <v>32</v>
      </c>
      <c r="D385" s="6" t="s">
        <v>58</v>
      </c>
      <c r="E385" s="25">
        <f>'Inventory master'!G385*2*7.5</f>
        <v>720</v>
      </c>
    </row>
    <row r="386" spans="1:5" x14ac:dyDescent="0.25">
      <c r="A386" s="24" t="s">
        <v>1728</v>
      </c>
      <c r="B386" s="6" t="s">
        <v>12</v>
      </c>
      <c r="C386" s="6" t="s">
        <v>13</v>
      </c>
      <c r="D386" s="6" t="s">
        <v>123</v>
      </c>
      <c r="E386" s="25">
        <f>'Inventory master'!G386*2*7.5</f>
        <v>1095</v>
      </c>
    </row>
    <row r="387" spans="1:5" x14ac:dyDescent="0.25">
      <c r="A387" s="24" t="s">
        <v>1729</v>
      </c>
      <c r="B387" s="6" t="s">
        <v>650</v>
      </c>
      <c r="C387" s="6" t="s">
        <v>32</v>
      </c>
      <c r="D387" s="6" t="s">
        <v>123</v>
      </c>
      <c r="E387" s="25">
        <f>'Inventory master'!G387*2*7.5</f>
        <v>690</v>
      </c>
    </row>
    <row r="388" spans="1:5" x14ac:dyDescent="0.25">
      <c r="A388" s="24" t="s">
        <v>1730</v>
      </c>
      <c r="B388" s="6" t="s">
        <v>133</v>
      </c>
      <c r="C388" s="6" t="s">
        <v>52</v>
      </c>
      <c r="D388" s="6" t="s">
        <v>123</v>
      </c>
      <c r="E388" s="25">
        <f>'Inventory master'!G388*2*7.5</f>
        <v>825</v>
      </c>
    </row>
    <row r="389" spans="1:5" x14ac:dyDescent="0.25">
      <c r="A389" s="24" t="s">
        <v>1731</v>
      </c>
      <c r="B389" s="6" t="s">
        <v>157</v>
      </c>
      <c r="C389" s="6" t="s">
        <v>27</v>
      </c>
      <c r="D389" s="6" t="s">
        <v>101</v>
      </c>
      <c r="E389" s="25">
        <f>'Inventory master'!G389*2*7.5</f>
        <v>780</v>
      </c>
    </row>
    <row r="390" spans="1:5" x14ac:dyDescent="0.25">
      <c r="A390" s="24" t="s">
        <v>1732</v>
      </c>
      <c r="B390" s="6" t="s">
        <v>41</v>
      </c>
      <c r="C390" s="6" t="s">
        <v>42</v>
      </c>
      <c r="D390" s="6" t="s">
        <v>101</v>
      </c>
      <c r="E390" s="25">
        <f>'Inventory master'!G390*2*7.5</f>
        <v>1065</v>
      </c>
    </row>
    <row r="391" spans="1:5" x14ac:dyDescent="0.25">
      <c r="A391" s="24" t="s">
        <v>1733</v>
      </c>
      <c r="B391" s="6" t="s">
        <v>361</v>
      </c>
      <c r="C391" s="6" t="s">
        <v>179</v>
      </c>
      <c r="D391" s="6" t="s">
        <v>58</v>
      </c>
      <c r="E391" s="25">
        <f>'Inventory master'!G391*2*7.5</f>
        <v>1185</v>
      </c>
    </row>
    <row r="392" spans="1:5" x14ac:dyDescent="0.25">
      <c r="A392" s="24" t="s">
        <v>1734</v>
      </c>
      <c r="B392" s="6" t="s">
        <v>187</v>
      </c>
      <c r="C392" s="6" t="s">
        <v>18</v>
      </c>
      <c r="D392" s="6" t="s">
        <v>14</v>
      </c>
      <c r="E392" s="25">
        <f>'Inventory master'!G392*2*7.5</f>
        <v>1005</v>
      </c>
    </row>
    <row r="393" spans="1:5" x14ac:dyDescent="0.25">
      <c r="A393" s="24" t="s">
        <v>1735</v>
      </c>
      <c r="B393" s="6" t="s">
        <v>594</v>
      </c>
      <c r="C393" s="6" t="s">
        <v>63</v>
      </c>
      <c r="D393" s="6" t="s">
        <v>9</v>
      </c>
      <c r="E393" s="25">
        <f>'Inventory master'!G393*2*7.5</f>
        <v>1305</v>
      </c>
    </row>
    <row r="394" spans="1:5" x14ac:dyDescent="0.25">
      <c r="A394" s="24" t="s">
        <v>1736</v>
      </c>
      <c r="B394" s="6" t="s">
        <v>241</v>
      </c>
      <c r="C394" s="6" t="s">
        <v>27</v>
      </c>
      <c r="D394" s="6" t="s">
        <v>28</v>
      </c>
      <c r="E394" s="25">
        <f>'Inventory master'!G394*2*7.5</f>
        <v>570</v>
      </c>
    </row>
    <row r="395" spans="1:5" x14ac:dyDescent="0.25">
      <c r="A395" s="24" t="s">
        <v>1737</v>
      </c>
      <c r="B395" s="6" t="s">
        <v>576</v>
      </c>
      <c r="C395" s="6" t="s">
        <v>63</v>
      </c>
      <c r="D395" s="6" t="s">
        <v>101</v>
      </c>
      <c r="E395" s="25">
        <f>'Inventory master'!G395*2*7.5</f>
        <v>675</v>
      </c>
    </row>
    <row r="396" spans="1:5" x14ac:dyDescent="0.25">
      <c r="A396" s="24" t="s">
        <v>1738</v>
      </c>
      <c r="B396" s="6" t="s">
        <v>468</v>
      </c>
      <c r="C396" s="6" t="s">
        <v>32</v>
      </c>
      <c r="D396" s="6" t="s">
        <v>123</v>
      </c>
      <c r="E396" s="25">
        <f>'Inventory master'!G396*2*7.5</f>
        <v>1320</v>
      </c>
    </row>
    <row r="397" spans="1:5" x14ac:dyDescent="0.25">
      <c r="A397" s="24" t="s">
        <v>1739</v>
      </c>
      <c r="B397" s="6" t="s">
        <v>349</v>
      </c>
      <c r="C397" s="6" t="s">
        <v>179</v>
      </c>
      <c r="D397" s="6" t="s">
        <v>53</v>
      </c>
      <c r="E397" s="25">
        <f>'Inventory master'!G397*2*7.5</f>
        <v>375</v>
      </c>
    </row>
    <row r="398" spans="1:5" x14ac:dyDescent="0.25">
      <c r="A398" s="24" t="s">
        <v>1740</v>
      </c>
      <c r="B398" s="6" t="s">
        <v>841</v>
      </c>
      <c r="C398" s="6" t="s">
        <v>63</v>
      </c>
      <c r="D398" s="6" t="s">
        <v>14</v>
      </c>
      <c r="E398" s="25">
        <f>'Inventory master'!G398*2*7.5</f>
        <v>390</v>
      </c>
    </row>
    <row r="399" spans="1:5" x14ac:dyDescent="0.25">
      <c r="A399" s="24" t="s">
        <v>1741</v>
      </c>
      <c r="B399" s="6" t="s">
        <v>142</v>
      </c>
      <c r="C399" s="6" t="s">
        <v>27</v>
      </c>
      <c r="D399" s="6" t="s">
        <v>36</v>
      </c>
      <c r="E399" s="25">
        <f>'Inventory master'!G399*2*7.5</f>
        <v>1035</v>
      </c>
    </row>
    <row r="400" spans="1:5" x14ac:dyDescent="0.25">
      <c r="A400" s="24" t="s">
        <v>1742</v>
      </c>
      <c r="B400" s="6" t="s">
        <v>157</v>
      </c>
      <c r="C400" s="6" t="s">
        <v>27</v>
      </c>
      <c r="D400" s="6" t="s">
        <v>58</v>
      </c>
      <c r="E400" s="25">
        <f>'Inventory master'!G400*2*7.5</f>
        <v>180</v>
      </c>
    </row>
    <row r="401" spans="1:5" x14ac:dyDescent="0.25">
      <c r="A401" s="24" t="s">
        <v>1743</v>
      </c>
      <c r="B401" s="6" t="s">
        <v>361</v>
      </c>
      <c r="C401" s="6" t="s">
        <v>179</v>
      </c>
      <c r="D401" s="6" t="s">
        <v>58</v>
      </c>
      <c r="E401" s="25">
        <f>'Inventory master'!G401*2*7.5</f>
        <v>720</v>
      </c>
    </row>
    <row r="402" spans="1:5" x14ac:dyDescent="0.25">
      <c r="A402" s="24" t="s">
        <v>1744</v>
      </c>
      <c r="B402" s="6" t="s">
        <v>178</v>
      </c>
      <c r="C402" s="6" t="s">
        <v>179</v>
      </c>
      <c r="D402" s="6" t="s">
        <v>23</v>
      </c>
      <c r="E402" s="25">
        <f>'Inventory master'!G402*2*7.5</f>
        <v>1470</v>
      </c>
    </row>
    <row r="403" spans="1:5" x14ac:dyDescent="0.25">
      <c r="A403" s="24" t="s">
        <v>1745</v>
      </c>
      <c r="B403" s="6" t="s">
        <v>12</v>
      </c>
      <c r="C403" s="6" t="s">
        <v>13</v>
      </c>
      <c r="D403" s="6" t="s">
        <v>78</v>
      </c>
      <c r="E403" s="25">
        <f>'Inventory master'!G403*2*7.5</f>
        <v>900</v>
      </c>
    </row>
    <row r="404" spans="1:5" x14ac:dyDescent="0.25">
      <c r="A404" s="24" t="s">
        <v>1746</v>
      </c>
      <c r="B404" s="6" t="s">
        <v>12</v>
      </c>
      <c r="C404" s="6" t="s">
        <v>13</v>
      </c>
      <c r="D404" s="6" t="s">
        <v>101</v>
      </c>
      <c r="E404" s="25">
        <f>'Inventory master'!G404*2*7.5</f>
        <v>1290</v>
      </c>
    </row>
    <row r="405" spans="1:5" x14ac:dyDescent="0.25">
      <c r="A405" s="24" t="s">
        <v>1747</v>
      </c>
      <c r="B405" s="6" t="s">
        <v>349</v>
      </c>
      <c r="C405" s="6" t="s">
        <v>179</v>
      </c>
      <c r="D405" s="6" t="s">
        <v>78</v>
      </c>
      <c r="E405" s="25">
        <f>'Inventory master'!G405*2*7.5</f>
        <v>1440</v>
      </c>
    </row>
    <row r="406" spans="1:5" x14ac:dyDescent="0.25">
      <c r="A406" s="24" t="s">
        <v>1748</v>
      </c>
      <c r="B406" s="6" t="s">
        <v>12</v>
      </c>
      <c r="C406" s="6" t="s">
        <v>13</v>
      </c>
      <c r="D406" s="6" t="s">
        <v>19</v>
      </c>
      <c r="E406" s="25">
        <f>'Inventory master'!G406*2*7.5</f>
        <v>645</v>
      </c>
    </row>
    <row r="407" spans="1:5" x14ac:dyDescent="0.25">
      <c r="A407" s="24" t="s">
        <v>1749</v>
      </c>
      <c r="B407" s="6" t="s">
        <v>22</v>
      </c>
      <c r="C407" s="6" t="s">
        <v>8</v>
      </c>
      <c r="D407" s="6" t="s">
        <v>36</v>
      </c>
      <c r="E407" s="25">
        <f>'Inventory master'!G407*2*7.5</f>
        <v>270</v>
      </c>
    </row>
    <row r="408" spans="1:5" x14ac:dyDescent="0.25">
      <c r="A408" s="24" t="s">
        <v>1750</v>
      </c>
      <c r="B408" s="6" t="s">
        <v>118</v>
      </c>
      <c r="C408" s="6" t="s">
        <v>63</v>
      </c>
      <c r="D408" s="6" t="s">
        <v>101</v>
      </c>
      <c r="E408" s="25">
        <f>'Inventory master'!G408*2*7.5</f>
        <v>945</v>
      </c>
    </row>
    <row r="409" spans="1:5" x14ac:dyDescent="0.25">
      <c r="A409" s="24" t="s">
        <v>1751</v>
      </c>
      <c r="B409" s="6" t="s">
        <v>274</v>
      </c>
      <c r="C409" s="6" t="s">
        <v>32</v>
      </c>
      <c r="D409" s="6" t="s">
        <v>23</v>
      </c>
      <c r="E409" s="25">
        <f>'Inventory master'!G409*2*7.5</f>
        <v>855</v>
      </c>
    </row>
    <row r="410" spans="1:5" x14ac:dyDescent="0.25">
      <c r="A410" s="24" t="s">
        <v>1752</v>
      </c>
      <c r="B410" s="6" t="s">
        <v>35</v>
      </c>
      <c r="C410" s="6" t="s">
        <v>13</v>
      </c>
      <c r="D410" s="6" t="s">
        <v>19</v>
      </c>
      <c r="E410" s="25">
        <f>'Inventory master'!G410*2*7.5</f>
        <v>1305</v>
      </c>
    </row>
    <row r="411" spans="1:5" x14ac:dyDescent="0.25">
      <c r="A411" s="24" t="s">
        <v>1753</v>
      </c>
      <c r="B411" s="6" t="s">
        <v>22</v>
      </c>
      <c r="C411" s="6" t="s">
        <v>8</v>
      </c>
      <c r="D411" s="6" t="s">
        <v>91</v>
      </c>
      <c r="E411" s="25">
        <f>'Inventory master'!G411*2*7.5</f>
        <v>375</v>
      </c>
    </row>
    <row r="412" spans="1:5" x14ac:dyDescent="0.25">
      <c r="A412" s="24" t="s">
        <v>1754</v>
      </c>
      <c r="B412" s="6" t="s">
        <v>57</v>
      </c>
      <c r="C412" s="6" t="s">
        <v>42</v>
      </c>
      <c r="D412" s="6" t="s">
        <v>53</v>
      </c>
      <c r="E412" s="25">
        <f>'Inventory master'!G412*2*7.5</f>
        <v>255</v>
      </c>
    </row>
    <row r="413" spans="1:5" x14ac:dyDescent="0.25">
      <c r="A413" s="24" t="s">
        <v>1755</v>
      </c>
      <c r="B413" s="6" t="s">
        <v>12</v>
      </c>
      <c r="C413" s="6" t="s">
        <v>13</v>
      </c>
      <c r="D413" s="6" t="s">
        <v>58</v>
      </c>
      <c r="E413" s="25">
        <f>'Inventory master'!G413*2*7.5</f>
        <v>1335</v>
      </c>
    </row>
    <row r="414" spans="1:5" x14ac:dyDescent="0.25">
      <c r="A414" s="24" t="s">
        <v>1756</v>
      </c>
      <c r="B414" s="6" t="s">
        <v>26</v>
      </c>
      <c r="C414" s="6" t="s">
        <v>27</v>
      </c>
      <c r="D414" s="6" t="s">
        <v>19</v>
      </c>
      <c r="E414" s="25">
        <f>'Inventory master'!G414*2*7.5</f>
        <v>1320</v>
      </c>
    </row>
    <row r="415" spans="1:5" x14ac:dyDescent="0.25">
      <c r="A415" s="24" t="s">
        <v>1757</v>
      </c>
      <c r="B415" s="6" t="s">
        <v>349</v>
      </c>
      <c r="C415" s="6" t="s">
        <v>179</v>
      </c>
      <c r="D415" s="6" t="s">
        <v>14</v>
      </c>
      <c r="E415" s="25">
        <f>'Inventory master'!G415*2*7.5</f>
        <v>405</v>
      </c>
    </row>
    <row r="416" spans="1:5" x14ac:dyDescent="0.25">
      <c r="A416" s="24" t="s">
        <v>1758</v>
      </c>
      <c r="B416" s="6" t="s">
        <v>35</v>
      </c>
      <c r="C416" s="6" t="s">
        <v>13</v>
      </c>
      <c r="D416" s="6" t="s">
        <v>14</v>
      </c>
      <c r="E416" s="25">
        <f>'Inventory master'!G416*2*7.5</f>
        <v>705</v>
      </c>
    </row>
    <row r="417" spans="1:5" x14ac:dyDescent="0.25">
      <c r="A417" s="24" t="s">
        <v>1759</v>
      </c>
      <c r="B417" s="6" t="s">
        <v>407</v>
      </c>
      <c r="C417" s="6" t="s">
        <v>179</v>
      </c>
      <c r="D417" s="6" t="s">
        <v>19</v>
      </c>
      <c r="E417" s="25">
        <f>'Inventory master'!G417*2*7.5</f>
        <v>870</v>
      </c>
    </row>
    <row r="418" spans="1:5" x14ac:dyDescent="0.25">
      <c r="A418" s="24" t="s">
        <v>1760</v>
      </c>
      <c r="B418" s="6" t="s">
        <v>157</v>
      </c>
      <c r="C418" s="6" t="s">
        <v>27</v>
      </c>
      <c r="D418" s="6" t="s">
        <v>9</v>
      </c>
      <c r="E418" s="25">
        <f>'Inventory master'!G418*2*7.5</f>
        <v>705</v>
      </c>
    </row>
    <row r="419" spans="1:5" x14ac:dyDescent="0.25">
      <c r="A419" s="24" t="s">
        <v>1761</v>
      </c>
      <c r="B419" s="6" t="s">
        <v>344</v>
      </c>
      <c r="C419" s="6" t="s">
        <v>63</v>
      </c>
      <c r="D419" s="6" t="s">
        <v>91</v>
      </c>
      <c r="E419" s="25">
        <f>'Inventory master'!G419*2*7.5</f>
        <v>240</v>
      </c>
    </row>
    <row r="420" spans="1:5" x14ac:dyDescent="0.25">
      <c r="A420" s="24" t="s">
        <v>1762</v>
      </c>
      <c r="B420" s="6" t="s">
        <v>51</v>
      </c>
      <c r="C420" s="6" t="s">
        <v>52</v>
      </c>
      <c r="D420" s="6" t="s">
        <v>101</v>
      </c>
      <c r="E420" s="25">
        <f>'Inventory master'!G420*2*7.5</f>
        <v>1215</v>
      </c>
    </row>
    <row r="421" spans="1:5" x14ac:dyDescent="0.25">
      <c r="A421" s="24" t="s">
        <v>1763</v>
      </c>
      <c r="B421" s="6" t="s">
        <v>26</v>
      </c>
      <c r="C421" s="6" t="s">
        <v>27</v>
      </c>
      <c r="D421" s="6" t="s">
        <v>91</v>
      </c>
      <c r="E421" s="25">
        <f>'Inventory master'!G421*2*7.5</f>
        <v>285</v>
      </c>
    </row>
    <row r="422" spans="1:5" x14ac:dyDescent="0.25">
      <c r="A422" s="24" t="s">
        <v>1764</v>
      </c>
      <c r="B422" s="6" t="s">
        <v>12</v>
      </c>
      <c r="C422" s="6" t="s">
        <v>13</v>
      </c>
      <c r="D422" s="6" t="s">
        <v>36</v>
      </c>
      <c r="E422" s="25">
        <f>'Inventory master'!G422*2*7.5</f>
        <v>285</v>
      </c>
    </row>
    <row r="423" spans="1:5" x14ac:dyDescent="0.25">
      <c r="A423" s="24" t="s">
        <v>1765</v>
      </c>
      <c r="B423" s="6" t="s">
        <v>35</v>
      </c>
      <c r="C423" s="6" t="s">
        <v>13</v>
      </c>
      <c r="D423" s="6" t="s">
        <v>9</v>
      </c>
      <c r="E423" s="25">
        <f>'Inventory master'!G423*2*7.5</f>
        <v>840</v>
      </c>
    </row>
    <row r="424" spans="1:5" x14ac:dyDescent="0.25">
      <c r="A424" s="24" t="s">
        <v>1766</v>
      </c>
      <c r="B424" s="6" t="s">
        <v>184</v>
      </c>
      <c r="C424" s="6" t="s">
        <v>164</v>
      </c>
      <c r="D424" s="6" t="s">
        <v>9</v>
      </c>
      <c r="E424" s="25">
        <f>'Inventory master'!G424*2*7.5</f>
        <v>420</v>
      </c>
    </row>
    <row r="425" spans="1:5" x14ac:dyDescent="0.25">
      <c r="A425" s="24" t="s">
        <v>1767</v>
      </c>
      <c r="B425" s="6" t="s">
        <v>133</v>
      </c>
      <c r="C425" s="6" t="s">
        <v>52</v>
      </c>
      <c r="D425" s="6" t="s">
        <v>23</v>
      </c>
      <c r="E425" s="25">
        <f>'Inventory master'!G425*2*7.5</f>
        <v>450</v>
      </c>
    </row>
    <row r="426" spans="1:5" x14ac:dyDescent="0.25">
      <c r="A426" s="24" t="s">
        <v>1768</v>
      </c>
      <c r="B426" s="6" t="s">
        <v>26</v>
      </c>
      <c r="C426" s="6" t="s">
        <v>27</v>
      </c>
      <c r="D426" s="6" t="s">
        <v>78</v>
      </c>
      <c r="E426" s="25">
        <f>'Inventory master'!G426*2*7.5</f>
        <v>765</v>
      </c>
    </row>
    <row r="427" spans="1:5" x14ac:dyDescent="0.25">
      <c r="A427" s="24" t="s">
        <v>1769</v>
      </c>
      <c r="B427" s="6" t="s">
        <v>12</v>
      </c>
      <c r="C427" s="6" t="s">
        <v>13</v>
      </c>
      <c r="D427" s="6" t="s">
        <v>53</v>
      </c>
      <c r="E427" s="25">
        <f>'Inventory master'!G427*2*7.5</f>
        <v>1020</v>
      </c>
    </row>
    <row r="428" spans="1:5" x14ac:dyDescent="0.25">
      <c r="A428" s="24" t="s">
        <v>1770</v>
      </c>
      <c r="B428" s="6" t="s">
        <v>416</v>
      </c>
      <c r="C428" s="6" t="s">
        <v>63</v>
      </c>
      <c r="D428" s="6" t="s">
        <v>123</v>
      </c>
      <c r="E428" s="25">
        <f>'Inventory master'!G428*2*7.5</f>
        <v>510</v>
      </c>
    </row>
    <row r="429" spans="1:5" x14ac:dyDescent="0.25">
      <c r="A429" s="24" t="s">
        <v>1771</v>
      </c>
      <c r="B429" s="6" t="s">
        <v>142</v>
      </c>
      <c r="C429" s="6" t="s">
        <v>27</v>
      </c>
      <c r="D429" s="6" t="s">
        <v>91</v>
      </c>
      <c r="E429" s="25">
        <f>'Inventory master'!G429*2*7.5</f>
        <v>495</v>
      </c>
    </row>
    <row r="430" spans="1:5" x14ac:dyDescent="0.25">
      <c r="A430" s="24" t="s">
        <v>1772</v>
      </c>
      <c r="B430" s="6" t="s">
        <v>241</v>
      </c>
      <c r="C430" s="6" t="s">
        <v>27</v>
      </c>
      <c r="D430" s="6" t="s">
        <v>28</v>
      </c>
      <c r="E430" s="25">
        <f>'Inventory master'!G430*2*7.5</f>
        <v>1335</v>
      </c>
    </row>
    <row r="431" spans="1:5" x14ac:dyDescent="0.25">
      <c r="A431" s="24" t="s">
        <v>1773</v>
      </c>
      <c r="B431" s="6" t="s">
        <v>35</v>
      </c>
      <c r="C431" s="6" t="s">
        <v>13</v>
      </c>
      <c r="D431" s="6" t="s">
        <v>123</v>
      </c>
      <c r="E431" s="25">
        <f>'Inventory master'!G431*2*7.5</f>
        <v>435</v>
      </c>
    </row>
    <row r="432" spans="1:5" x14ac:dyDescent="0.25">
      <c r="A432" s="24" t="s">
        <v>1774</v>
      </c>
      <c r="B432" s="6" t="s">
        <v>35</v>
      </c>
      <c r="C432" s="6" t="s">
        <v>13</v>
      </c>
      <c r="D432" s="6" t="s">
        <v>58</v>
      </c>
      <c r="E432" s="25">
        <f>'Inventory master'!G432*2*7.5</f>
        <v>615</v>
      </c>
    </row>
    <row r="433" spans="1:5" x14ac:dyDescent="0.25">
      <c r="A433" s="24" t="s">
        <v>1775</v>
      </c>
      <c r="B433" s="6" t="s">
        <v>1030</v>
      </c>
      <c r="C433" s="6" t="s">
        <v>18</v>
      </c>
      <c r="D433" s="6" t="s">
        <v>53</v>
      </c>
      <c r="E433" s="25">
        <f>'Inventory master'!G433*2*7.5</f>
        <v>750</v>
      </c>
    </row>
    <row r="434" spans="1:5" x14ac:dyDescent="0.25">
      <c r="A434" s="24" t="s">
        <v>1776</v>
      </c>
      <c r="B434" s="6" t="s">
        <v>663</v>
      </c>
      <c r="C434" s="6" t="s">
        <v>18</v>
      </c>
      <c r="D434" s="6" t="s">
        <v>123</v>
      </c>
      <c r="E434" s="25">
        <f>'Inventory master'!G434*2*7.5</f>
        <v>375</v>
      </c>
    </row>
    <row r="435" spans="1:5" x14ac:dyDescent="0.25">
      <c r="A435" s="24" t="s">
        <v>1777</v>
      </c>
      <c r="B435" s="6" t="s">
        <v>74</v>
      </c>
      <c r="C435" s="6" t="s">
        <v>8</v>
      </c>
      <c r="D435" s="6" t="s">
        <v>28</v>
      </c>
      <c r="E435" s="25">
        <f>'Inventory master'!G435*2*7.5</f>
        <v>1365</v>
      </c>
    </row>
    <row r="436" spans="1:5" x14ac:dyDescent="0.25">
      <c r="A436" s="24" t="s">
        <v>1778</v>
      </c>
      <c r="B436" s="6" t="s">
        <v>407</v>
      </c>
      <c r="C436" s="6" t="s">
        <v>179</v>
      </c>
      <c r="D436" s="6" t="s">
        <v>28</v>
      </c>
      <c r="E436" s="25">
        <f>'Inventory master'!G436*2*7.5</f>
        <v>375</v>
      </c>
    </row>
    <row r="437" spans="1:5" x14ac:dyDescent="0.25">
      <c r="A437" s="24" t="s">
        <v>1779</v>
      </c>
      <c r="B437" s="6" t="s">
        <v>349</v>
      </c>
      <c r="C437" s="6" t="s">
        <v>179</v>
      </c>
      <c r="D437" s="6" t="s">
        <v>14</v>
      </c>
      <c r="E437" s="25">
        <f>'Inventory master'!G437*2*7.5</f>
        <v>1440</v>
      </c>
    </row>
    <row r="438" spans="1:5" x14ac:dyDescent="0.25">
      <c r="A438" s="24" t="s">
        <v>1780</v>
      </c>
      <c r="B438" s="6" t="s">
        <v>87</v>
      </c>
      <c r="C438" s="6" t="s">
        <v>42</v>
      </c>
      <c r="D438" s="6" t="s">
        <v>53</v>
      </c>
      <c r="E438" s="25">
        <f>'Inventory master'!G438*2*7.5</f>
        <v>1320</v>
      </c>
    </row>
    <row r="439" spans="1:5" x14ac:dyDescent="0.25">
      <c r="A439" s="24" t="s">
        <v>1781</v>
      </c>
      <c r="B439" s="6" t="s">
        <v>241</v>
      </c>
      <c r="C439" s="6" t="s">
        <v>27</v>
      </c>
      <c r="D439" s="6" t="s">
        <v>14</v>
      </c>
      <c r="E439" s="25">
        <f>'Inventory master'!G439*2*7.5</f>
        <v>240</v>
      </c>
    </row>
    <row r="440" spans="1:5" x14ac:dyDescent="0.25">
      <c r="A440" s="24" t="s">
        <v>1782</v>
      </c>
      <c r="B440" s="6" t="s">
        <v>178</v>
      </c>
      <c r="C440" s="6" t="s">
        <v>179</v>
      </c>
      <c r="D440" s="6" t="s">
        <v>28</v>
      </c>
      <c r="E440" s="25">
        <f>'Inventory master'!G440*2*7.5</f>
        <v>1350</v>
      </c>
    </row>
    <row r="441" spans="1:5" x14ac:dyDescent="0.25">
      <c r="A441" s="24" t="s">
        <v>1783</v>
      </c>
      <c r="B441" s="6" t="s">
        <v>468</v>
      </c>
      <c r="C441" s="6" t="s">
        <v>32</v>
      </c>
      <c r="D441" s="6" t="s">
        <v>9</v>
      </c>
      <c r="E441" s="25">
        <f>'Inventory master'!G441*2*7.5</f>
        <v>540</v>
      </c>
    </row>
    <row r="442" spans="1:5" x14ac:dyDescent="0.25">
      <c r="A442" s="24" t="s">
        <v>1784</v>
      </c>
      <c r="B442" s="6" t="s">
        <v>12</v>
      </c>
      <c r="C442" s="6" t="s">
        <v>13</v>
      </c>
      <c r="D442" s="6" t="s">
        <v>58</v>
      </c>
      <c r="E442" s="25">
        <f>'Inventory master'!G442*2*7.5</f>
        <v>840</v>
      </c>
    </row>
    <row r="443" spans="1:5" x14ac:dyDescent="0.25">
      <c r="A443" s="24" t="s">
        <v>1785</v>
      </c>
      <c r="B443" s="6" t="s">
        <v>178</v>
      </c>
      <c r="C443" s="6" t="s">
        <v>179</v>
      </c>
      <c r="D443" s="6" t="s">
        <v>53</v>
      </c>
      <c r="E443" s="25">
        <f>'Inventory master'!G443*2*7.5</f>
        <v>1485</v>
      </c>
    </row>
    <row r="444" spans="1:5" x14ac:dyDescent="0.25">
      <c r="A444" s="24" t="s">
        <v>1786</v>
      </c>
      <c r="B444" s="6" t="s">
        <v>41</v>
      </c>
      <c r="C444" s="6" t="s">
        <v>42</v>
      </c>
      <c r="D444" s="6" t="s">
        <v>23</v>
      </c>
      <c r="E444" s="25">
        <f>'Inventory master'!G444*2*7.5</f>
        <v>240</v>
      </c>
    </row>
    <row r="445" spans="1:5" x14ac:dyDescent="0.25">
      <c r="A445" s="24" t="s">
        <v>1787</v>
      </c>
      <c r="B445" s="6" t="s">
        <v>157</v>
      </c>
      <c r="C445" s="6" t="s">
        <v>27</v>
      </c>
      <c r="D445" s="6" t="s">
        <v>23</v>
      </c>
      <c r="E445" s="25">
        <f>'Inventory master'!G445*2*7.5</f>
        <v>960</v>
      </c>
    </row>
    <row r="446" spans="1:5" x14ac:dyDescent="0.25">
      <c r="A446" s="24" t="s">
        <v>1788</v>
      </c>
      <c r="B446" s="6" t="s">
        <v>1057</v>
      </c>
      <c r="C446" s="6" t="s">
        <v>18</v>
      </c>
      <c r="D446" s="6" t="s">
        <v>78</v>
      </c>
      <c r="E446" s="25">
        <f>'Inventory master'!G446*2*7.5</f>
        <v>1230</v>
      </c>
    </row>
    <row r="447" spans="1:5" x14ac:dyDescent="0.25">
      <c r="A447" s="24" t="s">
        <v>1789</v>
      </c>
      <c r="B447" s="6" t="s">
        <v>385</v>
      </c>
      <c r="C447" s="6" t="s">
        <v>32</v>
      </c>
      <c r="D447" s="6" t="s">
        <v>53</v>
      </c>
      <c r="E447" s="25">
        <f>'Inventory master'!G447*2*7.5</f>
        <v>1110</v>
      </c>
    </row>
    <row r="448" spans="1:5" x14ac:dyDescent="0.25">
      <c r="A448" s="24" t="s">
        <v>1790</v>
      </c>
      <c r="B448" s="6" t="s">
        <v>361</v>
      </c>
      <c r="C448" s="6" t="s">
        <v>179</v>
      </c>
      <c r="D448" s="6" t="s">
        <v>28</v>
      </c>
      <c r="E448" s="25">
        <f>'Inventory master'!G448*2*7.5</f>
        <v>210</v>
      </c>
    </row>
    <row r="449" spans="1:5" x14ac:dyDescent="0.25">
      <c r="A449" s="24" t="s">
        <v>1791</v>
      </c>
      <c r="B449" s="6" t="s">
        <v>1064</v>
      </c>
      <c r="C449" s="6" t="s">
        <v>18</v>
      </c>
      <c r="D449" s="6" t="s">
        <v>91</v>
      </c>
      <c r="E449" s="25">
        <f>'Inventory master'!G449*2*7.5</f>
        <v>1305</v>
      </c>
    </row>
    <row r="450" spans="1:5" x14ac:dyDescent="0.25">
      <c r="A450" s="24" t="s">
        <v>1792</v>
      </c>
      <c r="B450" s="6" t="s">
        <v>41</v>
      </c>
      <c r="C450" s="6" t="s">
        <v>42</v>
      </c>
      <c r="D450" s="6" t="s">
        <v>53</v>
      </c>
      <c r="E450" s="25">
        <f>'Inventory master'!G450*2*7.5</f>
        <v>1140</v>
      </c>
    </row>
    <row r="451" spans="1:5" x14ac:dyDescent="0.25">
      <c r="A451" s="24" t="s">
        <v>1793</v>
      </c>
      <c r="B451" s="6" t="s">
        <v>35</v>
      </c>
      <c r="C451" s="6" t="s">
        <v>13</v>
      </c>
      <c r="D451" s="6" t="s">
        <v>101</v>
      </c>
      <c r="E451" s="25">
        <f>'Inventory master'!G451*2*7.5</f>
        <v>240</v>
      </c>
    </row>
    <row r="452" spans="1:5" x14ac:dyDescent="0.25">
      <c r="A452" s="24" t="s">
        <v>1794</v>
      </c>
      <c r="B452" s="6" t="s">
        <v>468</v>
      </c>
      <c r="C452" s="6" t="s">
        <v>32</v>
      </c>
      <c r="D452" s="6" t="s">
        <v>28</v>
      </c>
      <c r="E452" s="25">
        <f>'Inventory master'!G452*2*7.5</f>
        <v>990</v>
      </c>
    </row>
    <row r="453" spans="1:5" x14ac:dyDescent="0.25">
      <c r="A453" s="24" t="s">
        <v>1795</v>
      </c>
      <c r="B453" s="6" t="s">
        <v>647</v>
      </c>
      <c r="C453" s="6" t="s">
        <v>63</v>
      </c>
      <c r="D453" s="6" t="s">
        <v>101</v>
      </c>
      <c r="E453" s="25">
        <f>'Inventory master'!G453*2*7.5</f>
        <v>930</v>
      </c>
    </row>
    <row r="454" spans="1:5" x14ac:dyDescent="0.25">
      <c r="A454" s="24" t="s">
        <v>1796</v>
      </c>
      <c r="B454" s="6" t="s">
        <v>51</v>
      </c>
      <c r="C454" s="6" t="s">
        <v>52</v>
      </c>
      <c r="D454" s="6" t="s">
        <v>36</v>
      </c>
      <c r="E454" s="25">
        <f>'Inventory master'!G454*2*7.5</f>
        <v>675</v>
      </c>
    </row>
    <row r="455" spans="1:5" x14ac:dyDescent="0.25">
      <c r="A455" s="24" t="s">
        <v>1797</v>
      </c>
      <c r="B455" s="6" t="s">
        <v>70</v>
      </c>
      <c r="C455" s="6" t="s">
        <v>32</v>
      </c>
      <c r="D455" s="6" t="s">
        <v>14</v>
      </c>
      <c r="E455" s="25">
        <f>'Inventory master'!G455*2*7.5</f>
        <v>1470</v>
      </c>
    </row>
    <row r="456" spans="1:5" x14ac:dyDescent="0.25">
      <c r="A456" s="24" t="s">
        <v>1798</v>
      </c>
      <c r="B456" s="6" t="s">
        <v>7</v>
      </c>
      <c r="C456" s="6" t="s">
        <v>8</v>
      </c>
      <c r="D456" s="6" t="s">
        <v>58</v>
      </c>
      <c r="E456" s="25">
        <f>'Inventory master'!G456*2*7.5</f>
        <v>990</v>
      </c>
    </row>
    <row r="457" spans="1:5" x14ac:dyDescent="0.25">
      <c r="A457" s="24" t="s">
        <v>1799</v>
      </c>
      <c r="B457" s="6" t="s">
        <v>51</v>
      </c>
      <c r="C457" s="6" t="s">
        <v>52</v>
      </c>
      <c r="D457" s="6" t="s">
        <v>78</v>
      </c>
      <c r="E457" s="25">
        <f>'Inventory master'!G457*2*7.5</f>
        <v>840</v>
      </c>
    </row>
    <row r="458" spans="1:5" x14ac:dyDescent="0.25">
      <c r="A458" s="24" t="s">
        <v>1800</v>
      </c>
      <c r="B458" s="6" t="s">
        <v>364</v>
      </c>
      <c r="C458" s="6" t="s">
        <v>52</v>
      </c>
      <c r="D458" s="6" t="s">
        <v>19</v>
      </c>
      <c r="E458" s="25">
        <f>'Inventory master'!G458*2*7.5</f>
        <v>285</v>
      </c>
    </row>
    <row r="459" spans="1:5" x14ac:dyDescent="0.25">
      <c r="A459" s="24" t="s">
        <v>1801</v>
      </c>
      <c r="B459" s="6" t="s">
        <v>349</v>
      </c>
      <c r="C459" s="6" t="s">
        <v>179</v>
      </c>
      <c r="D459" s="6" t="s">
        <v>19</v>
      </c>
      <c r="E459" s="25">
        <f>'Inventory master'!G459*2*7.5</f>
        <v>540</v>
      </c>
    </row>
    <row r="460" spans="1:5" x14ac:dyDescent="0.25">
      <c r="A460" s="24" t="s">
        <v>1802</v>
      </c>
      <c r="B460" s="6" t="s">
        <v>349</v>
      </c>
      <c r="C460" s="6" t="s">
        <v>179</v>
      </c>
      <c r="D460" s="6" t="s">
        <v>9</v>
      </c>
      <c r="E460" s="25">
        <f>'Inventory master'!G460*2*7.5</f>
        <v>1065</v>
      </c>
    </row>
    <row r="461" spans="1:5" x14ac:dyDescent="0.25">
      <c r="A461" s="24" t="s">
        <v>1803</v>
      </c>
      <c r="B461" s="6" t="s">
        <v>100</v>
      </c>
      <c r="C461" s="6" t="s">
        <v>52</v>
      </c>
      <c r="D461" s="6" t="s">
        <v>91</v>
      </c>
      <c r="E461" s="25">
        <f>'Inventory master'!G461*2*7.5</f>
        <v>1185</v>
      </c>
    </row>
    <row r="462" spans="1:5" x14ac:dyDescent="0.25">
      <c r="A462" s="24" t="s">
        <v>1804</v>
      </c>
      <c r="B462" s="6" t="s">
        <v>184</v>
      </c>
      <c r="C462" s="6" t="s">
        <v>164</v>
      </c>
      <c r="D462" s="6" t="s">
        <v>28</v>
      </c>
      <c r="E462" s="25">
        <f>'Inventory master'!G462*2*7.5</f>
        <v>495</v>
      </c>
    </row>
    <row r="463" spans="1:5" x14ac:dyDescent="0.25">
      <c r="A463" s="24" t="s">
        <v>1805</v>
      </c>
      <c r="B463" s="6" t="s">
        <v>250</v>
      </c>
      <c r="C463" s="6" t="s">
        <v>63</v>
      </c>
      <c r="D463" s="6" t="s">
        <v>53</v>
      </c>
      <c r="E463" s="25">
        <f>'Inventory master'!G463*2*7.5</f>
        <v>720</v>
      </c>
    </row>
    <row r="464" spans="1:5" x14ac:dyDescent="0.25">
      <c r="A464" s="24" t="s">
        <v>1806</v>
      </c>
      <c r="B464" s="6" t="s">
        <v>31</v>
      </c>
      <c r="C464" s="6" t="s">
        <v>32</v>
      </c>
      <c r="D464" s="6" t="s">
        <v>53</v>
      </c>
      <c r="E464" s="25">
        <f>'Inventory master'!G464*2*7.5</f>
        <v>1275</v>
      </c>
    </row>
    <row r="465" spans="1:5" x14ac:dyDescent="0.25">
      <c r="A465" s="24" t="s">
        <v>1807</v>
      </c>
      <c r="B465" s="6" t="s">
        <v>35</v>
      </c>
      <c r="C465" s="6" t="s">
        <v>13</v>
      </c>
      <c r="D465" s="6" t="s">
        <v>14</v>
      </c>
      <c r="E465" s="25">
        <f>'Inventory master'!G465*2*7.5</f>
        <v>375</v>
      </c>
    </row>
    <row r="466" spans="1:5" x14ac:dyDescent="0.25">
      <c r="A466" s="24" t="s">
        <v>1808</v>
      </c>
      <c r="B466" s="6" t="s">
        <v>7</v>
      </c>
      <c r="C466" s="6" t="s">
        <v>8</v>
      </c>
      <c r="D466" s="6" t="s">
        <v>36</v>
      </c>
      <c r="E466" s="25">
        <f>'Inventory master'!G466*2*7.5</f>
        <v>585</v>
      </c>
    </row>
    <row r="467" spans="1:5" x14ac:dyDescent="0.25">
      <c r="A467" s="24" t="s">
        <v>1809</v>
      </c>
      <c r="B467" s="6" t="s">
        <v>26</v>
      </c>
      <c r="C467" s="6" t="s">
        <v>27</v>
      </c>
      <c r="D467" s="6" t="s">
        <v>14</v>
      </c>
      <c r="E467" s="25">
        <f>'Inventory master'!G467*2*7.5</f>
        <v>855</v>
      </c>
    </row>
    <row r="468" spans="1:5" x14ac:dyDescent="0.25">
      <c r="A468" s="24" t="s">
        <v>1810</v>
      </c>
      <c r="B468" s="6" t="s">
        <v>12</v>
      </c>
      <c r="C468" s="6" t="s">
        <v>13</v>
      </c>
      <c r="D468" s="6" t="s">
        <v>36</v>
      </c>
      <c r="E468" s="25">
        <f>'Inventory master'!G468*2*7.5</f>
        <v>180</v>
      </c>
    </row>
    <row r="469" spans="1:5" x14ac:dyDescent="0.25">
      <c r="A469" s="24" t="s">
        <v>1811</v>
      </c>
      <c r="B469" s="6" t="s">
        <v>57</v>
      </c>
      <c r="C469" s="6" t="s">
        <v>42</v>
      </c>
      <c r="D469" s="6" t="s">
        <v>23</v>
      </c>
      <c r="E469" s="25">
        <f>'Inventory master'!G469*2*7.5</f>
        <v>330</v>
      </c>
    </row>
    <row r="470" spans="1:5" x14ac:dyDescent="0.25">
      <c r="A470" s="24" t="s">
        <v>1812</v>
      </c>
      <c r="B470" s="6" t="s">
        <v>142</v>
      </c>
      <c r="C470" s="6" t="s">
        <v>27</v>
      </c>
      <c r="D470" s="6" t="s">
        <v>78</v>
      </c>
      <c r="E470" s="25">
        <f>'Inventory master'!G470*2*7.5</f>
        <v>1065</v>
      </c>
    </row>
    <row r="471" spans="1:5" x14ac:dyDescent="0.25">
      <c r="A471" s="24" t="s">
        <v>1813</v>
      </c>
      <c r="B471" s="6" t="s">
        <v>178</v>
      </c>
      <c r="C471" s="6" t="s">
        <v>179</v>
      </c>
      <c r="D471" s="6" t="s">
        <v>36</v>
      </c>
      <c r="E471" s="25">
        <f>'Inventory master'!G471*2*7.5</f>
        <v>900</v>
      </c>
    </row>
    <row r="472" spans="1:5" x14ac:dyDescent="0.25">
      <c r="A472" s="24" t="s">
        <v>1814</v>
      </c>
      <c r="B472" s="6" t="s">
        <v>57</v>
      </c>
      <c r="C472" s="6" t="s">
        <v>42</v>
      </c>
      <c r="D472" s="6" t="s">
        <v>23</v>
      </c>
      <c r="E472" s="25">
        <f>'Inventory master'!G472*2*7.5</f>
        <v>1155</v>
      </c>
    </row>
    <row r="473" spans="1:5" x14ac:dyDescent="0.25">
      <c r="A473" s="24" t="s">
        <v>1815</v>
      </c>
      <c r="B473" s="6" t="s">
        <v>47</v>
      </c>
      <c r="C473" s="6" t="s">
        <v>42</v>
      </c>
      <c r="D473" s="6" t="s">
        <v>19</v>
      </c>
      <c r="E473" s="25">
        <f>'Inventory master'!G473*2*7.5</f>
        <v>915</v>
      </c>
    </row>
    <row r="474" spans="1:5" x14ac:dyDescent="0.25">
      <c r="A474" s="24" t="s">
        <v>1816</v>
      </c>
      <c r="B474" s="6" t="s">
        <v>361</v>
      </c>
      <c r="C474" s="6" t="s">
        <v>179</v>
      </c>
      <c r="D474" s="6" t="s">
        <v>14</v>
      </c>
      <c r="E474" s="25">
        <f>'Inventory master'!G474*2*7.5</f>
        <v>1140</v>
      </c>
    </row>
    <row r="475" spans="1:5" x14ac:dyDescent="0.25">
      <c r="A475" s="24" t="s">
        <v>1817</v>
      </c>
      <c r="B475" s="6" t="s">
        <v>142</v>
      </c>
      <c r="C475" s="6" t="s">
        <v>27</v>
      </c>
      <c r="D475" s="6" t="s">
        <v>9</v>
      </c>
      <c r="E475" s="25">
        <f>'Inventory master'!G475*2*7.5</f>
        <v>1500</v>
      </c>
    </row>
    <row r="476" spans="1:5" x14ac:dyDescent="0.25">
      <c r="A476" s="24" t="s">
        <v>1818</v>
      </c>
      <c r="B476" s="6" t="s">
        <v>12</v>
      </c>
      <c r="C476" s="6" t="s">
        <v>13</v>
      </c>
      <c r="D476" s="6" t="s">
        <v>91</v>
      </c>
      <c r="E476" s="25">
        <f>'Inventory master'!G476*2*7.5</f>
        <v>885</v>
      </c>
    </row>
    <row r="477" spans="1:5" x14ac:dyDescent="0.25">
      <c r="A477" s="24" t="s">
        <v>1819</v>
      </c>
      <c r="B477" s="6" t="s">
        <v>12</v>
      </c>
      <c r="C477" s="6" t="s">
        <v>13</v>
      </c>
      <c r="D477" s="6" t="s">
        <v>78</v>
      </c>
      <c r="E477" s="25">
        <f>'Inventory master'!G477*2*7.5</f>
        <v>1290</v>
      </c>
    </row>
    <row r="478" spans="1:5" x14ac:dyDescent="0.25">
      <c r="A478" s="24" t="s">
        <v>1820</v>
      </c>
      <c r="B478" s="6" t="s">
        <v>100</v>
      </c>
      <c r="C478" s="6" t="s">
        <v>52</v>
      </c>
      <c r="D478" s="6" t="s">
        <v>78</v>
      </c>
      <c r="E478" s="25">
        <f>'Inventory master'!G478*2*7.5</f>
        <v>585</v>
      </c>
    </row>
    <row r="479" spans="1:5" x14ac:dyDescent="0.25">
      <c r="A479" s="24" t="s">
        <v>1821</v>
      </c>
      <c r="B479" s="6" t="s">
        <v>726</v>
      </c>
      <c r="C479" s="6" t="s">
        <v>18</v>
      </c>
      <c r="D479" s="6" t="s">
        <v>36</v>
      </c>
      <c r="E479" s="25">
        <f>'Inventory master'!G479*2*7.5</f>
        <v>1440</v>
      </c>
    </row>
    <row r="480" spans="1:5" x14ac:dyDescent="0.25">
      <c r="A480" s="24" t="s">
        <v>1822</v>
      </c>
      <c r="B480" s="6" t="s">
        <v>184</v>
      </c>
      <c r="C480" s="6" t="s">
        <v>164</v>
      </c>
      <c r="D480" s="6" t="s">
        <v>91</v>
      </c>
      <c r="E480" s="25">
        <f>'Inventory master'!G480*2*7.5</f>
        <v>1260</v>
      </c>
    </row>
    <row r="481" spans="1:5" x14ac:dyDescent="0.25">
      <c r="A481" s="24" t="s">
        <v>1823</v>
      </c>
      <c r="B481" s="6" t="s">
        <v>157</v>
      </c>
      <c r="C481" s="6" t="s">
        <v>27</v>
      </c>
      <c r="D481" s="6" t="s">
        <v>36</v>
      </c>
      <c r="E481" s="25">
        <f>'Inventory master'!G481*2*7.5</f>
        <v>855</v>
      </c>
    </row>
    <row r="482" spans="1:5" x14ac:dyDescent="0.25">
      <c r="A482" s="24" t="s">
        <v>1824</v>
      </c>
      <c r="B482" s="6" t="s">
        <v>110</v>
      </c>
      <c r="C482" s="6" t="s">
        <v>8</v>
      </c>
      <c r="D482" s="6" t="s">
        <v>23</v>
      </c>
      <c r="E482" s="25">
        <f>'Inventory master'!G482*2*7.5</f>
        <v>1050</v>
      </c>
    </row>
    <row r="483" spans="1:5" x14ac:dyDescent="0.25">
      <c r="A483" s="24" t="s">
        <v>1825</v>
      </c>
      <c r="B483" s="6" t="s">
        <v>12</v>
      </c>
      <c r="C483" s="6" t="s">
        <v>13</v>
      </c>
      <c r="D483" s="6" t="s">
        <v>23</v>
      </c>
      <c r="E483" s="25">
        <f>'Inventory master'!G483*2*7.5</f>
        <v>1170</v>
      </c>
    </row>
    <row r="484" spans="1:5" x14ac:dyDescent="0.25">
      <c r="A484" s="24" t="s">
        <v>1826</v>
      </c>
      <c r="B484" s="6" t="s">
        <v>361</v>
      </c>
      <c r="C484" s="6" t="s">
        <v>179</v>
      </c>
      <c r="D484" s="6" t="s">
        <v>101</v>
      </c>
      <c r="E484" s="25">
        <f>'Inventory master'!G484*2*7.5</f>
        <v>270</v>
      </c>
    </row>
    <row r="485" spans="1:5" x14ac:dyDescent="0.25">
      <c r="A485" s="24" t="s">
        <v>1827</v>
      </c>
      <c r="B485" s="6" t="s">
        <v>349</v>
      </c>
      <c r="C485" s="6" t="s">
        <v>179</v>
      </c>
      <c r="D485" s="6" t="s">
        <v>14</v>
      </c>
      <c r="E485" s="25">
        <f>'Inventory master'!G485*2*7.5</f>
        <v>1155</v>
      </c>
    </row>
    <row r="486" spans="1:5" x14ac:dyDescent="0.25">
      <c r="A486" s="24" t="s">
        <v>1828</v>
      </c>
      <c r="B486" s="6" t="s">
        <v>163</v>
      </c>
      <c r="C486" s="6" t="s">
        <v>164</v>
      </c>
      <c r="D486" s="6" t="s">
        <v>36</v>
      </c>
      <c r="E486" s="25">
        <f>'Inventory master'!G486*2*7.5</f>
        <v>390</v>
      </c>
    </row>
    <row r="487" spans="1:5" x14ac:dyDescent="0.25">
      <c r="A487" s="24" t="s">
        <v>1829</v>
      </c>
      <c r="B487" s="6" t="s">
        <v>110</v>
      </c>
      <c r="C487" s="6" t="s">
        <v>8</v>
      </c>
      <c r="D487" s="6" t="s">
        <v>58</v>
      </c>
      <c r="E487" s="25">
        <f>'Inventory master'!G487*2*7.5</f>
        <v>540</v>
      </c>
    </row>
    <row r="488" spans="1:5" x14ac:dyDescent="0.25">
      <c r="A488" s="24" t="s">
        <v>1830</v>
      </c>
      <c r="B488" s="6" t="s">
        <v>468</v>
      </c>
      <c r="C488" s="6" t="s">
        <v>32</v>
      </c>
      <c r="D488" s="6" t="s">
        <v>9</v>
      </c>
      <c r="E488" s="25">
        <f>'Inventory master'!G488*2*7.5</f>
        <v>420</v>
      </c>
    </row>
    <row r="489" spans="1:5" x14ac:dyDescent="0.25">
      <c r="A489" s="24" t="s">
        <v>1831</v>
      </c>
      <c r="B489" s="6" t="s">
        <v>22</v>
      </c>
      <c r="C489" s="6" t="s">
        <v>8</v>
      </c>
      <c r="D489" s="6" t="s">
        <v>9</v>
      </c>
      <c r="E489" s="25">
        <f>'Inventory master'!G489*2*7.5</f>
        <v>675</v>
      </c>
    </row>
    <row r="490" spans="1:5" x14ac:dyDescent="0.25">
      <c r="A490" s="24" t="s">
        <v>1832</v>
      </c>
      <c r="B490" s="6" t="s">
        <v>178</v>
      </c>
      <c r="C490" s="6" t="s">
        <v>179</v>
      </c>
      <c r="D490" s="6" t="s">
        <v>58</v>
      </c>
      <c r="E490" s="25">
        <f>'Inventory master'!G490*2*7.5</f>
        <v>765</v>
      </c>
    </row>
    <row r="491" spans="1:5" x14ac:dyDescent="0.25">
      <c r="A491" s="24" t="s">
        <v>1833</v>
      </c>
      <c r="B491" s="6" t="s">
        <v>255</v>
      </c>
      <c r="C491" s="6" t="s">
        <v>164</v>
      </c>
      <c r="D491" s="6" t="s">
        <v>91</v>
      </c>
      <c r="E491" s="25">
        <f>'Inventory master'!G491*2*7.5</f>
        <v>360</v>
      </c>
    </row>
    <row r="492" spans="1:5" x14ac:dyDescent="0.25">
      <c r="A492" s="24" t="s">
        <v>1834</v>
      </c>
      <c r="B492" s="6" t="s">
        <v>7</v>
      </c>
      <c r="C492" s="6" t="s">
        <v>8</v>
      </c>
      <c r="D492" s="6" t="s">
        <v>28</v>
      </c>
      <c r="E492" s="25">
        <f>'Inventory master'!G492*2*7.5</f>
        <v>840</v>
      </c>
    </row>
    <row r="493" spans="1:5" x14ac:dyDescent="0.25">
      <c r="A493" s="24" t="s">
        <v>1835</v>
      </c>
      <c r="B493" s="6" t="s">
        <v>35</v>
      </c>
      <c r="C493" s="6" t="s">
        <v>13</v>
      </c>
      <c r="D493" s="6" t="s">
        <v>58</v>
      </c>
      <c r="E493" s="25">
        <f>'Inventory master'!G493*2*7.5</f>
        <v>375</v>
      </c>
    </row>
    <row r="494" spans="1:5" x14ac:dyDescent="0.25">
      <c r="A494" s="24" t="s">
        <v>1836</v>
      </c>
      <c r="B494" s="6" t="s">
        <v>12</v>
      </c>
      <c r="C494" s="6" t="s">
        <v>13</v>
      </c>
      <c r="D494" s="6" t="s">
        <v>91</v>
      </c>
      <c r="E494" s="25">
        <f>'Inventory master'!G494*2*7.5</f>
        <v>510</v>
      </c>
    </row>
    <row r="495" spans="1:5" x14ac:dyDescent="0.25">
      <c r="A495" s="24" t="s">
        <v>1837</v>
      </c>
      <c r="B495" s="6" t="s">
        <v>118</v>
      </c>
      <c r="C495" s="6" t="s">
        <v>63</v>
      </c>
      <c r="D495" s="6" t="s">
        <v>28</v>
      </c>
      <c r="E495" s="25">
        <f>'Inventory master'!G495*2*7.5</f>
        <v>390</v>
      </c>
    </row>
    <row r="496" spans="1:5" x14ac:dyDescent="0.25">
      <c r="A496" s="24" t="s">
        <v>1838</v>
      </c>
      <c r="B496" s="6" t="s">
        <v>1159</v>
      </c>
      <c r="C496" s="6" t="s">
        <v>18</v>
      </c>
      <c r="D496" s="6" t="s">
        <v>53</v>
      </c>
      <c r="E496" s="25">
        <f>'Inventory master'!G496*2*7.5</f>
        <v>1350</v>
      </c>
    </row>
    <row r="497" spans="1:5" x14ac:dyDescent="0.25">
      <c r="A497" s="24" t="s">
        <v>1839</v>
      </c>
      <c r="B497" s="6" t="s">
        <v>70</v>
      </c>
      <c r="C497" s="6" t="s">
        <v>32</v>
      </c>
      <c r="D497" s="6" t="s">
        <v>53</v>
      </c>
      <c r="E497" s="25">
        <f>'Inventory master'!G497*2*7.5</f>
        <v>585</v>
      </c>
    </row>
    <row r="498" spans="1:5" x14ac:dyDescent="0.25">
      <c r="A498" s="24" t="s">
        <v>1840</v>
      </c>
      <c r="B498" s="6" t="s">
        <v>47</v>
      </c>
      <c r="C498" s="6" t="s">
        <v>42</v>
      </c>
      <c r="D498" s="6" t="s">
        <v>14</v>
      </c>
      <c r="E498" s="25">
        <f>'Inventory master'!G498*2*7.5</f>
        <v>915</v>
      </c>
    </row>
    <row r="499" spans="1:5" x14ac:dyDescent="0.25">
      <c r="A499" s="24" t="s">
        <v>1841</v>
      </c>
      <c r="B499" s="6" t="s">
        <v>57</v>
      </c>
      <c r="C499" s="6" t="s">
        <v>42</v>
      </c>
      <c r="D499" s="6" t="s">
        <v>28</v>
      </c>
      <c r="E499" s="25">
        <f>'Inventory master'!G499*2*7.5</f>
        <v>1140</v>
      </c>
    </row>
    <row r="500" spans="1:5" x14ac:dyDescent="0.25">
      <c r="A500" s="24" t="s">
        <v>1842</v>
      </c>
      <c r="B500" s="6" t="s">
        <v>35</v>
      </c>
      <c r="C500" s="6" t="s">
        <v>13</v>
      </c>
      <c r="D500" s="6" t="s">
        <v>78</v>
      </c>
      <c r="E500" s="25">
        <f>'Inventory master'!G500*2*7.5</f>
        <v>675</v>
      </c>
    </row>
    <row r="501" spans="1:5" x14ac:dyDescent="0.25">
      <c r="A501" s="24" t="s">
        <v>1843</v>
      </c>
      <c r="B501" s="6" t="s">
        <v>41</v>
      </c>
      <c r="C501" s="6" t="s">
        <v>42</v>
      </c>
      <c r="D501" s="6" t="s">
        <v>78</v>
      </c>
      <c r="E501" s="25">
        <f>'Inventory master'!G501*2*7.5</f>
        <v>1200</v>
      </c>
    </row>
    <row r="502" spans="1:5" x14ac:dyDescent="0.25">
      <c r="A502" s="24" t="s">
        <v>1844</v>
      </c>
      <c r="B502" s="6" t="s">
        <v>663</v>
      </c>
      <c r="C502" s="6" t="s">
        <v>18</v>
      </c>
      <c r="D502" s="6" t="s">
        <v>14</v>
      </c>
      <c r="E502" s="25">
        <f>'Inventory master'!G502*2*7.5</f>
        <v>1335</v>
      </c>
    </row>
    <row r="503" spans="1:5" x14ac:dyDescent="0.25">
      <c r="A503" s="24" t="s">
        <v>1845</v>
      </c>
      <c r="B503" s="6" t="s">
        <v>133</v>
      </c>
      <c r="C503" s="6" t="s">
        <v>52</v>
      </c>
      <c r="D503" s="6" t="s">
        <v>23</v>
      </c>
      <c r="E503" s="25">
        <f>'Inventory master'!G503*2*7.5</f>
        <v>915</v>
      </c>
    </row>
    <row r="504" spans="1:5" x14ac:dyDescent="0.25">
      <c r="A504" s="24" t="s">
        <v>1846</v>
      </c>
      <c r="B504" s="6" t="s">
        <v>163</v>
      </c>
      <c r="C504" s="6" t="s">
        <v>164</v>
      </c>
      <c r="D504" s="6" t="s">
        <v>58</v>
      </c>
      <c r="E504" s="25">
        <f>'Inventory master'!G504*2*7.5</f>
        <v>450</v>
      </c>
    </row>
    <row r="505" spans="1:5" x14ac:dyDescent="0.25">
      <c r="A505" s="24" t="s">
        <v>1847</v>
      </c>
      <c r="B505" s="6" t="s">
        <v>41</v>
      </c>
      <c r="C505" s="6" t="s">
        <v>42</v>
      </c>
      <c r="D505" s="6" t="s">
        <v>14</v>
      </c>
      <c r="E505" s="25">
        <f>'Inventory master'!G505*2*7.5</f>
        <v>915</v>
      </c>
    </row>
    <row r="506" spans="1:5" x14ac:dyDescent="0.25">
      <c r="A506" s="24" t="s">
        <v>1848</v>
      </c>
      <c r="B506" s="6" t="s">
        <v>150</v>
      </c>
      <c r="C506" s="6" t="s">
        <v>32</v>
      </c>
      <c r="D506" s="6" t="s">
        <v>91</v>
      </c>
      <c r="E506" s="25">
        <f>'Inventory master'!G506*2*7.5</f>
        <v>1035</v>
      </c>
    </row>
    <row r="507" spans="1:5" x14ac:dyDescent="0.25">
      <c r="A507" s="24" t="s">
        <v>1849</v>
      </c>
      <c r="B507" s="6" t="s">
        <v>356</v>
      </c>
      <c r="C507" s="6" t="s">
        <v>18</v>
      </c>
      <c r="D507" s="6" t="s">
        <v>91</v>
      </c>
      <c r="E507" s="25">
        <f>'Inventory master'!G507*2*7.5</f>
        <v>765</v>
      </c>
    </row>
    <row r="508" spans="1:5" x14ac:dyDescent="0.25">
      <c r="A508" s="24" t="s">
        <v>1850</v>
      </c>
      <c r="B508" s="6" t="s">
        <v>398</v>
      </c>
      <c r="C508" s="6" t="s">
        <v>42</v>
      </c>
      <c r="D508" s="6" t="s">
        <v>23</v>
      </c>
      <c r="E508" s="25">
        <f>'Inventory master'!G508*2*7.5</f>
        <v>645</v>
      </c>
    </row>
    <row r="509" spans="1:5" x14ac:dyDescent="0.25">
      <c r="A509" s="24" t="s">
        <v>1851</v>
      </c>
      <c r="B509" s="6" t="s">
        <v>1186</v>
      </c>
      <c r="C509" s="6" t="s">
        <v>18</v>
      </c>
      <c r="D509" s="6" t="s">
        <v>14</v>
      </c>
      <c r="E509" s="25">
        <f>'Inventory master'!G509*2*7.5</f>
        <v>270</v>
      </c>
    </row>
    <row r="510" spans="1:5" x14ac:dyDescent="0.25">
      <c r="A510" s="24" t="s">
        <v>1852</v>
      </c>
      <c r="B510" s="6" t="s">
        <v>518</v>
      </c>
      <c r="C510" s="6" t="s">
        <v>164</v>
      </c>
      <c r="D510" s="6" t="s">
        <v>123</v>
      </c>
      <c r="E510" s="25">
        <f>'Inventory master'!G510*2*7.5</f>
        <v>540</v>
      </c>
    </row>
    <row r="511" spans="1:5" x14ac:dyDescent="0.25">
      <c r="A511" s="24" t="s">
        <v>1853</v>
      </c>
      <c r="B511" s="6" t="s">
        <v>100</v>
      </c>
      <c r="C511" s="6" t="s">
        <v>52</v>
      </c>
      <c r="D511" s="6" t="s">
        <v>28</v>
      </c>
      <c r="E511" s="25">
        <f>'Inventory master'!G511*2*7.5</f>
        <v>1335</v>
      </c>
    </row>
    <row r="512" spans="1:5" x14ac:dyDescent="0.25">
      <c r="A512" s="24" t="s">
        <v>1854</v>
      </c>
      <c r="B512" s="6" t="s">
        <v>133</v>
      </c>
      <c r="C512" s="6" t="s">
        <v>52</v>
      </c>
      <c r="D512" s="6" t="s">
        <v>28</v>
      </c>
      <c r="E512" s="25">
        <f>'Inventory master'!G512*2*7.5</f>
        <v>1485</v>
      </c>
    </row>
    <row r="513" spans="1:5" x14ac:dyDescent="0.25">
      <c r="A513" s="24" t="s">
        <v>1855</v>
      </c>
      <c r="B513" s="6" t="s">
        <v>57</v>
      </c>
      <c r="C513" s="6" t="s">
        <v>42</v>
      </c>
      <c r="D513" s="6" t="s">
        <v>14</v>
      </c>
      <c r="E513" s="25">
        <f>'Inventory master'!G513*2*7.5</f>
        <v>375</v>
      </c>
    </row>
    <row r="514" spans="1:5" x14ac:dyDescent="0.25">
      <c r="A514" s="24" t="s">
        <v>1856</v>
      </c>
      <c r="B514" s="6" t="s">
        <v>509</v>
      </c>
      <c r="C514" s="6" t="s">
        <v>18</v>
      </c>
      <c r="D514" s="6" t="s">
        <v>91</v>
      </c>
      <c r="E514" s="25">
        <f>'Inventory master'!G514*2*7.5</f>
        <v>1260</v>
      </c>
    </row>
    <row r="515" spans="1:5" x14ac:dyDescent="0.25">
      <c r="A515" s="24" t="s">
        <v>1857</v>
      </c>
      <c r="B515" s="6" t="s">
        <v>74</v>
      </c>
      <c r="C515" s="6" t="s">
        <v>8</v>
      </c>
      <c r="D515" s="6" t="s">
        <v>91</v>
      </c>
      <c r="E515" s="25">
        <f>'Inventory master'!G515*2*7.5</f>
        <v>765</v>
      </c>
    </row>
    <row r="516" spans="1:5" x14ac:dyDescent="0.25">
      <c r="A516" s="24" t="s">
        <v>1858</v>
      </c>
      <c r="B516" s="6" t="s">
        <v>563</v>
      </c>
      <c r="C516" s="6" t="s">
        <v>52</v>
      </c>
      <c r="D516" s="6" t="s">
        <v>28</v>
      </c>
      <c r="E516" s="25">
        <f>'Inventory master'!G516*2*7.5</f>
        <v>930</v>
      </c>
    </row>
    <row r="517" spans="1:5" x14ac:dyDescent="0.25">
      <c r="A517" s="24" t="s">
        <v>1859</v>
      </c>
      <c r="B517" s="6" t="s">
        <v>364</v>
      </c>
      <c r="C517" s="6" t="s">
        <v>52</v>
      </c>
      <c r="D517" s="6" t="s">
        <v>9</v>
      </c>
      <c r="E517" s="25">
        <f>'Inventory master'!G517*2*7.5</f>
        <v>420</v>
      </c>
    </row>
    <row r="518" spans="1:5" x14ac:dyDescent="0.25">
      <c r="A518" s="24" t="s">
        <v>1860</v>
      </c>
      <c r="B518" s="6" t="s">
        <v>110</v>
      </c>
      <c r="C518" s="6" t="s">
        <v>8</v>
      </c>
      <c r="D518" s="6" t="s">
        <v>101</v>
      </c>
      <c r="E518" s="25">
        <f>'Inventory master'!G518*2*7.5</f>
        <v>1275</v>
      </c>
    </row>
    <row r="519" spans="1:5" x14ac:dyDescent="0.25">
      <c r="A519" s="24" t="s">
        <v>1861</v>
      </c>
      <c r="B519" s="6" t="s">
        <v>118</v>
      </c>
      <c r="C519" s="6" t="s">
        <v>63</v>
      </c>
      <c r="D519" s="6" t="s">
        <v>28</v>
      </c>
      <c r="E519" s="25">
        <f>'Inventory master'!G519*2*7.5</f>
        <v>465</v>
      </c>
    </row>
    <row r="520" spans="1:5" x14ac:dyDescent="0.25">
      <c r="A520" s="24" t="s">
        <v>1862</v>
      </c>
      <c r="B520" s="6" t="s">
        <v>777</v>
      </c>
      <c r="C520" s="6" t="s">
        <v>18</v>
      </c>
      <c r="D520" s="6" t="s">
        <v>123</v>
      </c>
      <c r="E520" s="25">
        <f>'Inventory master'!G520*2*7.5</f>
        <v>270</v>
      </c>
    </row>
    <row r="521" spans="1:5" x14ac:dyDescent="0.25">
      <c r="A521" s="24" t="s">
        <v>1863</v>
      </c>
      <c r="B521" s="6" t="s">
        <v>364</v>
      </c>
      <c r="C521" s="6" t="s">
        <v>52</v>
      </c>
      <c r="D521" s="6" t="s">
        <v>91</v>
      </c>
      <c r="E521" s="25">
        <f>'Inventory master'!G521*2*7.5</f>
        <v>480</v>
      </c>
    </row>
    <row r="522" spans="1:5" x14ac:dyDescent="0.25">
      <c r="A522" s="24" t="s">
        <v>1864</v>
      </c>
      <c r="B522" s="6" t="s">
        <v>51</v>
      </c>
      <c r="C522" s="6" t="s">
        <v>52</v>
      </c>
      <c r="D522" s="6" t="s">
        <v>78</v>
      </c>
      <c r="E522" s="25">
        <f>'Inventory master'!G522*2*7.5</f>
        <v>525</v>
      </c>
    </row>
    <row r="523" spans="1:5" x14ac:dyDescent="0.25">
      <c r="A523" s="24" t="s">
        <v>1865</v>
      </c>
      <c r="B523" s="6" t="s">
        <v>110</v>
      </c>
      <c r="C523" s="6" t="s">
        <v>8</v>
      </c>
      <c r="D523" s="6" t="s">
        <v>91</v>
      </c>
      <c r="E523" s="25">
        <f>'Inventory master'!G523*2*7.5</f>
        <v>180</v>
      </c>
    </row>
    <row r="524" spans="1:5" x14ac:dyDescent="0.25">
      <c r="A524" s="24" t="s">
        <v>1866</v>
      </c>
      <c r="B524" s="6" t="s">
        <v>133</v>
      </c>
      <c r="C524" s="6" t="s">
        <v>52</v>
      </c>
      <c r="D524" s="6" t="s">
        <v>58</v>
      </c>
      <c r="E524" s="25">
        <f>'Inventory master'!G524*2*7.5</f>
        <v>435</v>
      </c>
    </row>
    <row r="525" spans="1:5" x14ac:dyDescent="0.25">
      <c r="A525" s="24" t="s">
        <v>1867</v>
      </c>
      <c r="B525" s="6" t="s">
        <v>364</v>
      </c>
      <c r="C525" s="6" t="s">
        <v>52</v>
      </c>
      <c r="D525" s="6" t="s">
        <v>36</v>
      </c>
      <c r="E525" s="25">
        <f>'Inventory master'!G525*2*7.5</f>
        <v>705</v>
      </c>
    </row>
    <row r="526" spans="1:5" x14ac:dyDescent="0.25">
      <c r="A526" s="24" t="s">
        <v>1868</v>
      </c>
      <c r="B526" s="6" t="s">
        <v>142</v>
      </c>
      <c r="C526" s="6" t="s">
        <v>27</v>
      </c>
      <c r="D526" s="6" t="s">
        <v>28</v>
      </c>
      <c r="E526" s="25">
        <f>'Inventory master'!G526*2*7.5</f>
        <v>525</v>
      </c>
    </row>
    <row r="527" spans="1:5" x14ac:dyDescent="0.25">
      <c r="A527" s="24" t="s">
        <v>1869</v>
      </c>
      <c r="B527" s="6" t="s">
        <v>344</v>
      </c>
      <c r="C527" s="6" t="s">
        <v>63</v>
      </c>
      <c r="D527" s="6" t="s">
        <v>58</v>
      </c>
      <c r="E527" s="25">
        <f>'Inventory master'!G527*2*7.5</f>
        <v>360</v>
      </c>
    </row>
    <row r="528" spans="1:5" x14ac:dyDescent="0.25">
      <c r="A528" s="24" t="s">
        <v>1870</v>
      </c>
      <c r="B528" s="6" t="s">
        <v>594</v>
      </c>
      <c r="C528" s="6" t="s">
        <v>63</v>
      </c>
      <c r="D528" s="6" t="s">
        <v>9</v>
      </c>
      <c r="E528" s="25">
        <f>'Inventory master'!G528*2*7.5</f>
        <v>1260</v>
      </c>
    </row>
    <row r="529" spans="1:5" x14ac:dyDescent="0.25">
      <c r="A529" s="24" t="s">
        <v>1871</v>
      </c>
      <c r="B529" s="6" t="s">
        <v>255</v>
      </c>
      <c r="C529" s="6" t="s">
        <v>164</v>
      </c>
      <c r="D529" s="6" t="s">
        <v>58</v>
      </c>
      <c r="E529" s="25">
        <f>'Inventory master'!G529*2*7.5</f>
        <v>1305</v>
      </c>
    </row>
    <row r="530" spans="1:5" x14ac:dyDescent="0.25">
      <c r="A530" s="24" t="s">
        <v>1872</v>
      </c>
      <c r="B530" s="6" t="s">
        <v>41</v>
      </c>
      <c r="C530" s="6" t="s">
        <v>42</v>
      </c>
      <c r="D530" s="6" t="s">
        <v>91</v>
      </c>
      <c r="E530" s="25">
        <f>'Inventory master'!G530*2*7.5</f>
        <v>1080</v>
      </c>
    </row>
    <row r="531" spans="1:5" x14ac:dyDescent="0.25">
      <c r="A531" s="24" t="s">
        <v>1873</v>
      </c>
      <c r="B531" s="6" t="s">
        <v>274</v>
      </c>
      <c r="C531" s="6" t="s">
        <v>32</v>
      </c>
      <c r="D531" s="6" t="s">
        <v>28</v>
      </c>
      <c r="E531" s="25">
        <f>'Inventory master'!G531*2*7.5</f>
        <v>555</v>
      </c>
    </row>
    <row r="532" spans="1:5" x14ac:dyDescent="0.25">
      <c r="A532" s="24" t="s">
        <v>1874</v>
      </c>
      <c r="B532" s="6" t="s">
        <v>1231</v>
      </c>
      <c r="C532" s="6" t="s">
        <v>18</v>
      </c>
      <c r="D532" s="6" t="s">
        <v>123</v>
      </c>
      <c r="E532" s="25">
        <f>'Inventory master'!G532*2*7.5</f>
        <v>1080</v>
      </c>
    </row>
    <row r="533" spans="1:5" x14ac:dyDescent="0.25">
      <c r="A533" s="24" t="s">
        <v>1875</v>
      </c>
      <c r="B533" s="6" t="s">
        <v>385</v>
      </c>
      <c r="C533" s="6" t="s">
        <v>32</v>
      </c>
      <c r="D533" s="6" t="s">
        <v>123</v>
      </c>
      <c r="E533" s="25">
        <f>'Inventory master'!G533*2*7.5</f>
        <v>1050</v>
      </c>
    </row>
    <row r="534" spans="1:5" x14ac:dyDescent="0.25">
      <c r="A534" s="24" t="s">
        <v>1876</v>
      </c>
      <c r="B534" s="6" t="s">
        <v>57</v>
      </c>
      <c r="C534" s="6" t="s">
        <v>42</v>
      </c>
      <c r="D534" s="6" t="s">
        <v>14</v>
      </c>
      <c r="E534" s="25">
        <f>'Inventory master'!G534*2*7.5</f>
        <v>1410</v>
      </c>
    </row>
    <row r="535" spans="1:5" x14ac:dyDescent="0.25">
      <c r="A535" s="24" t="s">
        <v>1877</v>
      </c>
      <c r="B535" s="6" t="s">
        <v>255</v>
      </c>
      <c r="C535" s="6" t="s">
        <v>164</v>
      </c>
      <c r="D535" s="6" t="s">
        <v>23</v>
      </c>
      <c r="E535" s="25">
        <f>'Inventory master'!G535*2*7.5</f>
        <v>735</v>
      </c>
    </row>
    <row r="536" spans="1:5" x14ac:dyDescent="0.25">
      <c r="A536" s="24" t="s">
        <v>1878</v>
      </c>
      <c r="B536" s="6" t="s">
        <v>47</v>
      </c>
      <c r="C536" s="6" t="s">
        <v>42</v>
      </c>
      <c r="D536" s="6" t="s">
        <v>91</v>
      </c>
      <c r="E536" s="25">
        <f>'Inventory master'!G536*2*7.5</f>
        <v>1470</v>
      </c>
    </row>
    <row r="537" spans="1:5" x14ac:dyDescent="0.25">
      <c r="A537" s="24" t="s">
        <v>1879</v>
      </c>
      <c r="B537" s="6" t="s">
        <v>241</v>
      </c>
      <c r="C537" s="6" t="s">
        <v>27</v>
      </c>
      <c r="D537" s="6" t="s">
        <v>14</v>
      </c>
      <c r="E537" s="25">
        <f>'Inventory master'!G537*2*7.5</f>
        <v>1260</v>
      </c>
    </row>
    <row r="538" spans="1:5" x14ac:dyDescent="0.25">
      <c r="A538" s="24" t="s">
        <v>1880</v>
      </c>
      <c r="B538" s="6" t="s">
        <v>361</v>
      </c>
      <c r="C538" s="6" t="s">
        <v>179</v>
      </c>
      <c r="D538" s="6" t="s">
        <v>23</v>
      </c>
      <c r="E538" s="25">
        <f>'Inventory master'!G538*2*7.5</f>
        <v>1365</v>
      </c>
    </row>
    <row r="539" spans="1:5" x14ac:dyDescent="0.25">
      <c r="A539" s="24" t="s">
        <v>1881</v>
      </c>
      <c r="B539" s="6" t="s">
        <v>51</v>
      </c>
      <c r="C539" s="6" t="s">
        <v>52</v>
      </c>
      <c r="D539" s="6" t="s">
        <v>9</v>
      </c>
      <c r="E539" s="25">
        <f>'Inventory master'!G539*2*7.5</f>
        <v>1215</v>
      </c>
    </row>
    <row r="540" spans="1:5" x14ac:dyDescent="0.25">
      <c r="A540" s="24" t="s">
        <v>1882</v>
      </c>
      <c r="B540" s="6" t="s">
        <v>12</v>
      </c>
      <c r="C540" s="6" t="s">
        <v>13</v>
      </c>
      <c r="D540" s="6" t="s">
        <v>28</v>
      </c>
      <c r="E540" s="25">
        <f>'Inventory master'!G540*2*7.5</f>
        <v>705</v>
      </c>
    </row>
    <row r="541" spans="1:5" x14ac:dyDescent="0.25">
      <c r="A541" s="24" t="s">
        <v>1883</v>
      </c>
      <c r="B541" s="6" t="s">
        <v>228</v>
      </c>
      <c r="C541" s="6" t="s">
        <v>63</v>
      </c>
      <c r="D541" s="6" t="s">
        <v>28</v>
      </c>
      <c r="E541" s="25">
        <f>'Inventory master'!G541*2*7.5</f>
        <v>1260</v>
      </c>
    </row>
    <row r="542" spans="1:5" x14ac:dyDescent="0.25">
      <c r="A542" s="24" t="s">
        <v>1884</v>
      </c>
      <c r="B542" s="6" t="s">
        <v>7</v>
      </c>
      <c r="C542" s="6" t="s">
        <v>8</v>
      </c>
      <c r="D542" s="6" t="s">
        <v>36</v>
      </c>
      <c r="E542" s="25">
        <f>'Inventory master'!G542*2*7.5</f>
        <v>1395</v>
      </c>
    </row>
    <row r="543" spans="1:5" x14ac:dyDescent="0.25">
      <c r="A543" s="24" t="s">
        <v>1885</v>
      </c>
      <c r="B543" s="6" t="s">
        <v>250</v>
      </c>
      <c r="C543" s="6" t="s">
        <v>63</v>
      </c>
      <c r="D543" s="6" t="s">
        <v>78</v>
      </c>
      <c r="E543" s="25">
        <f>'Inventory master'!G543*2*7.5</f>
        <v>375</v>
      </c>
    </row>
    <row r="544" spans="1:5" x14ac:dyDescent="0.25">
      <c r="A544" s="24" t="s">
        <v>1886</v>
      </c>
      <c r="B544" s="6" t="s">
        <v>576</v>
      </c>
      <c r="C544" s="6" t="s">
        <v>63</v>
      </c>
      <c r="D544" s="6" t="s">
        <v>123</v>
      </c>
      <c r="E544" s="25">
        <f>'Inventory master'!G544*2*7.5</f>
        <v>540</v>
      </c>
    </row>
    <row r="545" spans="1:5" x14ac:dyDescent="0.25">
      <c r="A545" s="24" t="s">
        <v>1887</v>
      </c>
      <c r="B545" s="6" t="s">
        <v>110</v>
      </c>
      <c r="C545" s="6" t="s">
        <v>8</v>
      </c>
      <c r="D545" s="6" t="s">
        <v>123</v>
      </c>
      <c r="E545" s="25">
        <f>'Inventory master'!G545*2*7.5</f>
        <v>1320</v>
      </c>
    </row>
    <row r="546" spans="1:5" x14ac:dyDescent="0.25">
      <c r="A546" s="24" t="s">
        <v>1888</v>
      </c>
      <c r="B546" s="6" t="s">
        <v>100</v>
      </c>
      <c r="C546" s="6" t="s">
        <v>52</v>
      </c>
      <c r="D546" s="6" t="s">
        <v>58</v>
      </c>
      <c r="E546" s="25">
        <f>'Inventory master'!G546*2*7.5</f>
        <v>270</v>
      </c>
    </row>
    <row r="547" spans="1:5" x14ac:dyDescent="0.25">
      <c r="A547" s="24" t="s">
        <v>1889</v>
      </c>
      <c r="B547" s="6" t="s">
        <v>263</v>
      </c>
      <c r="C547" s="6" t="s">
        <v>8</v>
      </c>
      <c r="D547" s="6" t="s">
        <v>101</v>
      </c>
      <c r="E547" s="25">
        <f>'Inventory master'!G547*2*7.5</f>
        <v>1365</v>
      </c>
    </row>
    <row r="548" spans="1:5" x14ac:dyDescent="0.25">
      <c r="A548" s="24" t="s">
        <v>1890</v>
      </c>
      <c r="B548" s="6" t="s">
        <v>133</v>
      </c>
      <c r="C548" s="6" t="s">
        <v>52</v>
      </c>
      <c r="D548" s="6" t="s">
        <v>9</v>
      </c>
      <c r="E548" s="25">
        <f>'Inventory master'!G548*2*7.5</f>
        <v>435</v>
      </c>
    </row>
    <row r="549" spans="1:5" x14ac:dyDescent="0.25">
      <c r="A549" s="24" t="s">
        <v>1891</v>
      </c>
      <c r="B549" s="6" t="s">
        <v>47</v>
      </c>
      <c r="C549" s="6" t="s">
        <v>42</v>
      </c>
      <c r="D549" s="6" t="s">
        <v>123</v>
      </c>
      <c r="E549" s="25">
        <f>'Inventory master'!G549*2*7.5</f>
        <v>1425</v>
      </c>
    </row>
    <row r="550" spans="1:5" x14ac:dyDescent="0.25">
      <c r="A550" s="24" t="s">
        <v>1892</v>
      </c>
      <c r="B550" s="6" t="s">
        <v>35</v>
      </c>
      <c r="C550" s="6" t="s">
        <v>13</v>
      </c>
      <c r="D550" s="6" t="s">
        <v>28</v>
      </c>
      <c r="E550" s="25">
        <f>'Inventory master'!G550*2*7.5</f>
        <v>150</v>
      </c>
    </row>
    <row r="551" spans="1:5" x14ac:dyDescent="0.25">
      <c r="A551" s="24" t="s">
        <v>1893</v>
      </c>
      <c r="B551" s="6" t="s">
        <v>455</v>
      </c>
      <c r="C551" s="6" t="s">
        <v>18</v>
      </c>
      <c r="D551" s="6" t="s">
        <v>36</v>
      </c>
      <c r="E551" s="25">
        <f>'Inventory master'!G551*2*7.5</f>
        <v>945</v>
      </c>
    </row>
    <row r="552" spans="1:5" x14ac:dyDescent="0.25">
      <c r="A552" s="24" t="s">
        <v>1894</v>
      </c>
      <c r="B552" s="6" t="s">
        <v>100</v>
      </c>
      <c r="C552" s="6" t="s">
        <v>52</v>
      </c>
      <c r="D552" s="6" t="s">
        <v>23</v>
      </c>
      <c r="E552" s="25">
        <f>'Inventory master'!G552*2*7.5</f>
        <v>1305</v>
      </c>
    </row>
    <row r="553" spans="1:5" x14ac:dyDescent="0.25">
      <c r="A553" s="24" t="s">
        <v>1895</v>
      </c>
      <c r="B553" s="6" t="s">
        <v>407</v>
      </c>
      <c r="C553" s="6" t="s">
        <v>179</v>
      </c>
      <c r="D553" s="6" t="s">
        <v>123</v>
      </c>
      <c r="E553" s="25">
        <f>'Inventory master'!G553*2*7.5</f>
        <v>1470</v>
      </c>
    </row>
    <row r="554" spans="1:5" x14ac:dyDescent="0.25">
      <c r="A554" s="24" t="s">
        <v>1896</v>
      </c>
      <c r="B554" s="6" t="s">
        <v>263</v>
      </c>
      <c r="C554" s="6" t="s">
        <v>8</v>
      </c>
      <c r="D554" s="6" t="s">
        <v>28</v>
      </c>
      <c r="E554" s="25">
        <f>'Inventory master'!G554*2*7.5</f>
        <v>1380</v>
      </c>
    </row>
    <row r="555" spans="1:5" x14ac:dyDescent="0.25">
      <c r="A555" s="24" t="s">
        <v>1897</v>
      </c>
      <c r="B555" s="6" t="s">
        <v>361</v>
      </c>
      <c r="C555" s="6" t="s">
        <v>179</v>
      </c>
      <c r="D555" s="6" t="s">
        <v>28</v>
      </c>
      <c r="E555" s="25">
        <f>'Inventory master'!G555*2*7.5</f>
        <v>450</v>
      </c>
    </row>
    <row r="556" spans="1:5" x14ac:dyDescent="0.25">
      <c r="A556" s="24" t="s">
        <v>1898</v>
      </c>
      <c r="B556" s="6" t="s">
        <v>47</v>
      </c>
      <c r="C556" s="6" t="s">
        <v>42</v>
      </c>
      <c r="D556" s="6" t="s">
        <v>91</v>
      </c>
      <c r="E556" s="25">
        <f>'Inventory master'!G556*2*7.5</f>
        <v>1500</v>
      </c>
    </row>
    <row r="557" spans="1:5" x14ac:dyDescent="0.25">
      <c r="A557" s="24" t="s">
        <v>1899</v>
      </c>
      <c r="B557" s="6" t="s">
        <v>12</v>
      </c>
      <c r="C557" s="6" t="s">
        <v>13</v>
      </c>
      <c r="D557" s="6" t="s">
        <v>53</v>
      </c>
      <c r="E557" s="25">
        <f>'Inventory master'!G557*2*7.5</f>
        <v>1095</v>
      </c>
    </row>
    <row r="558" spans="1:5" x14ac:dyDescent="0.25">
      <c r="A558" s="24" t="s">
        <v>1900</v>
      </c>
      <c r="B558" s="6" t="s">
        <v>398</v>
      </c>
      <c r="C558" s="6" t="s">
        <v>42</v>
      </c>
      <c r="D558" s="6" t="s">
        <v>53</v>
      </c>
      <c r="E558" s="25">
        <f>'Inventory master'!G558*2*7.5</f>
        <v>510</v>
      </c>
    </row>
    <row r="559" spans="1:5" x14ac:dyDescent="0.25">
      <c r="A559" s="24" t="s">
        <v>1901</v>
      </c>
      <c r="B559" s="6" t="s">
        <v>241</v>
      </c>
      <c r="C559" s="6" t="s">
        <v>27</v>
      </c>
      <c r="D559" s="6" t="s">
        <v>123</v>
      </c>
      <c r="E559" s="25">
        <f>'Inventory master'!G559*2*7.5</f>
        <v>345</v>
      </c>
    </row>
    <row r="560" spans="1:5" x14ac:dyDescent="0.25">
      <c r="A560" s="24" t="s">
        <v>1902</v>
      </c>
      <c r="B560" s="6" t="s">
        <v>364</v>
      </c>
      <c r="C560" s="6" t="s">
        <v>52</v>
      </c>
      <c r="D560" s="6" t="s">
        <v>101</v>
      </c>
      <c r="E560" s="25">
        <f>'Inventory master'!G560*2*7.5</f>
        <v>690</v>
      </c>
    </row>
    <row r="561" spans="1:5" x14ac:dyDescent="0.25">
      <c r="A561" s="24" t="s">
        <v>1903</v>
      </c>
      <c r="B561" s="6" t="s">
        <v>197</v>
      </c>
      <c r="C561" s="6" t="s">
        <v>18</v>
      </c>
      <c r="D561" s="6" t="s">
        <v>36</v>
      </c>
      <c r="E561" s="25">
        <f>'Inventory master'!G561*2*7.5</f>
        <v>390</v>
      </c>
    </row>
    <row r="562" spans="1:5" x14ac:dyDescent="0.25">
      <c r="A562" s="24" t="s">
        <v>1904</v>
      </c>
      <c r="B562" s="6" t="s">
        <v>364</v>
      </c>
      <c r="C562" s="6" t="s">
        <v>52</v>
      </c>
      <c r="D562" s="6" t="s">
        <v>123</v>
      </c>
      <c r="E562" s="25">
        <f>'Inventory master'!G562*2*7.5</f>
        <v>1140</v>
      </c>
    </row>
    <row r="563" spans="1:5" x14ac:dyDescent="0.25">
      <c r="A563" s="24" t="s">
        <v>1905</v>
      </c>
      <c r="B563" s="6" t="s">
        <v>576</v>
      </c>
      <c r="C563" s="6" t="s">
        <v>63</v>
      </c>
      <c r="D563" s="6" t="s">
        <v>78</v>
      </c>
      <c r="E563" s="25">
        <f>'Inventory master'!G563*2*7.5</f>
        <v>900</v>
      </c>
    </row>
    <row r="564" spans="1:5" x14ac:dyDescent="0.25">
      <c r="A564" s="24" t="s">
        <v>1906</v>
      </c>
      <c r="B564" s="6" t="s">
        <v>407</v>
      </c>
      <c r="C564" s="6" t="s">
        <v>179</v>
      </c>
      <c r="D564" s="6" t="s">
        <v>19</v>
      </c>
      <c r="E564" s="25">
        <f>'Inventory master'!G564*2*7.5</f>
        <v>1140</v>
      </c>
    </row>
    <row r="565" spans="1:5" x14ac:dyDescent="0.25">
      <c r="A565" s="24" t="s">
        <v>1907</v>
      </c>
      <c r="B565" s="6" t="s">
        <v>12</v>
      </c>
      <c r="C565" s="6" t="s">
        <v>13</v>
      </c>
      <c r="D565" s="6" t="s">
        <v>58</v>
      </c>
      <c r="E565" s="25">
        <f>'Inventory master'!G565*2*7.5</f>
        <v>600</v>
      </c>
    </row>
    <row r="566" spans="1:5" x14ac:dyDescent="0.25">
      <c r="A566" s="24" t="s">
        <v>1908</v>
      </c>
      <c r="B566" s="6" t="s">
        <v>214</v>
      </c>
      <c r="C566" s="6" t="s">
        <v>164</v>
      </c>
      <c r="D566" s="6" t="s">
        <v>36</v>
      </c>
      <c r="E566" s="25">
        <f>'Inventory master'!G566*2*7.5</f>
        <v>1245</v>
      </c>
    </row>
    <row r="567" spans="1:5" x14ac:dyDescent="0.25">
      <c r="A567" s="24" t="s">
        <v>1909</v>
      </c>
      <c r="B567" s="6" t="s">
        <v>650</v>
      </c>
      <c r="C567" s="6" t="s">
        <v>32</v>
      </c>
      <c r="D567" s="6" t="s">
        <v>23</v>
      </c>
      <c r="E567" s="25">
        <f>'Inventory master'!G567*2*7.5</f>
        <v>1470</v>
      </c>
    </row>
    <row r="568" spans="1:5" x14ac:dyDescent="0.25">
      <c r="A568" s="24" t="s">
        <v>1910</v>
      </c>
      <c r="B568" s="6" t="s">
        <v>364</v>
      </c>
      <c r="C568" s="6" t="s">
        <v>52</v>
      </c>
      <c r="D568" s="6" t="s">
        <v>19</v>
      </c>
      <c r="E568" s="25">
        <f>'Inventory master'!G568*2*7.5</f>
        <v>765</v>
      </c>
    </row>
    <row r="569" spans="1:5" x14ac:dyDescent="0.25">
      <c r="A569" s="24" t="s">
        <v>1911</v>
      </c>
      <c r="B569" s="6" t="s">
        <v>650</v>
      </c>
      <c r="C569" s="6" t="s">
        <v>32</v>
      </c>
      <c r="D569" s="6" t="s">
        <v>23</v>
      </c>
      <c r="E569" s="25">
        <f>'Inventory master'!G569*2*7.5</f>
        <v>705</v>
      </c>
    </row>
    <row r="570" spans="1:5" x14ac:dyDescent="0.25">
      <c r="A570" s="24" t="s">
        <v>1912</v>
      </c>
      <c r="B570" s="6" t="s">
        <v>26</v>
      </c>
      <c r="C570" s="6" t="s">
        <v>27</v>
      </c>
      <c r="D570" s="6" t="s">
        <v>101</v>
      </c>
      <c r="E570" s="25">
        <f>'Inventory master'!G570*2*7.5</f>
        <v>1410</v>
      </c>
    </row>
    <row r="571" spans="1:5" x14ac:dyDescent="0.25">
      <c r="A571" s="24" t="s">
        <v>1913</v>
      </c>
      <c r="B571" s="6" t="s">
        <v>518</v>
      </c>
      <c r="C571" s="6" t="s">
        <v>164</v>
      </c>
      <c r="D571" s="6" t="s">
        <v>28</v>
      </c>
      <c r="E571" s="25">
        <f>'Inventory master'!G571*2*7.5</f>
        <v>1005</v>
      </c>
    </row>
    <row r="572" spans="1:5" x14ac:dyDescent="0.25">
      <c r="A572" s="24" t="s">
        <v>1914</v>
      </c>
      <c r="B572" s="6" t="s">
        <v>51</v>
      </c>
      <c r="C572" s="6" t="s">
        <v>52</v>
      </c>
      <c r="D572" s="6" t="s">
        <v>53</v>
      </c>
      <c r="E572" s="25">
        <f>'Inventory master'!G572*2*7.5</f>
        <v>720</v>
      </c>
    </row>
    <row r="573" spans="1:5" x14ac:dyDescent="0.25">
      <c r="A573" s="24" t="s">
        <v>1915</v>
      </c>
      <c r="B573" s="6" t="s">
        <v>263</v>
      </c>
      <c r="C573" s="6" t="s">
        <v>8</v>
      </c>
      <c r="D573" s="6" t="s">
        <v>9</v>
      </c>
      <c r="E573" s="25">
        <f>'Inventory master'!G573*2*7.5</f>
        <v>705</v>
      </c>
    </row>
    <row r="574" spans="1:5" x14ac:dyDescent="0.25">
      <c r="A574" s="24" t="s">
        <v>1916</v>
      </c>
      <c r="B574" s="6" t="s">
        <v>468</v>
      </c>
      <c r="C574" s="6" t="s">
        <v>32</v>
      </c>
      <c r="D574" s="6" t="s">
        <v>14</v>
      </c>
      <c r="E574" s="25">
        <f>'Inventory master'!G574*2*7.5</f>
        <v>150</v>
      </c>
    </row>
    <row r="575" spans="1:5" x14ac:dyDescent="0.25">
      <c r="A575" s="24" t="s">
        <v>1917</v>
      </c>
      <c r="B575" s="6" t="s">
        <v>841</v>
      </c>
      <c r="C575" s="6" t="s">
        <v>63</v>
      </c>
      <c r="D575" s="6" t="s">
        <v>123</v>
      </c>
      <c r="E575" s="25">
        <f>'Inventory master'!G575*2*7.5</f>
        <v>870</v>
      </c>
    </row>
    <row r="576" spans="1:5" x14ac:dyDescent="0.25">
      <c r="A576" s="24" t="s">
        <v>1918</v>
      </c>
      <c r="B576" s="6" t="s">
        <v>35</v>
      </c>
      <c r="C576" s="6" t="s">
        <v>13</v>
      </c>
      <c r="D576" s="6" t="s">
        <v>19</v>
      </c>
      <c r="E576" s="25">
        <f>'Inventory master'!G576*2*7.5</f>
        <v>255</v>
      </c>
    </row>
    <row r="577" spans="1:5" x14ac:dyDescent="0.25">
      <c r="A577" s="24" t="s">
        <v>1919</v>
      </c>
      <c r="B577" s="6" t="s">
        <v>35</v>
      </c>
      <c r="C577" s="6" t="s">
        <v>13</v>
      </c>
      <c r="D577" s="6" t="s">
        <v>36</v>
      </c>
      <c r="E577" s="25">
        <f>'Inventory master'!G577*2*7.5</f>
        <v>765</v>
      </c>
    </row>
    <row r="578" spans="1:5" x14ac:dyDescent="0.25">
      <c r="A578" s="24" t="s">
        <v>1920</v>
      </c>
      <c r="B578" s="6" t="s">
        <v>41</v>
      </c>
      <c r="C578" s="6" t="s">
        <v>42</v>
      </c>
      <c r="D578" s="6" t="s">
        <v>101</v>
      </c>
      <c r="E578" s="25">
        <f>'Inventory master'!G578*2*7.5</f>
        <v>600</v>
      </c>
    </row>
    <row r="579" spans="1:5" x14ac:dyDescent="0.25">
      <c r="A579" s="24" t="s">
        <v>1921</v>
      </c>
      <c r="B579" s="6" t="s">
        <v>100</v>
      </c>
      <c r="C579" s="6" t="s">
        <v>52</v>
      </c>
      <c r="D579" s="6" t="s">
        <v>78</v>
      </c>
      <c r="E579" s="25">
        <f>'Inventory master'!G579*2*7.5</f>
        <v>705</v>
      </c>
    </row>
    <row r="580" spans="1:5" x14ac:dyDescent="0.25">
      <c r="A580" s="24" t="s">
        <v>1922</v>
      </c>
      <c r="B580" s="6" t="s">
        <v>241</v>
      </c>
      <c r="C580" s="6" t="s">
        <v>27</v>
      </c>
      <c r="D580" s="6" t="s">
        <v>19</v>
      </c>
      <c r="E580" s="25">
        <f>'Inventory master'!G580*2*7.5</f>
        <v>435</v>
      </c>
    </row>
    <row r="581" spans="1:5" x14ac:dyDescent="0.25">
      <c r="A581" s="24" t="s">
        <v>1923</v>
      </c>
      <c r="B581" s="6" t="s">
        <v>12</v>
      </c>
      <c r="C581" s="6" t="s">
        <v>13</v>
      </c>
      <c r="D581" s="6" t="s">
        <v>78</v>
      </c>
      <c r="E581" s="25">
        <f>'Inventory master'!G581*2*7.5</f>
        <v>1395</v>
      </c>
    </row>
    <row r="582" spans="1:5" x14ac:dyDescent="0.25">
      <c r="A582" s="24" t="s">
        <v>1924</v>
      </c>
      <c r="B582" s="6" t="s">
        <v>70</v>
      </c>
      <c r="C582" s="6" t="s">
        <v>32</v>
      </c>
      <c r="D582" s="6" t="s">
        <v>14</v>
      </c>
      <c r="E582" s="25">
        <f>'Inventory master'!G582*2*7.5</f>
        <v>360</v>
      </c>
    </row>
    <row r="583" spans="1:5" x14ac:dyDescent="0.25">
      <c r="A583" s="24" t="s">
        <v>1925</v>
      </c>
      <c r="B583" s="6" t="s">
        <v>650</v>
      </c>
      <c r="C583" s="6" t="s">
        <v>32</v>
      </c>
      <c r="D583" s="6" t="s">
        <v>9</v>
      </c>
      <c r="E583" s="25">
        <f>'Inventory master'!G583*2*7.5</f>
        <v>1425</v>
      </c>
    </row>
    <row r="584" spans="1:5" x14ac:dyDescent="0.25">
      <c r="A584" s="24" t="s">
        <v>1926</v>
      </c>
      <c r="B584" s="6" t="s">
        <v>241</v>
      </c>
      <c r="C584" s="6" t="s">
        <v>27</v>
      </c>
      <c r="D584" s="6" t="s">
        <v>58</v>
      </c>
      <c r="E584" s="25">
        <f>'Inventory master'!G584*2*7.5</f>
        <v>1200</v>
      </c>
    </row>
    <row r="585" spans="1:5" x14ac:dyDescent="0.25">
      <c r="A585" s="24" t="s">
        <v>1927</v>
      </c>
      <c r="B585" s="6" t="s">
        <v>255</v>
      </c>
      <c r="C585" s="6" t="s">
        <v>164</v>
      </c>
      <c r="D585" s="6" t="s">
        <v>9</v>
      </c>
      <c r="E585" s="25">
        <f>'Inventory master'!G585*2*7.5</f>
        <v>945</v>
      </c>
    </row>
    <row r="586" spans="1:5" x14ac:dyDescent="0.25">
      <c r="A586" s="24" t="s">
        <v>1928</v>
      </c>
      <c r="B586" s="6" t="s">
        <v>35</v>
      </c>
      <c r="C586" s="6" t="s">
        <v>13</v>
      </c>
      <c r="D586" s="6" t="s">
        <v>91</v>
      </c>
      <c r="E586" s="25">
        <f>'Inventory master'!G586*2*7.5</f>
        <v>840</v>
      </c>
    </row>
    <row r="587" spans="1:5" x14ac:dyDescent="0.25">
      <c r="A587" s="24" t="s">
        <v>1929</v>
      </c>
      <c r="B587" s="6" t="s">
        <v>41</v>
      </c>
      <c r="C587" s="6" t="s">
        <v>42</v>
      </c>
      <c r="D587" s="6" t="s">
        <v>14</v>
      </c>
      <c r="E587" s="25">
        <f>'Inventory master'!G587*2*7.5</f>
        <v>900</v>
      </c>
    </row>
    <row r="588" spans="1:5" x14ac:dyDescent="0.25">
      <c r="A588" s="24" t="s">
        <v>1930</v>
      </c>
      <c r="B588" s="6" t="s">
        <v>57</v>
      </c>
      <c r="C588" s="6" t="s">
        <v>42</v>
      </c>
      <c r="D588" s="6" t="s">
        <v>19</v>
      </c>
      <c r="E588" s="25">
        <f>'Inventory master'!G588*2*7.5</f>
        <v>1200</v>
      </c>
    </row>
    <row r="589" spans="1:5" x14ac:dyDescent="0.25">
      <c r="A589" s="24" t="s">
        <v>1931</v>
      </c>
      <c r="B589" s="6" t="s">
        <v>468</v>
      </c>
      <c r="C589" s="6" t="s">
        <v>32</v>
      </c>
      <c r="D589" s="6" t="s">
        <v>91</v>
      </c>
      <c r="E589" s="25">
        <f>'Inventory master'!G589*2*7.5</f>
        <v>1350</v>
      </c>
    </row>
    <row r="590" spans="1:5" x14ac:dyDescent="0.25">
      <c r="A590" s="24" t="s">
        <v>1932</v>
      </c>
      <c r="B590" s="6" t="s">
        <v>12</v>
      </c>
      <c r="C590" s="6" t="s">
        <v>13</v>
      </c>
      <c r="D590" s="6" t="s">
        <v>9</v>
      </c>
      <c r="E590" s="25">
        <f>'Inventory master'!G590*2*7.5</f>
        <v>1500</v>
      </c>
    </row>
    <row r="591" spans="1:5" x14ac:dyDescent="0.25">
      <c r="A591" s="24" t="s">
        <v>1933</v>
      </c>
      <c r="B591" s="6" t="s">
        <v>214</v>
      </c>
      <c r="C591" s="6" t="s">
        <v>164</v>
      </c>
      <c r="D591" s="6" t="s">
        <v>53</v>
      </c>
      <c r="E591" s="25">
        <f>'Inventory master'!G591*2*7.5</f>
        <v>1350</v>
      </c>
    </row>
    <row r="592" spans="1:5" x14ac:dyDescent="0.25">
      <c r="A592" s="24" t="s">
        <v>1934</v>
      </c>
      <c r="B592" s="6" t="s">
        <v>349</v>
      </c>
      <c r="C592" s="6" t="s">
        <v>179</v>
      </c>
      <c r="D592" s="6" t="s">
        <v>36</v>
      </c>
      <c r="E592" s="25">
        <f>'Inventory master'!G592*2*7.5</f>
        <v>990</v>
      </c>
    </row>
    <row r="593" spans="1:5" x14ac:dyDescent="0.25">
      <c r="A593" s="24" t="s">
        <v>1935</v>
      </c>
      <c r="B593" s="6" t="s">
        <v>22</v>
      </c>
      <c r="C593" s="6" t="s">
        <v>8</v>
      </c>
      <c r="D593" s="6" t="s">
        <v>91</v>
      </c>
      <c r="E593" s="25">
        <f>'Inventory master'!G593*2*7.5</f>
        <v>1185</v>
      </c>
    </row>
    <row r="594" spans="1:5" x14ac:dyDescent="0.25">
      <c r="A594" s="24" t="s">
        <v>1936</v>
      </c>
      <c r="B594" s="6" t="s">
        <v>385</v>
      </c>
      <c r="C594" s="6" t="s">
        <v>32</v>
      </c>
      <c r="D594" s="6" t="s">
        <v>19</v>
      </c>
      <c r="E594" s="25">
        <f>'Inventory master'!G594*2*7.5</f>
        <v>1380</v>
      </c>
    </row>
    <row r="595" spans="1:5" x14ac:dyDescent="0.25">
      <c r="A595" s="24" t="s">
        <v>1937</v>
      </c>
      <c r="B595" s="6" t="s">
        <v>12</v>
      </c>
      <c r="C595" s="6" t="s">
        <v>13</v>
      </c>
      <c r="D595" s="6" t="s">
        <v>9</v>
      </c>
      <c r="E595" s="25">
        <f>'Inventory master'!G595*2*7.5</f>
        <v>1005</v>
      </c>
    </row>
    <row r="596" spans="1:5" x14ac:dyDescent="0.25">
      <c r="A596" s="24" t="s">
        <v>1938</v>
      </c>
      <c r="B596" s="6" t="s">
        <v>1231</v>
      </c>
      <c r="C596" s="6" t="s">
        <v>18</v>
      </c>
      <c r="D596" s="6" t="s">
        <v>28</v>
      </c>
      <c r="E596" s="25">
        <f>'Inventory master'!G596*2*7.5</f>
        <v>1365</v>
      </c>
    </row>
    <row r="597" spans="1:5" x14ac:dyDescent="0.25">
      <c r="A597" s="24" t="s">
        <v>1939</v>
      </c>
      <c r="B597" s="6" t="s">
        <v>349</v>
      </c>
      <c r="C597" s="6" t="s">
        <v>179</v>
      </c>
      <c r="D597" s="6" t="s">
        <v>91</v>
      </c>
      <c r="E597" s="25">
        <f>'Inventory master'!G597*2*7.5</f>
        <v>975</v>
      </c>
    </row>
    <row r="598" spans="1:5" x14ac:dyDescent="0.25">
      <c r="A598" s="24" t="s">
        <v>1940</v>
      </c>
      <c r="B598" s="6" t="s">
        <v>576</v>
      </c>
      <c r="C598" s="6" t="s">
        <v>63</v>
      </c>
      <c r="D598" s="6" t="s">
        <v>19</v>
      </c>
      <c r="E598" s="25">
        <f>'Inventory master'!G598*2*7.5</f>
        <v>405</v>
      </c>
    </row>
    <row r="599" spans="1:5" x14ac:dyDescent="0.25">
      <c r="A599" s="24" t="s">
        <v>1941</v>
      </c>
      <c r="B599" s="6" t="s">
        <v>157</v>
      </c>
      <c r="C599" s="6" t="s">
        <v>27</v>
      </c>
      <c r="D599" s="6" t="s">
        <v>53</v>
      </c>
      <c r="E599" s="25">
        <f>'Inventory master'!G599*2*7.5</f>
        <v>1395</v>
      </c>
    </row>
    <row r="600" spans="1:5" x14ac:dyDescent="0.25">
      <c r="A600" s="24" t="s">
        <v>1942</v>
      </c>
      <c r="B600" s="6" t="s">
        <v>563</v>
      </c>
      <c r="C600" s="6" t="s">
        <v>52</v>
      </c>
      <c r="D600" s="6" t="s">
        <v>53</v>
      </c>
      <c r="E600" s="25">
        <f>'Inventory master'!G600*2*7.5</f>
        <v>1305</v>
      </c>
    </row>
    <row r="601" spans="1:5" x14ac:dyDescent="0.25">
      <c r="A601" s="26" t="s">
        <v>1943</v>
      </c>
      <c r="B601" s="15" t="s">
        <v>157</v>
      </c>
      <c r="C601" s="15" t="s">
        <v>27</v>
      </c>
      <c r="D601" s="15" t="s">
        <v>19</v>
      </c>
      <c r="E601" s="27">
        <f>'Inventory master'!G601*2*7.5</f>
        <v>795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DBAEA-3A57-403A-925D-66A3A23769B5}">
  <dimension ref="A1:D605"/>
  <sheetViews>
    <sheetView workbookViewId="0">
      <pane xSplit="1" ySplit="1" topLeftCell="B2" activePane="bottomRight" state="frozen"/>
      <selection pane="topRight" activeCell="B1" sqref="B1"/>
      <selection pane="bottomLeft" activeCell="A2" sqref="A2"/>
      <selection pane="bottomRight" activeCell="G8" sqref="G8"/>
    </sheetView>
  </sheetViews>
  <sheetFormatPr defaultRowHeight="10.5" x14ac:dyDescent="0.25"/>
  <cols>
    <col min="1" max="3" width="8.7265625" style="5"/>
    <col min="4" max="4" width="9.08984375" style="4" customWidth="1"/>
    <col min="5" max="16384" width="8.7265625" style="5"/>
  </cols>
  <sheetData>
    <row r="1" spans="1:4" s="2" customFormat="1" x14ac:dyDescent="0.25">
      <c r="A1" s="32" t="s">
        <v>1944</v>
      </c>
      <c r="B1" s="33" t="s">
        <v>1945</v>
      </c>
      <c r="C1" s="33" t="s">
        <v>0</v>
      </c>
      <c r="D1" s="34" t="s">
        <v>3164</v>
      </c>
    </row>
    <row r="2" spans="1:4" x14ac:dyDescent="0.25">
      <c r="A2" s="24" t="s">
        <v>1946</v>
      </c>
      <c r="B2" s="9">
        <v>45946</v>
      </c>
      <c r="C2" s="6" t="s">
        <v>1458</v>
      </c>
      <c r="D2" s="13">
        <v>100</v>
      </c>
    </row>
    <row r="3" spans="1:4" x14ac:dyDescent="0.25">
      <c r="A3" s="24" t="s">
        <v>1947</v>
      </c>
      <c r="B3" s="9">
        <v>45542</v>
      </c>
      <c r="C3" s="6" t="s">
        <v>1572</v>
      </c>
      <c r="D3" s="13">
        <v>4</v>
      </c>
    </row>
    <row r="4" spans="1:4" x14ac:dyDescent="0.25">
      <c r="A4" s="24" t="s">
        <v>1948</v>
      </c>
      <c r="B4" s="9">
        <v>45984</v>
      </c>
      <c r="C4" s="6" t="s">
        <v>1902</v>
      </c>
      <c r="D4" s="13">
        <v>14</v>
      </c>
    </row>
    <row r="5" spans="1:4" x14ac:dyDescent="0.25">
      <c r="A5" s="24" t="s">
        <v>1949</v>
      </c>
      <c r="B5" s="9">
        <v>45324</v>
      </c>
      <c r="C5" s="6" t="s">
        <v>1374</v>
      </c>
      <c r="D5" s="13">
        <v>8</v>
      </c>
    </row>
    <row r="6" spans="1:4" x14ac:dyDescent="0.25">
      <c r="A6" s="24" t="s">
        <v>1950</v>
      </c>
      <c r="B6" s="9">
        <v>45809</v>
      </c>
      <c r="C6" s="6" t="s">
        <v>1371</v>
      </c>
      <c r="D6" s="13">
        <v>18</v>
      </c>
    </row>
    <row r="7" spans="1:4" x14ac:dyDescent="0.25">
      <c r="A7" s="24" t="s">
        <v>1951</v>
      </c>
      <c r="B7" s="9">
        <v>45721</v>
      </c>
      <c r="C7" s="6" t="s">
        <v>1569</v>
      </c>
      <c r="D7" s="13">
        <v>9</v>
      </c>
    </row>
    <row r="8" spans="1:4" x14ac:dyDescent="0.25">
      <c r="A8" s="24" t="s">
        <v>1952</v>
      </c>
      <c r="B8" s="9">
        <v>45298</v>
      </c>
      <c r="C8" s="6" t="s">
        <v>1507</v>
      </c>
      <c r="D8" s="13">
        <v>11</v>
      </c>
    </row>
    <row r="9" spans="1:4" x14ac:dyDescent="0.25">
      <c r="A9" s="24" t="s">
        <v>1953</v>
      </c>
      <c r="B9" s="9">
        <v>45576</v>
      </c>
      <c r="C9" s="6" t="s">
        <v>1503</v>
      </c>
      <c r="D9" s="13">
        <v>50</v>
      </c>
    </row>
    <row r="10" spans="1:4" x14ac:dyDescent="0.25">
      <c r="A10" s="24" t="s">
        <v>1954</v>
      </c>
      <c r="B10" s="9">
        <v>45396</v>
      </c>
      <c r="C10" s="6" t="s">
        <v>1438</v>
      </c>
      <c r="D10" s="13">
        <v>12</v>
      </c>
    </row>
    <row r="11" spans="1:4" x14ac:dyDescent="0.25">
      <c r="A11" s="24" t="s">
        <v>1955</v>
      </c>
      <c r="B11" s="9">
        <v>45644</v>
      </c>
      <c r="C11" s="6" t="s">
        <v>1614</v>
      </c>
      <c r="D11" s="13">
        <v>38</v>
      </c>
    </row>
    <row r="12" spans="1:4" x14ac:dyDescent="0.25">
      <c r="A12" s="24" t="s">
        <v>1956</v>
      </c>
      <c r="B12" s="9">
        <v>45891</v>
      </c>
      <c r="C12" s="6" t="s">
        <v>1685</v>
      </c>
      <c r="D12" s="13">
        <v>7</v>
      </c>
    </row>
    <row r="13" spans="1:4" x14ac:dyDescent="0.25">
      <c r="A13" s="24" t="s">
        <v>1957</v>
      </c>
      <c r="B13" s="9">
        <v>45891</v>
      </c>
      <c r="C13" s="6" t="s">
        <v>1344</v>
      </c>
      <c r="D13" s="13">
        <v>100</v>
      </c>
    </row>
    <row r="14" spans="1:4" x14ac:dyDescent="0.25">
      <c r="A14" s="24" t="s">
        <v>1958</v>
      </c>
      <c r="B14" s="9">
        <v>45707</v>
      </c>
      <c r="C14" s="6" t="s">
        <v>1821</v>
      </c>
      <c r="D14" s="13">
        <v>15</v>
      </c>
    </row>
    <row r="15" spans="1:4" x14ac:dyDescent="0.25">
      <c r="A15" s="24" t="s">
        <v>1959</v>
      </c>
      <c r="B15" s="9">
        <v>45503</v>
      </c>
      <c r="C15" s="6" t="s">
        <v>1546</v>
      </c>
      <c r="D15" s="13">
        <v>6</v>
      </c>
    </row>
    <row r="16" spans="1:4" x14ac:dyDescent="0.25">
      <c r="A16" s="24" t="s">
        <v>1960</v>
      </c>
      <c r="B16" s="9">
        <v>45759</v>
      </c>
      <c r="C16" s="6" t="s">
        <v>1932</v>
      </c>
      <c r="D16" s="13">
        <v>3</v>
      </c>
    </row>
    <row r="17" spans="1:4" x14ac:dyDescent="0.25">
      <c r="A17" s="24" t="s">
        <v>1961</v>
      </c>
      <c r="B17" s="9">
        <v>45601</v>
      </c>
      <c r="C17" s="6" t="s">
        <v>1420</v>
      </c>
      <c r="D17" s="13">
        <v>10</v>
      </c>
    </row>
    <row r="18" spans="1:4" x14ac:dyDescent="0.25">
      <c r="A18" s="24" t="s">
        <v>1962</v>
      </c>
      <c r="B18" s="9">
        <v>45685</v>
      </c>
      <c r="C18" s="6" t="s">
        <v>1759</v>
      </c>
      <c r="D18" s="13">
        <v>5</v>
      </c>
    </row>
    <row r="19" spans="1:4" x14ac:dyDescent="0.25">
      <c r="A19" s="24" t="s">
        <v>1963</v>
      </c>
      <c r="B19" s="9">
        <v>45370</v>
      </c>
      <c r="C19" s="6" t="s">
        <v>1477</v>
      </c>
      <c r="D19" s="13">
        <v>13</v>
      </c>
    </row>
    <row r="20" spans="1:4" x14ac:dyDescent="0.25">
      <c r="A20" s="24" t="s">
        <v>1964</v>
      </c>
      <c r="B20" s="9">
        <v>45914</v>
      </c>
      <c r="C20" s="6" t="s">
        <v>1864</v>
      </c>
      <c r="D20" s="13">
        <v>4</v>
      </c>
    </row>
    <row r="21" spans="1:4" x14ac:dyDescent="0.25">
      <c r="A21" s="24" t="s">
        <v>1965</v>
      </c>
      <c r="B21" s="9">
        <v>45468</v>
      </c>
      <c r="C21" s="6" t="s">
        <v>1631</v>
      </c>
      <c r="D21" s="13">
        <v>9</v>
      </c>
    </row>
    <row r="22" spans="1:4" x14ac:dyDescent="0.25">
      <c r="A22" s="24" t="s">
        <v>1966</v>
      </c>
      <c r="B22" s="9">
        <v>45846</v>
      </c>
      <c r="C22" s="6" t="s">
        <v>1405</v>
      </c>
      <c r="D22" s="13">
        <v>2</v>
      </c>
    </row>
    <row r="23" spans="1:4" x14ac:dyDescent="0.25">
      <c r="A23" s="24" t="s">
        <v>1967</v>
      </c>
      <c r="B23" s="9">
        <v>45535</v>
      </c>
      <c r="C23" s="6" t="s">
        <v>1740</v>
      </c>
      <c r="D23" s="13">
        <v>17</v>
      </c>
    </row>
    <row r="24" spans="1:4" x14ac:dyDescent="0.25">
      <c r="A24" s="24" t="s">
        <v>1968</v>
      </c>
      <c r="B24" s="9">
        <v>45994</v>
      </c>
      <c r="C24" s="6" t="s">
        <v>1892</v>
      </c>
      <c r="D24" s="13">
        <v>8</v>
      </c>
    </row>
    <row r="25" spans="1:4" x14ac:dyDescent="0.25">
      <c r="A25" s="24" t="s">
        <v>1969</v>
      </c>
      <c r="B25" s="9">
        <v>45428</v>
      </c>
      <c r="C25" s="6" t="s">
        <v>1455</v>
      </c>
      <c r="D25" s="13">
        <v>11</v>
      </c>
    </row>
    <row r="26" spans="1:4" x14ac:dyDescent="0.25">
      <c r="A26" s="24" t="s">
        <v>1970</v>
      </c>
      <c r="B26" s="9">
        <v>45743</v>
      </c>
      <c r="C26" s="6" t="s">
        <v>1647</v>
      </c>
      <c r="D26" s="13">
        <v>20</v>
      </c>
    </row>
    <row r="27" spans="1:4" x14ac:dyDescent="0.25">
      <c r="A27" s="24" t="s">
        <v>1971</v>
      </c>
      <c r="B27" s="9">
        <v>45574</v>
      </c>
      <c r="C27" s="6" t="s">
        <v>1529</v>
      </c>
      <c r="D27" s="13">
        <v>1</v>
      </c>
    </row>
    <row r="28" spans="1:4" x14ac:dyDescent="0.25">
      <c r="A28" s="24" t="s">
        <v>1972</v>
      </c>
      <c r="B28" s="9">
        <v>45797</v>
      </c>
      <c r="C28" s="6" t="s">
        <v>1816</v>
      </c>
      <c r="D28" s="13">
        <v>14</v>
      </c>
    </row>
    <row r="29" spans="1:4" x14ac:dyDescent="0.25">
      <c r="A29" s="24" t="s">
        <v>1973</v>
      </c>
      <c r="B29" s="9">
        <v>45333</v>
      </c>
      <c r="C29" s="6" t="s">
        <v>1368</v>
      </c>
      <c r="D29" s="13">
        <v>20</v>
      </c>
    </row>
    <row r="30" spans="1:4" x14ac:dyDescent="0.25">
      <c r="A30" s="24" t="s">
        <v>1974</v>
      </c>
      <c r="B30" s="9">
        <v>45962</v>
      </c>
      <c r="C30" s="6" t="s">
        <v>1701</v>
      </c>
      <c r="D30" s="13">
        <v>12</v>
      </c>
    </row>
    <row r="31" spans="1:4" x14ac:dyDescent="0.25">
      <c r="A31" s="24" t="s">
        <v>1975</v>
      </c>
      <c r="B31" s="9">
        <v>45558</v>
      </c>
      <c r="C31" s="6" t="s">
        <v>1834</v>
      </c>
      <c r="D31" s="13">
        <v>5</v>
      </c>
    </row>
    <row r="32" spans="1:4" x14ac:dyDescent="0.25">
      <c r="A32" s="24" t="s">
        <v>1976</v>
      </c>
      <c r="B32" s="9">
        <v>45825</v>
      </c>
      <c r="C32" s="6" t="s">
        <v>1483</v>
      </c>
      <c r="D32" s="13">
        <v>9</v>
      </c>
    </row>
    <row r="33" spans="1:4" x14ac:dyDescent="0.25">
      <c r="A33" s="24" t="s">
        <v>1977</v>
      </c>
      <c r="B33" s="9">
        <v>45630</v>
      </c>
      <c r="C33" s="6" t="s">
        <v>1560</v>
      </c>
      <c r="D33" s="13">
        <v>3</v>
      </c>
    </row>
    <row r="34" spans="1:4" x14ac:dyDescent="0.25">
      <c r="A34" s="24" t="s">
        <v>1978</v>
      </c>
      <c r="B34" s="9">
        <v>45702</v>
      </c>
      <c r="C34" s="6" t="s">
        <v>1919</v>
      </c>
      <c r="D34" s="13">
        <v>16</v>
      </c>
    </row>
    <row r="35" spans="1:4" x14ac:dyDescent="0.25">
      <c r="A35" s="24" t="s">
        <v>1979</v>
      </c>
      <c r="B35" s="9">
        <v>45390</v>
      </c>
      <c r="C35" s="6" t="s">
        <v>1432</v>
      </c>
      <c r="D35" s="13">
        <v>7</v>
      </c>
    </row>
    <row r="36" spans="1:4" x14ac:dyDescent="0.25">
      <c r="A36" s="24" t="s">
        <v>1980</v>
      </c>
      <c r="B36" s="9">
        <v>45874</v>
      </c>
      <c r="C36" s="6" t="s">
        <v>1775</v>
      </c>
      <c r="D36" s="13">
        <v>11</v>
      </c>
    </row>
    <row r="37" spans="1:4" x14ac:dyDescent="0.25">
      <c r="A37" s="24" t="s">
        <v>1981</v>
      </c>
      <c r="B37" s="9">
        <v>45492</v>
      </c>
      <c r="C37" s="6" t="s">
        <v>1608</v>
      </c>
      <c r="D37" s="13">
        <v>4</v>
      </c>
    </row>
    <row r="38" spans="1:4" x14ac:dyDescent="0.25">
      <c r="A38" s="24" t="s">
        <v>1982</v>
      </c>
      <c r="B38" s="9">
        <v>45960</v>
      </c>
      <c r="C38" s="6" t="s">
        <v>1941</v>
      </c>
      <c r="D38" s="13">
        <v>8</v>
      </c>
    </row>
    <row r="39" spans="1:4" x14ac:dyDescent="0.25">
      <c r="A39" s="24" t="s">
        <v>1983</v>
      </c>
      <c r="B39" s="9">
        <v>45377</v>
      </c>
      <c r="C39" s="6" t="s">
        <v>1395</v>
      </c>
      <c r="D39" s="13">
        <v>13</v>
      </c>
    </row>
    <row r="40" spans="1:4" x14ac:dyDescent="0.25">
      <c r="A40" s="24" t="s">
        <v>1984</v>
      </c>
      <c r="B40" s="9">
        <v>45672</v>
      </c>
      <c r="C40" s="6" t="s">
        <v>1662</v>
      </c>
      <c r="D40" s="13">
        <v>2</v>
      </c>
    </row>
    <row r="41" spans="1:4" x14ac:dyDescent="0.25">
      <c r="A41" s="24" t="s">
        <v>1985</v>
      </c>
      <c r="B41" s="9">
        <v>45624</v>
      </c>
      <c r="C41" s="6" t="s">
        <v>1790</v>
      </c>
      <c r="D41" s="13">
        <v>10</v>
      </c>
    </row>
    <row r="42" spans="1:4" x14ac:dyDescent="0.25">
      <c r="A42" s="24" t="s">
        <v>1986</v>
      </c>
      <c r="B42" s="9">
        <v>45750</v>
      </c>
      <c r="C42" s="6" t="s">
        <v>1517</v>
      </c>
      <c r="D42" s="13">
        <v>15</v>
      </c>
    </row>
    <row r="43" spans="1:4" x14ac:dyDescent="0.25">
      <c r="A43" s="24" t="s">
        <v>1987</v>
      </c>
      <c r="B43" s="9">
        <v>45455</v>
      </c>
      <c r="C43" s="6" t="s">
        <v>1724</v>
      </c>
      <c r="D43" s="13">
        <v>6</v>
      </c>
    </row>
    <row r="44" spans="1:4" x14ac:dyDescent="0.25">
      <c r="A44" s="24" t="s">
        <v>1988</v>
      </c>
      <c r="B44" s="9">
        <v>45909</v>
      </c>
      <c r="C44" s="6" t="s">
        <v>1849</v>
      </c>
      <c r="D44" s="13">
        <v>9</v>
      </c>
    </row>
    <row r="45" spans="1:4" x14ac:dyDescent="0.25">
      <c r="A45" s="24" t="s">
        <v>1989</v>
      </c>
      <c r="B45" s="9">
        <v>45521</v>
      </c>
      <c r="C45" s="6" t="s">
        <v>1576</v>
      </c>
      <c r="D45" s="13">
        <v>5</v>
      </c>
    </row>
    <row r="46" spans="1:4" x14ac:dyDescent="0.25">
      <c r="A46" s="24" t="s">
        <v>1990</v>
      </c>
      <c r="B46" s="9">
        <v>45862</v>
      </c>
      <c r="C46" s="6" t="s">
        <v>1410</v>
      </c>
      <c r="D46" s="13">
        <v>12</v>
      </c>
    </row>
    <row r="47" spans="1:4" x14ac:dyDescent="0.25">
      <c r="A47" s="24" t="s">
        <v>1991</v>
      </c>
      <c r="B47" s="9">
        <v>45320</v>
      </c>
      <c r="C47" s="6" t="s">
        <v>1935</v>
      </c>
      <c r="D47" s="13">
        <v>1</v>
      </c>
    </row>
    <row r="48" spans="1:4" x14ac:dyDescent="0.25">
      <c r="A48" s="24" t="s">
        <v>1992</v>
      </c>
      <c r="B48" s="9">
        <v>45734</v>
      </c>
      <c r="C48" s="6" t="s">
        <v>1488</v>
      </c>
      <c r="D48" s="13">
        <v>18</v>
      </c>
    </row>
    <row r="49" spans="1:4" x14ac:dyDescent="0.25">
      <c r="A49" s="24" t="s">
        <v>1993</v>
      </c>
      <c r="B49" s="9">
        <v>45587</v>
      </c>
      <c r="C49" s="6" t="s">
        <v>1753</v>
      </c>
      <c r="D49" s="13">
        <v>7</v>
      </c>
    </row>
    <row r="50" spans="1:4" x14ac:dyDescent="0.25">
      <c r="A50" s="24" t="s">
        <v>1994</v>
      </c>
      <c r="B50" s="9">
        <v>46002</v>
      </c>
      <c r="C50" s="6" t="s">
        <v>1621</v>
      </c>
      <c r="D50" s="13">
        <v>14</v>
      </c>
    </row>
    <row r="51" spans="1:4" x14ac:dyDescent="0.25">
      <c r="A51" s="24" t="s">
        <v>1995</v>
      </c>
      <c r="B51" s="9">
        <v>45419</v>
      </c>
      <c r="C51" s="6" t="s">
        <v>1436</v>
      </c>
      <c r="D51" s="13">
        <v>3</v>
      </c>
    </row>
    <row r="52" spans="1:4" x14ac:dyDescent="0.25">
      <c r="A52" s="24" t="s">
        <v>1996</v>
      </c>
      <c r="B52" s="9">
        <v>45693</v>
      </c>
      <c r="C52" s="6" t="s">
        <v>1877</v>
      </c>
      <c r="D52" s="13">
        <v>11</v>
      </c>
    </row>
    <row r="53" spans="1:4" x14ac:dyDescent="0.25">
      <c r="A53" s="24" t="s">
        <v>1997</v>
      </c>
      <c r="B53" s="9">
        <v>45537</v>
      </c>
      <c r="C53" s="6" t="s">
        <v>1704</v>
      </c>
      <c r="D53" s="13">
        <v>8</v>
      </c>
    </row>
    <row r="54" spans="1:4" x14ac:dyDescent="0.25">
      <c r="A54" s="24" t="s">
        <v>1998</v>
      </c>
      <c r="B54" s="9">
        <v>45837</v>
      </c>
      <c r="C54" s="6" t="s">
        <v>1541</v>
      </c>
      <c r="D54" s="13">
        <v>4</v>
      </c>
    </row>
    <row r="55" spans="1:4" x14ac:dyDescent="0.25">
      <c r="A55" s="24" t="s">
        <v>1999</v>
      </c>
      <c r="B55" s="9">
        <v>45646</v>
      </c>
      <c r="C55" s="6" t="s">
        <v>1815</v>
      </c>
      <c r="D55" s="13">
        <v>16</v>
      </c>
    </row>
    <row r="56" spans="1:4" x14ac:dyDescent="0.25">
      <c r="A56" s="24" t="s">
        <v>2000</v>
      </c>
      <c r="B56" s="9">
        <v>45768</v>
      </c>
      <c r="C56" s="6" t="s">
        <v>1462</v>
      </c>
      <c r="D56" s="13">
        <v>9</v>
      </c>
    </row>
    <row r="57" spans="1:4" x14ac:dyDescent="0.25">
      <c r="A57" s="24" t="s">
        <v>2001</v>
      </c>
      <c r="B57" s="9">
        <v>45365</v>
      </c>
      <c r="C57" s="6" t="s">
        <v>1628</v>
      </c>
      <c r="D57" s="13">
        <v>2</v>
      </c>
    </row>
    <row r="58" spans="1:4" x14ac:dyDescent="0.25">
      <c r="A58" s="24" t="s">
        <v>2002</v>
      </c>
      <c r="B58" s="9">
        <v>45977</v>
      </c>
      <c r="C58" s="6" t="s">
        <v>1893</v>
      </c>
      <c r="D58" s="13">
        <v>13</v>
      </c>
    </row>
    <row r="59" spans="1:4" x14ac:dyDescent="0.25">
      <c r="A59" s="24" t="s">
        <v>2003</v>
      </c>
      <c r="B59" s="9">
        <v>45476</v>
      </c>
      <c r="C59" s="6" t="s">
        <v>1389</v>
      </c>
      <c r="D59" s="13">
        <v>5</v>
      </c>
    </row>
    <row r="60" spans="1:4" x14ac:dyDescent="0.25">
      <c r="A60" s="24" t="s">
        <v>2005</v>
      </c>
      <c r="B60" s="9">
        <v>45897</v>
      </c>
      <c r="C60" s="6" t="s">
        <v>2004</v>
      </c>
      <c r="D60" s="13">
        <v>10</v>
      </c>
    </row>
    <row r="61" spans="1:4" x14ac:dyDescent="0.25">
      <c r="A61" s="24" t="s">
        <v>2006</v>
      </c>
      <c r="B61" s="9">
        <v>45346</v>
      </c>
      <c r="C61" s="6" t="s">
        <v>1650</v>
      </c>
      <c r="D61" s="13">
        <v>7</v>
      </c>
    </row>
    <row r="62" spans="1:4" x14ac:dyDescent="0.25">
      <c r="A62" s="24" t="s">
        <v>2007</v>
      </c>
      <c r="B62" s="9">
        <v>45666</v>
      </c>
      <c r="C62" s="6" t="s">
        <v>1507</v>
      </c>
      <c r="D62" s="13">
        <v>12</v>
      </c>
    </row>
    <row r="63" spans="1:4" x14ac:dyDescent="0.25">
      <c r="A63" s="24" t="s">
        <v>2008</v>
      </c>
      <c r="B63" s="9">
        <v>45580</v>
      </c>
      <c r="C63" s="6" t="s">
        <v>1772</v>
      </c>
      <c r="D63" s="13">
        <v>6</v>
      </c>
    </row>
    <row r="64" spans="1:4" x14ac:dyDescent="0.25">
      <c r="A64" s="24" t="s">
        <v>2009</v>
      </c>
      <c r="B64" s="9">
        <v>45781</v>
      </c>
      <c r="C64" s="6" t="s">
        <v>1919</v>
      </c>
      <c r="D64" s="13">
        <v>15</v>
      </c>
    </row>
    <row r="65" spans="1:4" x14ac:dyDescent="0.25">
      <c r="A65" s="24" t="s">
        <v>2010</v>
      </c>
      <c r="B65" s="9">
        <v>45473</v>
      </c>
      <c r="C65" s="6" t="s">
        <v>1425</v>
      </c>
      <c r="D65" s="13">
        <v>3</v>
      </c>
    </row>
    <row r="66" spans="1:4" x14ac:dyDescent="0.25">
      <c r="A66" s="24" t="s">
        <v>2011</v>
      </c>
      <c r="B66" s="9">
        <v>45919</v>
      </c>
      <c r="C66" s="6" t="s">
        <v>1855</v>
      </c>
      <c r="D66" s="13">
        <v>9</v>
      </c>
    </row>
    <row r="67" spans="1:4" x14ac:dyDescent="0.25">
      <c r="A67" s="24" t="s">
        <v>2012</v>
      </c>
      <c r="B67" s="9">
        <v>45603</v>
      </c>
      <c r="C67" s="6" t="s">
        <v>1584</v>
      </c>
      <c r="D67" s="13">
        <v>4</v>
      </c>
    </row>
    <row r="68" spans="1:4" x14ac:dyDescent="0.25">
      <c r="A68" s="24" t="s">
        <v>2013</v>
      </c>
      <c r="B68" s="9">
        <v>45718</v>
      </c>
      <c r="C68" s="6" t="s">
        <v>1711</v>
      </c>
      <c r="D68" s="13">
        <v>11</v>
      </c>
    </row>
    <row r="69" spans="1:4" x14ac:dyDescent="0.25">
      <c r="A69" s="24" t="s">
        <v>2014</v>
      </c>
      <c r="B69" s="9">
        <v>45508</v>
      </c>
      <c r="C69" s="6" t="s">
        <v>1538</v>
      </c>
      <c r="D69" s="13">
        <v>8</v>
      </c>
    </row>
    <row r="70" spans="1:4" x14ac:dyDescent="0.25">
      <c r="A70" s="24" t="s">
        <v>2015</v>
      </c>
      <c r="B70" s="9">
        <v>45849</v>
      </c>
      <c r="C70" s="6" t="s">
        <v>1877</v>
      </c>
      <c r="D70" s="13">
        <v>1</v>
      </c>
    </row>
    <row r="71" spans="1:4" x14ac:dyDescent="0.25">
      <c r="A71" s="24" t="s">
        <v>2016</v>
      </c>
      <c r="B71" s="9">
        <v>45409</v>
      </c>
      <c r="C71" s="6" t="s">
        <v>1416</v>
      </c>
      <c r="D71" s="13">
        <v>14</v>
      </c>
    </row>
    <row r="72" spans="1:4" x14ac:dyDescent="0.25">
      <c r="A72" s="24" t="s">
        <v>2017</v>
      </c>
      <c r="B72" s="9">
        <v>45954</v>
      </c>
      <c r="C72" s="6" t="s">
        <v>1789</v>
      </c>
      <c r="D72" s="13">
        <v>5</v>
      </c>
    </row>
    <row r="73" spans="1:4" x14ac:dyDescent="0.25">
      <c r="A73" s="24" t="s">
        <v>2018</v>
      </c>
      <c r="B73" s="9">
        <v>45309</v>
      </c>
      <c r="C73" s="6" t="s">
        <v>1632</v>
      </c>
      <c r="D73" s="13">
        <v>10</v>
      </c>
    </row>
    <row r="74" spans="1:4" x14ac:dyDescent="0.25">
      <c r="A74" s="24" t="s">
        <v>2020</v>
      </c>
      <c r="B74" s="9">
        <v>45708</v>
      </c>
      <c r="C74" s="6" t="s">
        <v>2019</v>
      </c>
      <c r="D74" s="13">
        <v>7</v>
      </c>
    </row>
    <row r="75" spans="1:4" x14ac:dyDescent="0.25">
      <c r="A75" s="24" t="s">
        <v>2021</v>
      </c>
      <c r="B75" s="9">
        <v>45563</v>
      </c>
      <c r="C75" s="6" t="s">
        <v>1500</v>
      </c>
      <c r="D75" s="13">
        <v>12</v>
      </c>
    </row>
    <row r="76" spans="1:4" x14ac:dyDescent="0.25">
      <c r="A76" s="24" t="s">
        <v>2022</v>
      </c>
      <c r="B76" s="9">
        <v>45821</v>
      </c>
      <c r="C76" s="6" t="s">
        <v>1765</v>
      </c>
      <c r="D76" s="13">
        <v>3</v>
      </c>
    </row>
    <row r="77" spans="1:4" x14ac:dyDescent="0.25">
      <c r="A77" s="24" t="s">
        <v>2023</v>
      </c>
      <c r="B77" s="9">
        <v>45651</v>
      </c>
      <c r="C77" s="6" t="s">
        <v>1861</v>
      </c>
      <c r="D77" s="13">
        <v>16</v>
      </c>
    </row>
    <row r="78" spans="1:4" x14ac:dyDescent="0.25">
      <c r="A78" s="24" t="s">
        <v>2024</v>
      </c>
      <c r="B78" s="9">
        <v>45763</v>
      </c>
      <c r="C78" s="6" t="s">
        <v>1447</v>
      </c>
      <c r="D78" s="13">
        <v>9</v>
      </c>
    </row>
    <row r="79" spans="1:4" x14ac:dyDescent="0.25">
      <c r="A79" s="24" t="s">
        <v>2025</v>
      </c>
      <c r="B79" s="9">
        <v>45495</v>
      </c>
      <c r="C79" s="6" t="s">
        <v>1719</v>
      </c>
      <c r="D79" s="13">
        <v>2</v>
      </c>
    </row>
    <row r="80" spans="1:4" x14ac:dyDescent="0.25">
      <c r="A80" s="24" t="s">
        <v>2026</v>
      </c>
      <c r="B80" s="9">
        <v>45990</v>
      </c>
      <c r="C80" s="6" t="s">
        <v>1936</v>
      </c>
      <c r="D80" s="13">
        <v>13</v>
      </c>
    </row>
    <row r="81" spans="1:4" x14ac:dyDescent="0.25">
      <c r="A81" s="24" t="s">
        <v>2027</v>
      </c>
      <c r="B81" s="9">
        <v>45360</v>
      </c>
      <c r="C81" s="6" t="s">
        <v>1381</v>
      </c>
      <c r="D81" s="13">
        <v>6</v>
      </c>
    </row>
    <row r="82" spans="1:4" x14ac:dyDescent="0.25">
      <c r="A82" s="24" t="s">
        <v>2028</v>
      </c>
      <c r="B82" s="9">
        <v>45885</v>
      </c>
      <c r="C82" s="6" t="s">
        <v>1808</v>
      </c>
      <c r="D82" s="13">
        <v>11</v>
      </c>
    </row>
    <row r="83" spans="1:4" x14ac:dyDescent="0.25">
      <c r="A83" s="24" t="s">
        <v>2029</v>
      </c>
      <c r="B83" s="9">
        <v>45443</v>
      </c>
      <c r="C83" s="6" t="s">
        <v>1555</v>
      </c>
      <c r="D83" s="13">
        <v>4</v>
      </c>
    </row>
    <row r="84" spans="1:4" x14ac:dyDescent="0.25">
      <c r="A84" s="24" t="s">
        <v>2030</v>
      </c>
      <c r="B84" s="9">
        <v>45661</v>
      </c>
      <c r="C84" s="6" t="s">
        <v>1692</v>
      </c>
      <c r="D84" s="13">
        <v>8</v>
      </c>
    </row>
    <row r="85" spans="1:4" x14ac:dyDescent="0.25">
      <c r="A85" s="24" t="s">
        <v>2031</v>
      </c>
      <c r="B85" s="9">
        <v>45566</v>
      </c>
      <c r="C85" s="6" t="s">
        <v>1830</v>
      </c>
      <c r="D85" s="13">
        <v>5</v>
      </c>
    </row>
    <row r="86" spans="1:4" x14ac:dyDescent="0.25">
      <c r="A86" s="24" t="s">
        <v>2032</v>
      </c>
      <c r="B86" s="9">
        <v>45739</v>
      </c>
      <c r="C86" s="6" t="s">
        <v>1469</v>
      </c>
      <c r="D86" s="13">
        <v>10</v>
      </c>
    </row>
    <row r="87" spans="1:4" x14ac:dyDescent="0.25">
      <c r="A87" s="24" t="s">
        <v>2033</v>
      </c>
      <c r="B87" s="9">
        <v>45461</v>
      </c>
      <c r="C87" s="6" t="s">
        <v>1637</v>
      </c>
      <c r="D87" s="13">
        <v>7</v>
      </c>
    </row>
    <row r="88" spans="1:4" x14ac:dyDescent="0.25">
      <c r="A88" s="24" t="s">
        <v>2034</v>
      </c>
      <c r="B88" s="9">
        <v>45906</v>
      </c>
      <c r="C88" s="6" t="s">
        <v>1914</v>
      </c>
      <c r="D88" s="13">
        <v>12</v>
      </c>
    </row>
    <row r="89" spans="1:4" x14ac:dyDescent="0.25">
      <c r="A89" s="24" t="s">
        <v>2035</v>
      </c>
      <c r="B89" s="9">
        <v>45329</v>
      </c>
      <c r="C89" s="6" t="s">
        <v>1402</v>
      </c>
      <c r="D89" s="13">
        <v>3</v>
      </c>
    </row>
    <row r="90" spans="1:4" x14ac:dyDescent="0.25">
      <c r="A90" s="24" t="s">
        <v>2036</v>
      </c>
      <c r="B90" s="9">
        <v>45868</v>
      </c>
      <c r="C90" s="6" t="s">
        <v>1751</v>
      </c>
      <c r="D90" s="13">
        <v>15</v>
      </c>
    </row>
    <row r="91" spans="1:4" x14ac:dyDescent="0.25">
      <c r="A91" s="24" t="s">
        <v>2037</v>
      </c>
      <c r="B91" s="9">
        <v>45609</v>
      </c>
      <c r="C91" s="6" t="s">
        <v>1523</v>
      </c>
      <c r="D91" s="13">
        <v>1</v>
      </c>
    </row>
    <row r="92" spans="1:4" x14ac:dyDescent="0.25">
      <c r="A92" s="24" t="s">
        <v>2038</v>
      </c>
      <c r="B92" s="9">
        <v>45802</v>
      </c>
      <c r="C92" s="6" t="s">
        <v>1876</v>
      </c>
      <c r="D92" s="13">
        <v>9</v>
      </c>
    </row>
    <row r="93" spans="1:4" x14ac:dyDescent="0.25">
      <c r="A93" s="24" t="s">
        <v>2039</v>
      </c>
      <c r="B93" s="9">
        <v>45524</v>
      </c>
      <c r="C93" s="6" t="s">
        <v>1608</v>
      </c>
      <c r="D93" s="13">
        <v>6</v>
      </c>
    </row>
    <row r="94" spans="1:4" x14ac:dyDescent="0.25">
      <c r="A94" s="24" t="s">
        <v>2040</v>
      </c>
      <c r="B94" s="9">
        <v>45999</v>
      </c>
      <c r="C94" s="6" t="s">
        <v>1740</v>
      </c>
      <c r="D94" s="13">
        <v>14</v>
      </c>
    </row>
    <row r="95" spans="1:4" x14ac:dyDescent="0.25">
      <c r="A95" s="24" t="s">
        <v>2041</v>
      </c>
      <c r="B95" s="9">
        <v>45384</v>
      </c>
      <c r="C95" s="6" t="s">
        <v>1455</v>
      </c>
      <c r="D95" s="13">
        <v>8</v>
      </c>
    </row>
    <row r="96" spans="1:4" x14ac:dyDescent="0.25">
      <c r="A96" s="24" t="s">
        <v>2043</v>
      </c>
      <c r="B96" s="9">
        <v>45716</v>
      </c>
      <c r="C96" s="6" t="s">
        <v>2042</v>
      </c>
      <c r="D96" s="13">
        <v>4</v>
      </c>
    </row>
    <row r="97" spans="1:4" x14ac:dyDescent="0.25">
      <c r="A97" s="24" t="s">
        <v>2044</v>
      </c>
      <c r="B97" s="9">
        <v>45550</v>
      </c>
      <c r="C97" s="6" t="s">
        <v>1684</v>
      </c>
      <c r="D97" s="13">
        <v>11</v>
      </c>
    </row>
    <row r="98" spans="1:4" x14ac:dyDescent="0.25">
      <c r="A98" s="24" t="s">
        <v>2045</v>
      </c>
      <c r="B98" s="9">
        <v>45815</v>
      </c>
      <c r="C98" s="6" t="s">
        <v>1821</v>
      </c>
      <c r="D98" s="13">
        <v>2</v>
      </c>
    </row>
    <row r="99" spans="1:4" x14ac:dyDescent="0.25">
      <c r="A99" s="24" t="s">
        <v>2046</v>
      </c>
      <c r="B99" s="9">
        <v>45656</v>
      </c>
      <c r="C99" s="6" t="s">
        <v>1548</v>
      </c>
      <c r="D99" s="13">
        <v>13</v>
      </c>
    </row>
    <row r="100" spans="1:4" x14ac:dyDescent="0.25">
      <c r="A100" s="24" t="s">
        <v>2047</v>
      </c>
      <c r="B100" s="9">
        <v>45746</v>
      </c>
      <c r="C100" s="6" t="s">
        <v>1905</v>
      </c>
      <c r="D100" s="13">
        <v>5</v>
      </c>
    </row>
    <row r="101" spans="1:4" x14ac:dyDescent="0.25">
      <c r="A101" s="24" t="s">
        <v>2048</v>
      </c>
      <c r="B101" s="9">
        <v>45482</v>
      </c>
      <c r="C101" s="6" t="s">
        <v>1432</v>
      </c>
      <c r="D101" s="13">
        <v>10</v>
      </c>
    </row>
    <row r="102" spans="1:4" x14ac:dyDescent="0.25">
      <c r="A102" s="24" t="s">
        <v>2049</v>
      </c>
      <c r="B102" s="9">
        <v>45948</v>
      </c>
      <c r="C102" s="6" t="s">
        <v>1759</v>
      </c>
      <c r="D102" s="13">
        <v>7</v>
      </c>
    </row>
    <row r="103" spans="1:4" x14ac:dyDescent="0.25">
      <c r="A103" s="24" t="s">
        <v>2050</v>
      </c>
      <c r="B103" s="9">
        <v>45316</v>
      </c>
      <c r="C103" s="6" t="s">
        <v>1616</v>
      </c>
      <c r="D103" s="13">
        <v>16</v>
      </c>
    </row>
    <row r="104" spans="1:4" x14ac:dyDescent="0.25">
      <c r="A104" s="24" t="s">
        <v>2051</v>
      </c>
      <c r="B104" s="9">
        <v>45756</v>
      </c>
      <c r="C104" s="6" t="s">
        <v>1893</v>
      </c>
      <c r="D104" s="13">
        <v>3</v>
      </c>
    </row>
    <row r="105" spans="1:4" x14ac:dyDescent="0.25">
      <c r="A105" s="24" t="s">
        <v>2052</v>
      </c>
      <c r="B105" s="9">
        <v>45571</v>
      </c>
      <c r="C105" s="6" t="s">
        <v>1490</v>
      </c>
      <c r="D105" s="13">
        <v>9</v>
      </c>
    </row>
    <row r="106" spans="1:4" x14ac:dyDescent="0.25">
      <c r="A106" s="24" t="s">
        <v>2053</v>
      </c>
      <c r="B106" s="9">
        <v>45870</v>
      </c>
      <c r="C106" s="6" t="s">
        <v>1727</v>
      </c>
      <c r="D106" s="13">
        <v>12</v>
      </c>
    </row>
    <row r="107" spans="1:4" x14ac:dyDescent="0.25">
      <c r="A107" s="24" t="s">
        <v>2054</v>
      </c>
      <c r="B107" s="9">
        <v>45426</v>
      </c>
      <c r="C107" s="6" t="s">
        <v>1564</v>
      </c>
      <c r="D107" s="13">
        <v>6</v>
      </c>
    </row>
    <row r="108" spans="1:4" x14ac:dyDescent="0.25">
      <c r="A108" s="24" t="s">
        <v>2056</v>
      </c>
      <c r="B108" s="9">
        <v>45981</v>
      </c>
      <c r="C108" s="6" t="s">
        <v>2055</v>
      </c>
      <c r="D108" s="13">
        <v>4</v>
      </c>
    </row>
    <row r="109" spans="1:4" x14ac:dyDescent="0.25">
      <c r="A109" s="24" t="s">
        <v>2057</v>
      </c>
      <c r="B109" s="9">
        <v>45372</v>
      </c>
      <c r="C109" s="6" t="s">
        <v>1439</v>
      </c>
      <c r="D109" s="13">
        <v>11</v>
      </c>
    </row>
    <row r="110" spans="1:4" x14ac:dyDescent="0.25">
      <c r="A110" s="24" t="s">
        <v>2058</v>
      </c>
      <c r="B110" s="9">
        <v>45674</v>
      </c>
      <c r="C110" s="6" t="s">
        <v>1672</v>
      </c>
      <c r="D110" s="13">
        <v>8</v>
      </c>
    </row>
    <row r="111" spans="1:4" x14ac:dyDescent="0.25">
      <c r="A111" s="24" t="s">
        <v>2059</v>
      </c>
      <c r="B111" s="9">
        <v>45517</v>
      </c>
      <c r="C111" s="6" t="s">
        <v>1809</v>
      </c>
      <c r="D111" s="13">
        <v>2</v>
      </c>
    </row>
    <row r="112" spans="1:4" x14ac:dyDescent="0.25">
      <c r="A112" s="24" t="s">
        <v>2060</v>
      </c>
      <c r="B112" s="9">
        <v>45843</v>
      </c>
      <c r="C112" s="6" t="s">
        <v>1526</v>
      </c>
      <c r="D112" s="13">
        <v>15</v>
      </c>
    </row>
    <row r="113" spans="1:4" x14ac:dyDescent="0.25">
      <c r="A113" s="24" t="s">
        <v>2061</v>
      </c>
      <c r="B113" s="9">
        <v>45622</v>
      </c>
      <c r="C113" s="6" t="s">
        <v>1655</v>
      </c>
      <c r="D113" s="13">
        <v>5</v>
      </c>
    </row>
    <row r="114" spans="1:4" x14ac:dyDescent="0.25">
      <c r="A114" s="24" t="s">
        <v>2062</v>
      </c>
      <c r="B114" s="9">
        <v>45699</v>
      </c>
      <c r="C114" s="6" t="s">
        <v>1892</v>
      </c>
      <c r="D114" s="13">
        <v>10</v>
      </c>
    </row>
    <row r="115" spans="1:4" x14ac:dyDescent="0.25">
      <c r="A115" s="24" t="s">
        <v>2063</v>
      </c>
      <c r="B115" s="9">
        <v>45447</v>
      </c>
      <c r="C115" s="6" t="s">
        <v>1601</v>
      </c>
      <c r="D115" s="13">
        <v>7</v>
      </c>
    </row>
    <row r="116" spans="1:4" x14ac:dyDescent="0.25">
      <c r="A116" s="24" t="s">
        <v>2064</v>
      </c>
      <c r="B116" s="9">
        <v>45927</v>
      </c>
      <c r="C116" s="6" t="s">
        <v>1768</v>
      </c>
      <c r="D116" s="13">
        <v>13</v>
      </c>
    </row>
    <row r="117" spans="1:4" x14ac:dyDescent="0.25">
      <c r="A117" s="24" t="s">
        <v>2065</v>
      </c>
      <c r="B117" s="9">
        <v>45338</v>
      </c>
      <c r="C117" s="6" t="s">
        <v>1417</v>
      </c>
      <c r="D117" s="13">
        <v>1</v>
      </c>
    </row>
    <row r="118" spans="1:4" x14ac:dyDescent="0.25">
      <c r="A118" s="24" t="s">
        <v>2066</v>
      </c>
      <c r="B118" s="9">
        <v>45789</v>
      </c>
      <c r="C118" s="6" t="s">
        <v>1935</v>
      </c>
      <c r="D118" s="13">
        <v>9</v>
      </c>
    </row>
    <row r="119" spans="1:4" x14ac:dyDescent="0.25">
      <c r="A119" s="24" t="s">
        <v>2067</v>
      </c>
      <c r="B119" s="9">
        <v>45640</v>
      </c>
      <c r="C119" s="6" t="s">
        <v>1480</v>
      </c>
      <c r="D119" s="13">
        <v>6</v>
      </c>
    </row>
    <row r="120" spans="1:4" x14ac:dyDescent="0.25">
      <c r="A120" s="24" t="s">
        <v>2068</v>
      </c>
      <c r="B120" s="9">
        <v>45721</v>
      </c>
      <c r="C120" s="6" t="s">
        <v>1647</v>
      </c>
      <c r="D120" s="13">
        <v>12</v>
      </c>
    </row>
    <row r="121" spans="1:4" x14ac:dyDescent="0.25">
      <c r="A121" s="24" t="s">
        <v>2069</v>
      </c>
      <c r="B121" s="9">
        <v>45554</v>
      </c>
      <c r="C121" s="6" t="s">
        <v>1814</v>
      </c>
      <c r="D121" s="13">
        <v>4</v>
      </c>
    </row>
    <row r="122" spans="1:4" x14ac:dyDescent="0.25">
      <c r="A122" s="24" t="s">
        <v>2070</v>
      </c>
      <c r="B122" s="9">
        <v>45933</v>
      </c>
      <c r="C122" s="6" t="s">
        <v>1553</v>
      </c>
      <c r="D122" s="13">
        <v>8</v>
      </c>
    </row>
    <row r="123" spans="1:4" x14ac:dyDescent="0.25">
      <c r="A123" s="24" t="s">
        <v>2071</v>
      </c>
      <c r="B123" s="9">
        <v>45412</v>
      </c>
      <c r="C123" s="6" t="s">
        <v>1689</v>
      </c>
      <c r="D123" s="13">
        <v>3</v>
      </c>
    </row>
    <row r="124" spans="1:4" x14ac:dyDescent="0.25">
      <c r="A124" s="24" t="s">
        <v>2072</v>
      </c>
      <c r="B124" s="9">
        <v>45856</v>
      </c>
      <c r="C124" s="6" t="s">
        <v>1926</v>
      </c>
      <c r="D124" s="13">
        <v>11</v>
      </c>
    </row>
    <row r="125" spans="1:4" x14ac:dyDescent="0.25">
      <c r="A125" s="24" t="s">
        <v>2073</v>
      </c>
      <c r="B125" s="9">
        <v>45302</v>
      </c>
      <c r="C125" s="6" t="s">
        <v>1445</v>
      </c>
      <c r="D125" s="13">
        <v>5</v>
      </c>
    </row>
    <row r="126" spans="1:4" x14ac:dyDescent="0.25">
      <c r="A126" s="24" t="s">
        <v>2074</v>
      </c>
      <c r="B126" s="9">
        <v>45968</v>
      </c>
      <c r="C126" s="6" t="s">
        <v>1612</v>
      </c>
      <c r="D126" s="13">
        <v>14</v>
      </c>
    </row>
    <row r="127" spans="1:4" x14ac:dyDescent="0.25">
      <c r="A127" s="24" t="s">
        <v>2075</v>
      </c>
      <c r="B127" s="9">
        <v>45512</v>
      </c>
      <c r="C127" s="6" t="s">
        <v>1749</v>
      </c>
      <c r="D127" s="13">
        <v>7</v>
      </c>
    </row>
    <row r="128" spans="1:4" x14ac:dyDescent="0.25">
      <c r="A128" s="24" t="s">
        <v>2076</v>
      </c>
      <c r="B128" s="9">
        <v>45690</v>
      </c>
      <c r="C128" s="6" t="s">
        <v>1886</v>
      </c>
      <c r="D128" s="13">
        <v>2</v>
      </c>
    </row>
    <row r="129" spans="1:4" x14ac:dyDescent="0.25">
      <c r="A129" s="24" t="s">
        <v>2077</v>
      </c>
      <c r="B129" s="9">
        <v>45440</v>
      </c>
      <c r="C129" s="6" t="s">
        <v>1521</v>
      </c>
      <c r="D129" s="13">
        <v>10</v>
      </c>
    </row>
    <row r="130" spans="1:4" x14ac:dyDescent="0.25">
      <c r="A130" s="24" t="s">
        <v>2078</v>
      </c>
      <c r="B130" s="9">
        <v>45772</v>
      </c>
      <c r="C130" s="6" t="s">
        <v>1658</v>
      </c>
      <c r="D130" s="13">
        <v>16</v>
      </c>
    </row>
    <row r="131" spans="1:4" x14ac:dyDescent="0.25">
      <c r="A131" s="24" t="s">
        <v>2079</v>
      </c>
      <c r="B131" s="9">
        <v>45585</v>
      </c>
      <c r="C131" s="6" t="s">
        <v>1795</v>
      </c>
      <c r="D131" s="13">
        <v>9</v>
      </c>
    </row>
    <row r="132" spans="1:4" x14ac:dyDescent="0.25">
      <c r="A132" s="24" t="s">
        <v>2080</v>
      </c>
      <c r="B132" s="9">
        <v>45893</v>
      </c>
      <c r="C132" s="6" t="s">
        <v>1532</v>
      </c>
      <c r="D132" s="13">
        <v>6</v>
      </c>
    </row>
    <row r="133" spans="1:4" x14ac:dyDescent="0.25">
      <c r="A133" s="24" t="s">
        <v>2081</v>
      </c>
      <c r="B133" s="9">
        <v>45354</v>
      </c>
      <c r="C133" s="6" t="s">
        <v>1669</v>
      </c>
      <c r="D133" s="13">
        <v>12</v>
      </c>
    </row>
    <row r="134" spans="1:4" x14ac:dyDescent="0.25">
      <c r="A134" s="24" t="s">
        <v>2082</v>
      </c>
      <c r="B134" s="9">
        <v>46010</v>
      </c>
      <c r="C134" s="6" t="s">
        <v>1806</v>
      </c>
      <c r="D134" s="13">
        <v>4</v>
      </c>
    </row>
    <row r="135" spans="1:4" x14ac:dyDescent="0.25">
      <c r="A135" s="24" t="s">
        <v>2083</v>
      </c>
      <c r="B135" s="9">
        <v>45487</v>
      </c>
      <c r="C135" s="6" t="s">
        <v>1543</v>
      </c>
      <c r="D135" s="13">
        <v>8</v>
      </c>
    </row>
    <row r="136" spans="1:4" x14ac:dyDescent="0.25">
      <c r="A136" s="24" t="s">
        <v>2084</v>
      </c>
      <c r="B136" s="9">
        <v>45678</v>
      </c>
      <c r="C136" s="6" t="s">
        <v>1680</v>
      </c>
      <c r="D136" s="13">
        <v>3</v>
      </c>
    </row>
    <row r="137" spans="1:4" x14ac:dyDescent="0.25">
      <c r="A137" s="24" t="s">
        <v>2085</v>
      </c>
      <c r="B137" s="9">
        <v>45606</v>
      </c>
      <c r="C137" s="6" t="s">
        <v>1817</v>
      </c>
      <c r="D137" s="13">
        <v>11</v>
      </c>
    </row>
    <row r="138" spans="1:4" x14ac:dyDescent="0.25">
      <c r="A138" s="24" t="s">
        <v>2086</v>
      </c>
      <c r="B138" s="9">
        <v>45830</v>
      </c>
      <c r="C138" s="6" t="s">
        <v>1554</v>
      </c>
      <c r="D138" s="13">
        <v>5</v>
      </c>
    </row>
    <row r="139" spans="1:4" x14ac:dyDescent="0.25">
      <c r="A139" s="24" t="s">
        <v>2087</v>
      </c>
      <c r="B139" s="9">
        <v>45547</v>
      </c>
      <c r="C139" s="6" t="s">
        <v>1691</v>
      </c>
      <c r="D139" s="13">
        <v>13</v>
      </c>
    </row>
    <row r="140" spans="1:4" x14ac:dyDescent="0.25">
      <c r="A140" s="24" t="s">
        <v>2088</v>
      </c>
      <c r="B140" s="9">
        <v>45732</v>
      </c>
      <c r="C140" s="6" t="s">
        <v>1828</v>
      </c>
      <c r="D140" s="13">
        <v>7</v>
      </c>
    </row>
    <row r="141" spans="1:4" x14ac:dyDescent="0.25">
      <c r="A141" s="24" t="s">
        <v>2089</v>
      </c>
      <c r="B141" s="9">
        <v>45350</v>
      </c>
      <c r="C141" s="6" t="s">
        <v>1505</v>
      </c>
      <c r="D141" s="13">
        <v>1</v>
      </c>
    </row>
    <row r="142" spans="1:4" x14ac:dyDescent="0.25">
      <c r="A142" s="24" t="s">
        <v>2090</v>
      </c>
      <c r="B142" s="9">
        <v>45902</v>
      </c>
      <c r="C142" s="6" t="s">
        <v>1642</v>
      </c>
      <c r="D142" s="13">
        <v>9</v>
      </c>
    </row>
    <row r="143" spans="1:4" x14ac:dyDescent="0.25">
      <c r="A143" s="24" t="s">
        <v>2091</v>
      </c>
      <c r="B143" s="9">
        <v>45633</v>
      </c>
      <c r="C143" s="6" t="s">
        <v>1779</v>
      </c>
      <c r="D143" s="13">
        <v>6</v>
      </c>
    </row>
    <row r="144" spans="1:4" x14ac:dyDescent="0.25">
      <c r="A144" s="24" t="s">
        <v>2092</v>
      </c>
      <c r="B144" s="9">
        <v>45786</v>
      </c>
      <c r="C144" s="6" t="s">
        <v>1916</v>
      </c>
      <c r="D144" s="13">
        <v>14</v>
      </c>
    </row>
    <row r="145" spans="1:4" x14ac:dyDescent="0.25">
      <c r="A145" s="24" t="s">
        <v>2093</v>
      </c>
      <c r="B145" s="9">
        <v>45464</v>
      </c>
      <c r="C145" s="6" t="s">
        <v>1573</v>
      </c>
      <c r="D145" s="13">
        <v>8</v>
      </c>
    </row>
    <row r="146" spans="1:4" x14ac:dyDescent="0.25">
      <c r="A146" s="24" t="s">
        <v>2094</v>
      </c>
      <c r="B146" s="9">
        <v>45958</v>
      </c>
      <c r="C146" s="6" t="s">
        <v>1710</v>
      </c>
      <c r="D146" s="13">
        <v>2</v>
      </c>
    </row>
    <row r="147" spans="1:4" x14ac:dyDescent="0.25">
      <c r="A147" s="24" t="s">
        <v>2095</v>
      </c>
      <c r="B147" s="9">
        <v>45399</v>
      </c>
      <c r="C147" s="6" t="s">
        <v>1847</v>
      </c>
      <c r="D147" s="13">
        <v>12</v>
      </c>
    </row>
    <row r="148" spans="1:4" x14ac:dyDescent="0.25">
      <c r="A148" s="24" t="s">
        <v>2096</v>
      </c>
      <c r="B148" s="9">
        <v>45864</v>
      </c>
      <c r="C148" s="6" t="s">
        <v>1484</v>
      </c>
      <c r="D148" s="13">
        <v>4</v>
      </c>
    </row>
    <row r="149" spans="1:4" x14ac:dyDescent="0.25">
      <c r="A149" s="24" t="s">
        <v>2097</v>
      </c>
      <c r="B149" s="9">
        <v>45533</v>
      </c>
      <c r="C149" s="6" t="s">
        <v>1621</v>
      </c>
      <c r="D149" s="13">
        <v>10</v>
      </c>
    </row>
    <row r="150" spans="1:4" x14ac:dyDescent="0.25">
      <c r="A150" s="24" t="s">
        <v>2098</v>
      </c>
      <c r="B150" s="9">
        <v>45703</v>
      </c>
      <c r="C150" s="6" t="s">
        <v>1758</v>
      </c>
      <c r="D150" s="13">
        <v>7</v>
      </c>
    </row>
    <row r="151" spans="1:4" x14ac:dyDescent="0.25">
      <c r="A151" s="24" t="s">
        <v>2099</v>
      </c>
      <c r="B151" s="9">
        <v>45294</v>
      </c>
      <c r="C151" s="6" t="s">
        <v>1895</v>
      </c>
      <c r="D151" s="13">
        <v>3</v>
      </c>
    </row>
    <row r="152" spans="1:4" x14ac:dyDescent="0.25">
      <c r="A152" s="24" t="s">
        <v>2100</v>
      </c>
      <c r="B152" s="9">
        <v>45975</v>
      </c>
      <c r="C152" s="6" t="s">
        <v>1532</v>
      </c>
      <c r="D152" s="13">
        <v>11</v>
      </c>
    </row>
    <row r="153" spans="1:4" x14ac:dyDescent="0.25">
      <c r="A153" s="24" t="s">
        <v>2101</v>
      </c>
      <c r="B153" s="9">
        <v>45567</v>
      </c>
      <c r="C153" s="6" t="s">
        <v>1669</v>
      </c>
      <c r="D153" s="13">
        <v>5</v>
      </c>
    </row>
    <row r="154" spans="1:4" x14ac:dyDescent="0.25">
      <c r="A154" s="24" t="s">
        <v>2102</v>
      </c>
      <c r="B154" s="9">
        <v>45753</v>
      </c>
      <c r="C154" s="6" t="s">
        <v>1806</v>
      </c>
      <c r="D154" s="13">
        <v>13</v>
      </c>
    </row>
    <row r="155" spans="1:4" x14ac:dyDescent="0.25">
      <c r="A155" s="24" t="s">
        <v>2103</v>
      </c>
      <c r="B155" s="9">
        <v>45431</v>
      </c>
      <c r="C155" s="6" t="s">
        <v>1543</v>
      </c>
      <c r="D155" s="13">
        <v>9</v>
      </c>
    </row>
    <row r="156" spans="1:4" x14ac:dyDescent="0.25">
      <c r="A156" s="24" t="s">
        <v>2104</v>
      </c>
      <c r="B156" s="9">
        <v>45880</v>
      </c>
      <c r="C156" s="6" t="s">
        <v>1680</v>
      </c>
      <c r="D156" s="13">
        <v>6</v>
      </c>
    </row>
    <row r="157" spans="1:4" x14ac:dyDescent="0.25">
      <c r="A157" s="24" t="s">
        <v>2105</v>
      </c>
      <c r="B157" s="9">
        <v>45358</v>
      </c>
      <c r="C157" s="6" t="s">
        <v>1817</v>
      </c>
      <c r="D157" s="13">
        <v>12</v>
      </c>
    </row>
    <row r="158" spans="1:4" x14ac:dyDescent="0.25">
      <c r="A158" s="24" t="s">
        <v>2106</v>
      </c>
      <c r="B158" s="9">
        <v>46013</v>
      </c>
      <c r="C158" s="6" t="s">
        <v>1554</v>
      </c>
      <c r="D158" s="13">
        <v>4</v>
      </c>
    </row>
    <row r="159" spans="1:4" x14ac:dyDescent="0.25">
      <c r="A159" s="24" t="s">
        <v>2107</v>
      </c>
      <c r="B159" s="9">
        <v>45560</v>
      </c>
      <c r="C159" s="6" t="s">
        <v>1691</v>
      </c>
      <c r="D159" s="13">
        <v>8</v>
      </c>
    </row>
    <row r="160" spans="1:4" x14ac:dyDescent="0.25">
      <c r="A160" s="24" t="s">
        <v>2108</v>
      </c>
      <c r="B160" s="9">
        <v>45687</v>
      </c>
      <c r="C160" s="6" t="s">
        <v>1828</v>
      </c>
      <c r="D160" s="13">
        <v>2</v>
      </c>
    </row>
    <row r="161" spans="1:4" x14ac:dyDescent="0.25">
      <c r="A161" s="24" t="s">
        <v>2109</v>
      </c>
      <c r="B161" s="9">
        <v>45474</v>
      </c>
      <c r="C161" s="6" t="s">
        <v>1505</v>
      </c>
      <c r="D161" s="13">
        <v>10</v>
      </c>
    </row>
    <row r="162" spans="1:4" x14ac:dyDescent="0.25">
      <c r="A162" s="24" t="s">
        <v>2110</v>
      </c>
      <c r="B162" s="9">
        <v>45812</v>
      </c>
      <c r="C162" s="6" t="s">
        <v>1642</v>
      </c>
      <c r="D162" s="13">
        <v>7</v>
      </c>
    </row>
    <row r="163" spans="1:4" x14ac:dyDescent="0.25">
      <c r="A163" s="24" t="s">
        <v>2111</v>
      </c>
      <c r="B163" s="9">
        <v>45614</v>
      </c>
      <c r="C163" s="6" t="s">
        <v>1779</v>
      </c>
      <c r="D163" s="13">
        <v>14</v>
      </c>
    </row>
    <row r="164" spans="1:4" x14ac:dyDescent="0.25">
      <c r="A164" s="24" t="s">
        <v>2112</v>
      </c>
      <c r="B164" s="9">
        <v>45725</v>
      </c>
      <c r="C164" s="6" t="s">
        <v>1916</v>
      </c>
      <c r="D164" s="13">
        <v>5</v>
      </c>
    </row>
    <row r="165" spans="1:4" x14ac:dyDescent="0.25">
      <c r="A165" s="24" t="s">
        <v>2113</v>
      </c>
      <c r="B165" s="9">
        <v>45342</v>
      </c>
      <c r="C165" s="6" t="s">
        <v>1573</v>
      </c>
      <c r="D165" s="13">
        <v>11</v>
      </c>
    </row>
    <row r="166" spans="1:4" x14ac:dyDescent="0.25">
      <c r="A166" s="24" t="s">
        <v>2114</v>
      </c>
      <c r="B166" s="9">
        <v>45920</v>
      </c>
      <c r="C166" s="6" t="s">
        <v>1710</v>
      </c>
      <c r="D166" s="13">
        <v>3</v>
      </c>
    </row>
    <row r="167" spans="1:4" x14ac:dyDescent="0.25">
      <c r="A167" s="24" t="s">
        <v>2115</v>
      </c>
      <c r="B167" s="9">
        <v>45642</v>
      </c>
      <c r="C167" s="6" t="s">
        <v>1847</v>
      </c>
      <c r="D167" s="13">
        <v>9</v>
      </c>
    </row>
    <row r="168" spans="1:4" x14ac:dyDescent="0.25">
      <c r="A168" s="24" t="s">
        <v>2116</v>
      </c>
      <c r="B168" s="9">
        <v>45780</v>
      </c>
      <c r="C168" s="6" t="s">
        <v>1484</v>
      </c>
      <c r="D168" s="13">
        <v>6</v>
      </c>
    </row>
    <row r="169" spans="1:4" x14ac:dyDescent="0.25">
      <c r="A169" s="24" t="s">
        <v>2117</v>
      </c>
      <c r="B169" s="9">
        <v>45510</v>
      </c>
      <c r="C169" s="6" t="s">
        <v>1621</v>
      </c>
      <c r="D169" s="13">
        <v>12</v>
      </c>
    </row>
    <row r="170" spans="1:4" x14ac:dyDescent="0.25">
      <c r="A170" s="24" t="s">
        <v>2118</v>
      </c>
      <c r="B170" s="9">
        <v>45945</v>
      </c>
      <c r="C170" s="6" t="s">
        <v>1758</v>
      </c>
      <c r="D170" s="13">
        <v>8</v>
      </c>
    </row>
    <row r="171" spans="1:4" x14ac:dyDescent="0.25">
      <c r="A171" s="24" t="s">
        <v>2119</v>
      </c>
      <c r="B171" s="9">
        <v>45393</v>
      </c>
      <c r="C171" s="6" t="s">
        <v>1895</v>
      </c>
      <c r="D171" s="13">
        <v>1</v>
      </c>
    </row>
    <row r="172" spans="1:4" x14ac:dyDescent="0.25">
      <c r="A172" s="24" t="s">
        <v>2120</v>
      </c>
      <c r="B172" s="9">
        <v>45857</v>
      </c>
      <c r="C172" s="6" t="s">
        <v>1532</v>
      </c>
      <c r="D172" s="13">
        <v>13</v>
      </c>
    </row>
    <row r="173" spans="1:4" x14ac:dyDescent="0.25">
      <c r="A173" s="24" t="s">
        <v>2121</v>
      </c>
      <c r="B173" s="9">
        <v>45469</v>
      </c>
      <c r="C173" s="6" t="s">
        <v>1669</v>
      </c>
      <c r="D173" s="13">
        <v>4</v>
      </c>
    </row>
    <row r="174" spans="1:4" x14ac:dyDescent="0.25">
      <c r="A174" s="24" t="s">
        <v>2122</v>
      </c>
      <c r="B174" s="9">
        <v>45696</v>
      </c>
      <c r="C174" s="6" t="s">
        <v>1806</v>
      </c>
      <c r="D174" s="13">
        <v>10</v>
      </c>
    </row>
    <row r="175" spans="1:4" x14ac:dyDescent="0.25">
      <c r="A175" s="24" t="s">
        <v>2123</v>
      </c>
      <c r="B175" s="9">
        <v>45305</v>
      </c>
      <c r="C175" s="6" t="s">
        <v>1543</v>
      </c>
      <c r="D175" s="13">
        <v>7</v>
      </c>
    </row>
    <row r="176" spans="1:4" x14ac:dyDescent="0.25">
      <c r="A176" s="24" t="s">
        <v>2124</v>
      </c>
      <c r="B176" s="9">
        <v>45986</v>
      </c>
      <c r="C176" s="6" t="s">
        <v>1680</v>
      </c>
      <c r="D176" s="13">
        <v>5</v>
      </c>
    </row>
    <row r="177" spans="1:4" x14ac:dyDescent="0.25">
      <c r="A177" s="24" t="s">
        <v>2125</v>
      </c>
      <c r="B177" s="9">
        <v>45592</v>
      </c>
      <c r="C177" s="6" t="s">
        <v>1817</v>
      </c>
      <c r="D177" s="13">
        <v>11</v>
      </c>
    </row>
    <row r="178" spans="1:4" x14ac:dyDescent="0.25">
      <c r="A178" s="24" t="s">
        <v>2126</v>
      </c>
      <c r="B178" s="9">
        <v>45766</v>
      </c>
      <c r="C178" s="6" t="s">
        <v>1554</v>
      </c>
      <c r="D178" s="13">
        <v>2</v>
      </c>
    </row>
    <row r="179" spans="1:4" x14ac:dyDescent="0.25">
      <c r="A179" s="24" t="s">
        <v>2127</v>
      </c>
      <c r="B179" s="9">
        <v>45375</v>
      </c>
      <c r="C179" s="6" t="s">
        <v>1691</v>
      </c>
      <c r="D179" s="13">
        <v>14</v>
      </c>
    </row>
    <row r="180" spans="1:4" x14ac:dyDescent="0.25">
      <c r="A180" s="24" t="s">
        <v>2128</v>
      </c>
      <c r="B180" s="9">
        <v>45899</v>
      </c>
      <c r="C180" s="6" t="s">
        <v>1828</v>
      </c>
      <c r="D180" s="13">
        <v>9</v>
      </c>
    </row>
    <row r="181" spans="1:4" x14ac:dyDescent="0.25">
      <c r="A181" s="24" t="s">
        <v>2129</v>
      </c>
      <c r="B181" s="9">
        <v>45539</v>
      </c>
      <c r="C181" s="6" t="s">
        <v>1505</v>
      </c>
      <c r="D181" s="13">
        <v>6</v>
      </c>
    </row>
    <row r="182" spans="1:4" x14ac:dyDescent="0.25">
      <c r="A182" s="24" t="s">
        <v>2130</v>
      </c>
      <c r="B182" s="9">
        <v>45669</v>
      </c>
      <c r="C182" s="6" t="s">
        <v>1642</v>
      </c>
      <c r="D182" s="13">
        <v>12</v>
      </c>
    </row>
    <row r="183" spans="1:4" x14ac:dyDescent="0.25">
      <c r="A183" s="24" t="s">
        <v>2131</v>
      </c>
      <c r="B183" s="9">
        <v>45434</v>
      </c>
      <c r="C183" s="6" t="s">
        <v>1779</v>
      </c>
      <c r="D183" s="13">
        <v>3</v>
      </c>
    </row>
    <row r="184" spans="1:4" x14ac:dyDescent="0.25">
      <c r="A184" s="24" t="s">
        <v>2132</v>
      </c>
      <c r="B184" s="9">
        <v>45824</v>
      </c>
      <c r="C184" s="6" t="s">
        <v>1916</v>
      </c>
      <c r="D184" s="13">
        <v>8</v>
      </c>
    </row>
    <row r="185" spans="1:4" x14ac:dyDescent="0.25">
      <c r="A185" s="24" t="s">
        <v>2133</v>
      </c>
      <c r="B185" s="9">
        <v>45628</v>
      </c>
      <c r="C185" s="6" t="s">
        <v>1573</v>
      </c>
      <c r="D185" s="13">
        <v>4</v>
      </c>
    </row>
    <row r="186" spans="1:4" x14ac:dyDescent="0.25">
      <c r="A186" s="24" t="s">
        <v>2134</v>
      </c>
      <c r="B186" s="9">
        <v>45744</v>
      </c>
      <c r="C186" s="6" t="s">
        <v>1710</v>
      </c>
      <c r="D186" s="13">
        <v>10</v>
      </c>
    </row>
    <row r="187" spans="1:4" x14ac:dyDescent="0.25">
      <c r="A187" s="24" t="s">
        <v>2135</v>
      </c>
      <c r="B187" s="9">
        <v>45484</v>
      </c>
      <c r="C187" s="6" t="s">
        <v>1847</v>
      </c>
      <c r="D187" s="13">
        <v>7</v>
      </c>
    </row>
    <row r="188" spans="1:4" x14ac:dyDescent="0.25">
      <c r="A188" s="24" t="s">
        <v>2136</v>
      </c>
      <c r="B188" s="9">
        <v>45913</v>
      </c>
      <c r="C188" s="6" t="s">
        <v>1484</v>
      </c>
      <c r="D188" s="13">
        <v>1</v>
      </c>
    </row>
    <row r="189" spans="1:4" x14ac:dyDescent="0.25">
      <c r="A189" s="24" t="s">
        <v>2137</v>
      </c>
      <c r="B189" s="9">
        <v>45325</v>
      </c>
      <c r="C189" s="6" t="s">
        <v>1621</v>
      </c>
      <c r="D189" s="13">
        <v>13</v>
      </c>
    </row>
    <row r="190" spans="1:4" x14ac:dyDescent="0.25">
      <c r="A190" s="24" t="s">
        <v>2138</v>
      </c>
      <c r="B190" s="9">
        <v>45937</v>
      </c>
      <c r="C190" s="6" t="s">
        <v>1758</v>
      </c>
      <c r="D190" s="13">
        <v>5</v>
      </c>
    </row>
    <row r="191" spans="1:4" x14ac:dyDescent="0.25">
      <c r="A191" s="24" t="s">
        <v>2139</v>
      </c>
      <c r="B191" s="9">
        <v>45617</v>
      </c>
      <c r="C191" s="6" t="s">
        <v>1895</v>
      </c>
      <c r="D191" s="13">
        <v>9</v>
      </c>
    </row>
    <row r="192" spans="1:4" x14ac:dyDescent="0.25">
      <c r="A192" s="24" t="s">
        <v>2140</v>
      </c>
      <c r="B192" s="9">
        <v>45807</v>
      </c>
      <c r="C192" s="6" t="s">
        <v>1532</v>
      </c>
      <c r="D192" s="13">
        <v>6</v>
      </c>
    </row>
    <row r="193" spans="1:4" x14ac:dyDescent="0.25">
      <c r="A193" s="24" t="s">
        <v>2141</v>
      </c>
      <c r="B193" s="9">
        <v>45519</v>
      </c>
      <c r="C193" s="6" t="s">
        <v>1669</v>
      </c>
      <c r="D193" s="13">
        <v>12</v>
      </c>
    </row>
    <row r="194" spans="1:4" x14ac:dyDescent="0.25">
      <c r="A194" s="24" t="s">
        <v>2142</v>
      </c>
      <c r="B194" s="9">
        <v>45861</v>
      </c>
      <c r="C194" s="6" t="s">
        <v>1806</v>
      </c>
      <c r="D194" s="13">
        <v>2</v>
      </c>
    </row>
    <row r="195" spans="1:4" x14ac:dyDescent="0.25">
      <c r="A195" s="24" t="s">
        <v>2143</v>
      </c>
      <c r="B195" s="9">
        <v>45387</v>
      </c>
      <c r="C195" s="6" t="s">
        <v>1543</v>
      </c>
      <c r="D195" s="13">
        <v>11</v>
      </c>
    </row>
    <row r="196" spans="1:4" x14ac:dyDescent="0.25">
      <c r="A196" s="24" t="s">
        <v>2144</v>
      </c>
      <c r="B196" s="9">
        <v>45714</v>
      </c>
      <c r="C196" s="6" t="s">
        <v>1680</v>
      </c>
      <c r="D196" s="13">
        <v>8</v>
      </c>
    </row>
    <row r="197" spans="1:4" x14ac:dyDescent="0.25">
      <c r="A197" s="24" t="s">
        <v>2145</v>
      </c>
      <c r="B197" s="9">
        <v>45311</v>
      </c>
      <c r="C197" s="6" t="s">
        <v>1817</v>
      </c>
      <c r="D197" s="13">
        <v>4</v>
      </c>
    </row>
    <row r="198" spans="1:4" x14ac:dyDescent="0.25">
      <c r="A198" s="24" t="s">
        <v>2146</v>
      </c>
      <c r="B198" s="9">
        <v>45996</v>
      </c>
      <c r="C198" s="6" t="s">
        <v>1554</v>
      </c>
      <c r="D198" s="13">
        <v>10</v>
      </c>
    </row>
    <row r="199" spans="1:4" x14ac:dyDescent="0.25">
      <c r="A199" s="24" t="s">
        <v>2147</v>
      </c>
      <c r="B199" s="9">
        <v>45452</v>
      </c>
      <c r="C199" s="6" t="s">
        <v>1691</v>
      </c>
      <c r="D199" s="13">
        <v>7</v>
      </c>
    </row>
    <row r="200" spans="1:4" x14ac:dyDescent="0.25">
      <c r="A200" s="24" t="s">
        <v>2148</v>
      </c>
      <c r="B200" s="9">
        <v>45727</v>
      </c>
      <c r="C200" s="6" t="s">
        <v>1828</v>
      </c>
      <c r="D200" s="13">
        <v>3</v>
      </c>
    </row>
    <row r="201" spans="1:4" x14ac:dyDescent="0.25">
      <c r="A201" s="24" t="s">
        <v>2149</v>
      </c>
      <c r="B201" s="9">
        <v>45565</v>
      </c>
      <c r="C201" s="6" t="s">
        <v>1505</v>
      </c>
      <c r="D201" s="13">
        <v>14</v>
      </c>
    </row>
    <row r="202" spans="1:4" x14ac:dyDescent="0.25">
      <c r="A202" s="24" t="s">
        <v>2150</v>
      </c>
      <c r="B202" s="9">
        <v>45887</v>
      </c>
      <c r="C202" s="6" t="s">
        <v>1642</v>
      </c>
      <c r="D202" s="13">
        <v>5</v>
      </c>
    </row>
    <row r="203" spans="1:4" x14ac:dyDescent="0.25">
      <c r="A203" s="24" t="s">
        <v>2151</v>
      </c>
      <c r="B203" s="9">
        <v>45589</v>
      </c>
      <c r="C203" s="6" t="s">
        <v>1779</v>
      </c>
      <c r="D203" s="13">
        <v>9</v>
      </c>
    </row>
    <row r="204" spans="1:4" x14ac:dyDescent="0.25">
      <c r="A204" s="24" t="s">
        <v>2152</v>
      </c>
      <c r="B204" s="9">
        <v>45663</v>
      </c>
      <c r="C204" s="6" t="s">
        <v>1916</v>
      </c>
      <c r="D204" s="13">
        <v>6</v>
      </c>
    </row>
    <row r="205" spans="1:4" x14ac:dyDescent="0.25">
      <c r="A205" s="24" t="s">
        <v>2153</v>
      </c>
      <c r="B205" s="9">
        <v>45366</v>
      </c>
      <c r="C205" s="6" t="s">
        <v>1573</v>
      </c>
      <c r="D205" s="13">
        <v>12</v>
      </c>
    </row>
    <row r="206" spans="1:4" x14ac:dyDescent="0.25">
      <c r="A206" s="24" t="s">
        <v>2154</v>
      </c>
      <c r="B206" s="9">
        <v>45828</v>
      </c>
      <c r="C206" s="6" t="s">
        <v>1710</v>
      </c>
      <c r="D206" s="13">
        <v>1</v>
      </c>
    </row>
    <row r="207" spans="1:4" x14ac:dyDescent="0.25">
      <c r="A207" s="24" t="s">
        <v>2155</v>
      </c>
      <c r="B207" s="9">
        <v>45500</v>
      </c>
      <c r="C207" s="6" t="s">
        <v>1847</v>
      </c>
      <c r="D207" s="13">
        <v>8</v>
      </c>
    </row>
    <row r="208" spans="1:4" x14ac:dyDescent="0.25">
      <c r="A208" s="24" t="s">
        <v>2156</v>
      </c>
      <c r="B208" s="9">
        <v>45964</v>
      </c>
      <c r="C208" s="6" t="s">
        <v>1484</v>
      </c>
      <c r="D208" s="13">
        <v>4</v>
      </c>
    </row>
    <row r="209" spans="1:4" x14ac:dyDescent="0.25">
      <c r="A209" s="24" t="s">
        <v>2157</v>
      </c>
      <c r="B209" s="9">
        <v>45422</v>
      </c>
      <c r="C209" s="6" t="s">
        <v>1621</v>
      </c>
      <c r="D209" s="13">
        <v>11</v>
      </c>
    </row>
    <row r="210" spans="1:4" x14ac:dyDescent="0.25">
      <c r="A210" s="24" t="s">
        <v>2158</v>
      </c>
      <c r="B210" s="9">
        <v>45761</v>
      </c>
      <c r="C210" s="6" t="s">
        <v>1758</v>
      </c>
      <c r="D210" s="13">
        <v>7</v>
      </c>
    </row>
    <row r="211" spans="1:4" x14ac:dyDescent="0.25">
      <c r="A211" s="24" t="s">
        <v>2159</v>
      </c>
      <c r="B211" s="9">
        <v>45645</v>
      </c>
      <c r="C211" s="6" t="s">
        <v>1895</v>
      </c>
      <c r="D211" s="13">
        <v>2</v>
      </c>
    </row>
    <row r="212" spans="1:4" x14ac:dyDescent="0.25">
      <c r="A212" s="24" t="s">
        <v>2160</v>
      </c>
      <c r="B212" s="9">
        <v>45925</v>
      </c>
      <c r="C212" s="6" t="s">
        <v>1532</v>
      </c>
      <c r="D212" s="13">
        <v>13</v>
      </c>
    </row>
    <row r="213" spans="1:4" x14ac:dyDescent="0.25">
      <c r="A213" s="24" t="s">
        <v>2161</v>
      </c>
      <c r="B213" s="9">
        <v>45334</v>
      </c>
      <c r="C213" s="6" t="s">
        <v>1669</v>
      </c>
      <c r="D213" s="13">
        <v>5</v>
      </c>
    </row>
    <row r="214" spans="1:4" x14ac:dyDescent="0.25">
      <c r="A214" s="24" t="s">
        <v>2162</v>
      </c>
      <c r="B214" s="9">
        <v>45845</v>
      </c>
      <c r="C214" s="6" t="s">
        <v>1806</v>
      </c>
      <c r="D214" s="13">
        <v>10</v>
      </c>
    </row>
    <row r="215" spans="1:4" x14ac:dyDescent="0.25">
      <c r="A215" s="24" t="s">
        <v>2163</v>
      </c>
      <c r="B215" s="9">
        <v>45527</v>
      </c>
      <c r="C215" s="6" t="s">
        <v>1543</v>
      </c>
      <c r="D215" s="13">
        <v>6</v>
      </c>
    </row>
    <row r="216" spans="1:4" x14ac:dyDescent="0.25">
      <c r="A216" s="24" t="s">
        <v>2164</v>
      </c>
      <c r="B216" s="9">
        <v>45705</v>
      </c>
      <c r="C216" s="6" t="s">
        <v>1680</v>
      </c>
      <c r="D216" s="13">
        <v>12</v>
      </c>
    </row>
    <row r="217" spans="1:4" x14ac:dyDescent="0.25">
      <c r="A217" s="24" t="s">
        <v>2165</v>
      </c>
      <c r="B217" s="9">
        <v>45604</v>
      </c>
      <c r="C217" s="6" t="s">
        <v>1817</v>
      </c>
      <c r="D217" s="13">
        <v>3</v>
      </c>
    </row>
    <row r="218" spans="1:4" x14ac:dyDescent="0.25">
      <c r="A218" s="24" t="s">
        <v>2166</v>
      </c>
      <c r="B218" s="9">
        <v>45792</v>
      </c>
      <c r="C218" s="6" t="s">
        <v>1554</v>
      </c>
      <c r="D218" s="13">
        <v>9</v>
      </c>
    </row>
    <row r="219" spans="1:4" x14ac:dyDescent="0.25">
      <c r="A219" s="24" t="s">
        <v>2167</v>
      </c>
      <c r="B219" s="9">
        <v>45404</v>
      </c>
      <c r="C219" s="6" t="s">
        <v>1691</v>
      </c>
      <c r="D219" s="13">
        <v>4</v>
      </c>
    </row>
    <row r="220" spans="1:4" x14ac:dyDescent="0.25">
      <c r="A220" s="24" t="s">
        <v>2168</v>
      </c>
      <c r="B220" s="9">
        <v>45941</v>
      </c>
      <c r="C220" s="6" t="s">
        <v>1828</v>
      </c>
      <c r="D220" s="13">
        <v>8</v>
      </c>
    </row>
    <row r="221" spans="1:4" x14ac:dyDescent="0.25">
      <c r="A221" s="24" t="s">
        <v>2169</v>
      </c>
      <c r="B221" s="9">
        <v>45296</v>
      </c>
      <c r="C221" s="6" t="s">
        <v>1505</v>
      </c>
      <c r="D221" s="13">
        <v>1</v>
      </c>
    </row>
    <row r="222" spans="1:4" x14ac:dyDescent="0.25">
      <c r="A222" s="24" t="s">
        <v>2170</v>
      </c>
      <c r="B222" s="9">
        <v>45735</v>
      </c>
      <c r="C222" s="6" t="s">
        <v>1642</v>
      </c>
      <c r="D222" s="13">
        <v>11</v>
      </c>
    </row>
    <row r="223" spans="1:4" x14ac:dyDescent="0.25">
      <c r="A223" s="24" t="s">
        <v>2171</v>
      </c>
      <c r="B223" s="9">
        <v>45445</v>
      </c>
      <c r="C223" s="6" t="s">
        <v>1779</v>
      </c>
      <c r="D223" s="13">
        <v>7</v>
      </c>
    </row>
    <row r="224" spans="1:4" x14ac:dyDescent="0.25">
      <c r="A224" s="24" t="s">
        <v>2172</v>
      </c>
      <c r="B224" s="9">
        <v>46005</v>
      </c>
      <c r="C224" s="6" t="s">
        <v>1916</v>
      </c>
      <c r="D224" s="13">
        <v>5</v>
      </c>
    </row>
    <row r="225" spans="1:4" x14ac:dyDescent="0.25">
      <c r="A225" s="24" t="s">
        <v>2173</v>
      </c>
      <c r="B225" s="9">
        <v>45551</v>
      </c>
      <c r="C225" s="6" t="s">
        <v>1573</v>
      </c>
      <c r="D225" s="13">
        <v>13</v>
      </c>
    </row>
    <row r="226" spans="1:4" x14ac:dyDescent="0.25">
      <c r="A226" s="24" t="s">
        <v>2174</v>
      </c>
      <c r="B226" s="9">
        <v>45873</v>
      </c>
      <c r="C226" s="6" t="s">
        <v>1710</v>
      </c>
      <c r="D226" s="13">
        <v>2</v>
      </c>
    </row>
    <row r="227" spans="1:4" x14ac:dyDescent="0.25">
      <c r="A227" s="24" t="s">
        <v>2175</v>
      </c>
      <c r="B227" s="9">
        <v>45478</v>
      </c>
      <c r="C227" s="6" t="s">
        <v>1847</v>
      </c>
      <c r="D227" s="13">
        <v>10</v>
      </c>
    </row>
    <row r="228" spans="1:4" x14ac:dyDescent="0.25">
      <c r="A228" s="24" t="s">
        <v>2176</v>
      </c>
      <c r="B228" s="9">
        <v>45683</v>
      </c>
      <c r="C228" s="6" t="s">
        <v>1484</v>
      </c>
      <c r="D228" s="13">
        <v>6</v>
      </c>
    </row>
    <row r="229" spans="1:4" x14ac:dyDescent="0.25">
      <c r="A229" s="24" t="s">
        <v>2177</v>
      </c>
      <c r="B229" s="9">
        <v>45595</v>
      </c>
      <c r="C229" s="6" t="s">
        <v>1621</v>
      </c>
      <c r="D229" s="13">
        <v>12</v>
      </c>
    </row>
    <row r="230" spans="1:4" x14ac:dyDescent="0.25">
      <c r="A230" s="24" t="s">
        <v>2178</v>
      </c>
      <c r="B230" s="9">
        <v>45833</v>
      </c>
      <c r="C230" s="6" t="s">
        <v>1758</v>
      </c>
      <c r="D230" s="13">
        <v>4</v>
      </c>
    </row>
    <row r="231" spans="1:4" x14ac:dyDescent="0.25">
      <c r="A231" s="24" t="s">
        <v>2179</v>
      </c>
      <c r="B231" s="9">
        <v>45379</v>
      </c>
      <c r="C231" s="6" t="s">
        <v>1895</v>
      </c>
      <c r="D231" s="13">
        <v>8</v>
      </c>
    </row>
    <row r="232" spans="1:4" x14ac:dyDescent="0.25">
      <c r="A232" s="24" t="s">
        <v>2180</v>
      </c>
      <c r="B232" s="9">
        <v>45980</v>
      </c>
      <c r="C232" s="6" t="s">
        <v>1532</v>
      </c>
      <c r="D232" s="13">
        <v>3</v>
      </c>
    </row>
    <row r="233" spans="1:4" x14ac:dyDescent="0.25">
      <c r="A233" s="24" t="s">
        <v>2181</v>
      </c>
      <c r="B233" s="9">
        <v>45417</v>
      </c>
      <c r="C233" s="6" t="s">
        <v>1669</v>
      </c>
      <c r="D233" s="13">
        <v>14</v>
      </c>
    </row>
    <row r="234" spans="1:4" x14ac:dyDescent="0.25">
      <c r="A234" s="24" t="s">
        <v>2182</v>
      </c>
      <c r="B234" s="9">
        <v>45748</v>
      </c>
      <c r="C234" s="6" t="s">
        <v>1806</v>
      </c>
      <c r="D234" s="13">
        <v>9</v>
      </c>
    </row>
    <row r="235" spans="1:4" x14ac:dyDescent="0.25">
      <c r="A235" s="24" t="s">
        <v>2183</v>
      </c>
      <c r="B235" s="9">
        <v>45649</v>
      </c>
      <c r="C235" s="6" t="s">
        <v>1543</v>
      </c>
      <c r="D235" s="13">
        <v>5</v>
      </c>
    </row>
    <row r="236" spans="1:4" x14ac:dyDescent="0.25">
      <c r="A236" s="24" t="s">
        <v>2184</v>
      </c>
      <c r="B236" s="9">
        <v>45908</v>
      </c>
      <c r="C236" s="6" t="s">
        <v>1680</v>
      </c>
      <c r="D236" s="13">
        <v>11</v>
      </c>
    </row>
    <row r="237" spans="1:4" x14ac:dyDescent="0.25">
      <c r="A237" s="24" t="s">
        <v>2185</v>
      </c>
      <c r="B237" s="9">
        <v>45331</v>
      </c>
      <c r="C237" s="6" t="s">
        <v>1817</v>
      </c>
      <c r="D237" s="13">
        <v>7</v>
      </c>
    </row>
    <row r="238" spans="1:4" x14ac:dyDescent="0.25">
      <c r="A238" s="24" t="s">
        <v>2186</v>
      </c>
      <c r="B238" s="9">
        <v>45852</v>
      </c>
      <c r="C238" s="6" t="s">
        <v>1554</v>
      </c>
      <c r="D238" s="13">
        <v>1</v>
      </c>
    </row>
    <row r="239" spans="1:4" x14ac:dyDescent="0.25">
      <c r="A239" s="24" t="s">
        <v>2187</v>
      </c>
      <c r="B239" s="9">
        <v>45515</v>
      </c>
      <c r="C239" s="6" t="s">
        <v>1691</v>
      </c>
      <c r="D239" s="13">
        <v>12</v>
      </c>
    </row>
    <row r="240" spans="1:4" x14ac:dyDescent="0.25">
      <c r="A240" s="24" t="s">
        <v>2188</v>
      </c>
      <c r="B240" s="9">
        <v>45691</v>
      </c>
      <c r="C240" s="6" t="s">
        <v>1828</v>
      </c>
      <c r="D240" s="13">
        <v>6</v>
      </c>
    </row>
    <row r="241" spans="1:4" x14ac:dyDescent="0.25">
      <c r="A241" s="24" t="s">
        <v>2189</v>
      </c>
      <c r="B241" s="9">
        <v>45600</v>
      </c>
      <c r="C241" s="6" t="s">
        <v>1505</v>
      </c>
      <c r="D241" s="13">
        <v>10</v>
      </c>
    </row>
    <row r="242" spans="1:4" x14ac:dyDescent="0.25">
      <c r="A242" s="24" t="s">
        <v>2190</v>
      </c>
      <c r="B242" s="9">
        <v>45798</v>
      </c>
      <c r="C242" s="6" t="s">
        <v>1642</v>
      </c>
      <c r="D242" s="13">
        <v>2</v>
      </c>
    </row>
    <row r="243" spans="1:4" x14ac:dyDescent="0.25">
      <c r="A243" s="24" t="s">
        <v>2191</v>
      </c>
      <c r="B243" s="9">
        <v>45459</v>
      </c>
      <c r="C243" s="6" t="s">
        <v>1779</v>
      </c>
      <c r="D243" s="13">
        <v>13</v>
      </c>
    </row>
    <row r="244" spans="1:4" x14ac:dyDescent="0.25">
      <c r="A244" s="24" t="s">
        <v>2192</v>
      </c>
      <c r="B244" s="9">
        <v>45950</v>
      </c>
      <c r="C244" s="6" t="s">
        <v>1916</v>
      </c>
      <c r="D244" s="13">
        <v>8</v>
      </c>
    </row>
    <row r="245" spans="1:4" x14ac:dyDescent="0.25">
      <c r="A245" s="24" t="s">
        <v>2193</v>
      </c>
      <c r="B245" s="9">
        <v>45400</v>
      </c>
      <c r="C245" s="6" t="s">
        <v>1573</v>
      </c>
      <c r="D245" s="13">
        <v>4</v>
      </c>
    </row>
    <row r="246" spans="1:4" x14ac:dyDescent="0.25">
      <c r="A246" s="24" t="s">
        <v>2194</v>
      </c>
      <c r="B246" s="9">
        <v>45740</v>
      </c>
      <c r="C246" s="6" t="s">
        <v>1710</v>
      </c>
      <c r="D246" s="13">
        <v>9</v>
      </c>
    </row>
    <row r="247" spans="1:4" x14ac:dyDescent="0.25">
      <c r="A247" s="24" t="s">
        <v>2195</v>
      </c>
      <c r="B247" s="9">
        <v>45307</v>
      </c>
      <c r="C247" s="6" t="s">
        <v>1847</v>
      </c>
      <c r="D247" s="13">
        <v>5</v>
      </c>
    </row>
    <row r="248" spans="1:4" x14ac:dyDescent="0.25">
      <c r="A248" s="24" t="s">
        <v>2196</v>
      </c>
      <c r="B248" s="9">
        <v>45992</v>
      </c>
      <c r="C248" s="6" t="s">
        <v>1484</v>
      </c>
      <c r="D248" s="13">
        <v>11</v>
      </c>
    </row>
    <row r="249" spans="1:4" x14ac:dyDescent="0.25">
      <c r="A249" s="24" t="s">
        <v>2197</v>
      </c>
      <c r="B249" s="9">
        <v>45556</v>
      </c>
      <c r="C249" s="6" t="s">
        <v>1621</v>
      </c>
      <c r="D249" s="13">
        <v>7</v>
      </c>
    </row>
    <row r="250" spans="1:4" x14ac:dyDescent="0.25">
      <c r="A250" s="24" t="s">
        <v>2198</v>
      </c>
      <c r="B250" s="9">
        <v>45876</v>
      </c>
      <c r="C250" s="6" t="s">
        <v>1758</v>
      </c>
      <c r="D250" s="13">
        <v>3</v>
      </c>
    </row>
    <row r="251" spans="1:4" x14ac:dyDescent="0.25">
      <c r="A251" s="24" t="s">
        <v>2199</v>
      </c>
      <c r="B251" s="9">
        <v>45493</v>
      </c>
      <c r="C251" s="6" t="s">
        <v>1895</v>
      </c>
      <c r="D251" s="13">
        <v>12</v>
      </c>
    </row>
    <row r="252" spans="1:4" x14ac:dyDescent="0.25">
      <c r="A252" s="24" t="s">
        <v>2200</v>
      </c>
      <c r="B252" s="9">
        <v>45659</v>
      </c>
      <c r="C252" s="6" t="s">
        <v>1532</v>
      </c>
      <c r="D252" s="13">
        <v>6</v>
      </c>
    </row>
    <row r="253" spans="1:4" x14ac:dyDescent="0.25">
      <c r="A253" s="24" t="s">
        <v>2201</v>
      </c>
      <c r="B253" s="9">
        <v>45578</v>
      </c>
      <c r="C253" s="6" t="s">
        <v>1669</v>
      </c>
      <c r="D253" s="13">
        <v>10</v>
      </c>
    </row>
    <row r="254" spans="1:4" x14ac:dyDescent="0.25">
      <c r="A254" s="24" t="s">
        <v>2202</v>
      </c>
      <c r="B254" s="9">
        <v>45818</v>
      </c>
      <c r="C254" s="6" t="s">
        <v>1806</v>
      </c>
      <c r="D254" s="13">
        <v>4</v>
      </c>
    </row>
    <row r="255" spans="1:4" x14ac:dyDescent="0.25">
      <c r="A255" s="24" t="s">
        <v>2203</v>
      </c>
      <c r="B255" s="9">
        <v>45362</v>
      </c>
      <c r="C255" s="6" t="s">
        <v>1543</v>
      </c>
      <c r="D255" s="13">
        <v>14</v>
      </c>
    </row>
    <row r="256" spans="1:4" x14ac:dyDescent="0.25">
      <c r="A256" s="24" t="s">
        <v>2204</v>
      </c>
      <c r="B256" s="9">
        <v>45973</v>
      </c>
      <c r="C256" s="6" t="s">
        <v>1680</v>
      </c>
      <c r="D256" s="13">
        <v>1</v>
      </c>
    </row>
    <row r="257" spans="1:4" x14ac:dyDescent="0.25">
      <c r="A257" s="24" t="s">
        <v>2205</v>
      </c>
      <c r="B257" s="9">
        <v>45437</v>
      </c>
      <c r="C257" s="6" t="s">
        <v>1817</v>
      </c>
      <c r="D257" s="13">
        <v>8</v>
      </c>
    </row>
    <row r="258" spans="1:4" x14ac:dyDescent="0.25">
      <c r="A258" s="24" t="s">
        <v>2206</v>
      </c>
      <c r="B258" s="9">
        <v>45755</v>
      </c>
      <c r="C258" s="6" t="s">
        <v>1554</v>
      </c>
      <c r="D258" s="13">
        <v>5</v>
      </c>
    </row>
    <row r="259" spans="1:4" x14ac:dyDescent="0.25">
      <c r="A259" s="24" t="s">
        <v>2207</v>
      </c>
      <c r="B259" s="9">
        <v>45635</v>
      </c>
      <c r="C259" s="6" t="s">
        <v>1691</v>
      </c>
      <c r="D259" s="13">
        <v>11</v>
      </c>
    </row>
    <row r="260" spans="1:4" x14ac:dyDescent="0.25">
      <c r="A260" s="24" t="s">
        <v>2208</v>
      </c>
      <c r="B260" s="9">
        <v>45917</v>
      </c>
      <c r="C260" s="6" t="s">
        <v>1828</v>
      </c>
      <c r="D260" s="13">
        <v>7</v>
      </c>
    </row>
    <row r="261" spans="1:4" x14ac:dyDescent="0.25">
      <c r="A261" s="24" t="s">
        <v>2209</v>
      </c>
      <c r="B261" s="9">
        <v>45336</v>
      </c>
      <c r="C261" s="6" t="s">
        <v>1505</v>
      </c>
      <c r="D261" s="13">
        <v>2</v>
      </c>
    </row>
    <row r="262" spans="1:4" x14ac:dyDescent="0.25">
      <c r="A262" s="24" t="s">
        <v>2210</v>
      </c>
      <c r="B262" s="9">
        <v>45867</v>
      </c>
      <c r="C262" s="6" t="s">
        <v>1642</v>
      </c>
      <c r="D262" s="13">
        <v>13</v>
      </c>
    </row>
    <row r="263" spans="1:4" x14ac:dyDescent="0.25">
      <c r="A263" s="24" t="s">
        <v>2211</v>
      </c>
      <c r="B263" s="9">
        <v>45530</v>
      </c>
      <c r="C263" s="6" t="s">
        <v>1779</v>
      </c>
      <c r="D263" s="13">
        <v>9</v>
      </c>
    </row>
    <row r="264" spans="1:4" x14ac:dyDescent="0.25">
      <c r="A264" s="24" t="s">
        <v>2212</v>
      </c>
      <c r="B264" s="9">
        <v>45720</v>
      </c>
      <c r="C264" s="6" t="s">
        <v>1916</v>
      </c>
      <c r="D264" s="13">
        <v>6</v>
      </c>
    </row>
    <row r="265" spans="1:4" x14ac:dyDescent="0.25">
      <c r="A265" s="24" t="s">
        <v>2213</v>
      </c>
      <c r="B265" s="9">
        <v>45611</v>
      </c>
      <c r="C265" s="6" t="s">
        <v>1573</v>
      </c>
      <c r="D265" s="13">
        <v>12</v>
      </c>
    </row>
    <row r="266" spans="1:4" x14ac:dyDescent="0.25">
      <c r="A266" s="24" t="s">
        <v>2214</v>
      </c>
      <c r="B266" s="9">
        <v>45936</v>
      </c>
      <c r="C266" s="6" t="s">
        <v>1710</v>
      </c>
      <c r="D266" s="13">
        <v>3</v>
      </c>
    </row>
    <row r="267" spans="1:4" x14ac:dyDescent="0.25">
      <c r="A267" s="24" t="s">
        <v>2215</v>
      </c>
      <c r="B267" s="9">
        <v>45470</v>
      </c>
      <c r="C267" s="6" t="s">
        <v>1847</v>
      </c>
      <c r="D267" s="13">
        <v>10</v>
      </c>
    </row>
    <row r="268" spans="1:4" x14ac:dyDescent="0.25">
      <c r="A268" s="24" t="s">
        <v>2216</v>
      </c>
      <c r="B268" s="9">
        <v>45676</v>
      </c>
      <c r="C268" s="6" t="s">
        <v>1484</v>
      </c>
      <c r="D268" s="13">
        <v>4</v>
      </c>
    </row>
    <row r="269" spans="1:4" x14ac:dyDescent="0.25">
      <c r="A269" s="24" t="s">
        <v>2217</v>
      </c>
      <c r="B269" s="9">
        <v>45407</v>
      </c>
      <c r="C269" s="6" t="s">
        <v>1621</v>
      </c>
      <c r="D269" s="13">
        <v>8</v>
      </c>
    </row>
    <row r="270" spans="1:4" x14ac:dyDescent="0.25">
      <c r="A270" s="24" t="s">
        <v>2218</v>
      </c>
      <c r="B270" s="9">
        <v>46008</v>
      </c>
      <c r="C270" s="6" t="s">
        <v>1758</v>
      </c>
      <c r="D270" s="13">
        <v>5</v>
      </c>
    </row>
    <row r="271" spans="1:4" x14ac:dyDescent="0.25">
      <c r="A271" s="24" t="s">
        <v>2219</v>
      </c>
      <c r="B271" s="9">
        <v>45544</v>
      </c>
      <c r="C271" s="6" t="s">
        <v>1895</v>
      </c>
      <c r="D271" s="13">
        <v>11</v>
      </c>
    </row>
    <row r="272" spans="1:4" x14ac:dyDescent="0.25">
      <c r="A272" s="24" t="s">
        <v>2220</v>
      </c>
      <c r="B272" s="9">
        <v>45794</v>
      </c>
      <c r="C272" s="6" t="s">
        <v>1532</v>
      </c>
      <c r="D272" s="13">
        <v>7</v>
      </c>
    </row>
    <row r="273" spans="1:4" x14ac:dyDescent="0.25">
      <c r="A273" s="24" t="s">
        <v>2221</v>
      </c>
      <c r="B273" s="9">
        <v>45485</v>
      </c>
      <c r="C273" s="6" t="s">
        <v>1669</v>
      </c>
      <c r="D273" s="13">
        <v>1</v>
      </c>
    </row>
    <row r="274" spans="1:4" x14ac:dyDescent="0.25">
      <c r="A274" s="24" t="s">
        <v>2222</v>
      </c>
      <c r="B274" s="9">
        <v>45710</v>
      </c>
      <c r="C274" s="6" t="s">
        <v>1806</v>
      </c>
      <c r="D274" s="13">
        <v>14</v>
      </c>
    </row>
    <row r="275" spans="1:4" x14ac:dyDescent="0.25">
      <c r="A275" s="24" t="s">
        <v>2223</v>
      </c>
      <c r="B275" s="9">
        <v>45299</v>
      </c>
      <c r="C275" s="6" t="s">
        <v>1543</v>
      </c>
      <c r="D275" s="13">
        <v>6</v>
      </c>
    </row>
    <row r="276" spans="1:4" x14ac:dyDescent="0.25">
      <c r="A276" s="24" t="s">
        <v>2224</v>
      </c>
      <c r="B276" s="9">
        <v>45888</v>
      </c>
      <c r="C276" s="6" t="s">
        <v>1680</v>
      </c>
      <c r="D276" s="13">
        <v>9</v>
      </c>
    </row>
    <row r="277" spans="1:4" x14ac:dyDescent="0.25">
      <c r="A277" s="24" t="s">
        <v>2225</v>
      </c>
      <c r="B277" s="9">
        <v>45581</v>
      </c>
      <c r="C277" s="6" t="s">
        <v>1817</v>
      </c>
      <c r="D277" s="13">
        <v>12</v>
      </c>
    </row>
    <row r="278" spans="1:4" x14ac:dyDescent="0.25">
      <c r="A278" s="24" t="s">
        <v>2226</v>
      </c>
      <c r="B278" s="9">
        <v>45731</v>
      </c>
      <c r="C278" s="6" t="s">
        <v>1554</v>
      </c>
      <c r="D278" s="13">
        <v>2</v>
      </c>
    </row>
    <row r="279" spans="1:4" x14ac:dyDescent="0.25">
      <c r="A279" s="24" t="s">
        <v>2227</v>
      </c>
      <c r="B279" s="9">
        <v>45414</v>
      </c>
      <c r="C279" s="6" t="s">
        <v>1691</v>
      </c>
      <c r="D279" s="13">
        <v>10</v>
      </c>
    </row>
    <row r="280" spans="1:4" x14ac:dyDescent="0.25">
      <c r="A280" s="24" t="s">
        <v>2228</v>
      </c>
      <c r="B280" s="9">
        <v>45966</v>
      </c>
      <c r="C280" s="6" t="s">
        <v>1828</v>
      </c>
      <c r="D280" s="13">
        <v>4</v>
      </c>
    </row>
    <row r="281" spans="1:4" x14ac:dyDescent="0.25">
      <c r="A281" s="24" t="s">
        <v>2229</v>
      </c>
      <c r="B281" s="9">
        <v>45637</v>
      </c>
      <c r="C281" s="6" t="s">
        <v>1505</v>
      </c>
      <c r="D281" s="13">
        <v>8</v>
      </c>
    </row>
    <row r="282" spans="1:4" x14ac:dyDescent="0.25">
      <c r="A282" s="24" t="s">
        <v>2230</v>
      </c>
      <c r="B282" s="9">
        <v>45838</v>
      </c>
      <c r="C282" s="6" t="s">
        <v>1642</v>
      </c>
      <c r="D282" s="13">
        <v>3</v>
      </c>
    </row>
    <row r="283" spans="1:4" x14ac:dyDescent="0.25">
      <c r="A283" s="24" t="s">
        <v>2231</v>
      </c>
      <c r="B283" s="9">
        <v>45368</v>
      </c>
      <c r="C283" s="6" t="s">
        <v>1779</v>
      </c>
      <c r="D283" s="13">
        <v>13</v>
      </c>
    </row>
    <row r="284" spans="1:4" x14ac:dyDescent="0.25">
      <c r="A284" s="24" t="s">
        <v>2232</v>
      </c>
      <c r="B284" s="9">
        <v>45922</v>
      </c>
      <c r="C284" s="6" t="s">
        <v>1916</v>
      </c>
      <c r="D284" s="13">
        <v>5</v>
      </c>
    </row>
    <row r="285" spans="1:4" x14ac:dyDescent="0.25">
      <c r="A285" s="24" t="s">
        <v>2233</v>
      </c>
      <c r="B285" s="9">
        <v>45505</v>
      </c>
      <c r="C285" s="6" t="s">
        <v>1573</v>
      </c>
      <c r="D285" s="13">
        <v>11</v>
      </c>
    </row>
    <row r="286" spans="1:4" x14ac:dyDescent="0.25">
      <c r="A286" s="24" t="s">
        <v>2234</v>
      </c>
      <c r="B286" s="9">
        <v>45775</v>
      </c>
      <c r="C286" s="6" t="s">
        <v>1710</v>
      </c>
      <c r="D286" s="13">
        <v>7</v>
      </c>
    </row>
    <row r="287" spans="1:4" x14ac:dyDescent="0.25">
      <c r="A287" s="24" t="s">
        <v>2235</v>
      </c>
      <c r="B287" s="9">
        <v>45618</v>
      </c>
      <c r="C287" s="6" t="s">
        <v>1847</v>
      </c>
      <c r="D287" s="13">
        <v>1</v>
      </c>
    </row>
    <row r="288" spans="1:4" x14ac:dyDescent="0.25">
      <c r="A288" s="24" t="s">
        <v>2236</v>
      </c>
      <c r="B288" s="9">
        <v>45840</v>
      </c>
      <c r="C288" s="6" t="s">
        <v>1484</v>
      </c>
      <c r="D288" s="13">
        <v>9</v>
      </c>
    </row>
    <row r="289" spans="1:4" x14ac:dyDescent="0.25">
      <c r="A289" s="24" t="s">
        <v>2237</v>
      </c>
      <c r="B289" s="9">
        <v>45341</v>
      </c>
      <c r="C289" s="6" t="s">
        <v>1621</v>
      </c>
      <c r="D289" s="13">
        <v>6</v>
      </c>
    </row>
    <row r="290" spans="1:4" x14ac:dyDescent="0.25">
      <c r="A290" s="24" t="s">
        <v>2238</v>
      </c>
      <c r="B290" s="9">
        <v>45939</v>
      </c>
      <c r="C290" s="6" t="s">
        <v>1758</v>
      </c>
      <c r="D290" s="13">
        <v>12</v>
      </c>
    </row>
    <row r="291" spans="1:4" x14ac:dyDescent="0.25">
      <c r="A291" s="24" t="s">
        <v>2239</v>
      </c>
      <c r="B291" s="9">
        <v>45448</v>
      </c>
      <c r="C291" s="6" t="s">
        <v>1895</v>
      </c>
      <c r="D291" s="13">
        <v>4</v>
      </c>
    </row>
    <row r="292" spans="1:4" x14ac:dyDescent="0.25">
      <c r="A292" s="24" t="s">
        <v>2240</v>
      </c>
      <c r="B292" s="9">
        <v>45682</v>
      </c>
      <c r="C292" s="6" t="s">
        <v>1532</v>
      </c>
      <c r="D292" s="13">
        <v>10</v>
      </c>
    </row>
    <row r="293" spans="1:4" x14ac:dyDescent="0.25">
      <c r="A293" s="24" t="s">
        <v>2241</v>
      </c>
      <c r="B293" s="9">
        <v>45561</v>
      </c>
      <c r="C293" s="6" t="s">
        <v>1669</v>
      </c>
      <c r="D293" s="13">
        <v>8</v>
      </c>
    </row>
    <row r="294" spans="1:4" x14ac:dyDescent="0.25">
      <c r="A294" s="24" t="s">
        <v>2242</v>
      </c>
      <c r="B294" s="9">
        <v>45785</v>
      </c>
      <c r="C294" s="6" t="s">
        <v>1806</v>
      </c>
      <c r="D294" s="13">
        <v>2</v>
      </c>
    </row>
    <row r="295" spans="1:4" x14ac:dyDescent="0.25">
      <c r="A295" s="24" t="s">
        <v>2243</v>
      </c>
      <c r="B295" s="9">
        <v>45385</v>
      </c>
      <c r="C295" s="6" t="s">
        <v>1543</v>
      </c>
      <c r="D295" s="13">
        <v>14</v>
      </c>
    </row>
    <row r="296" spans="1:4" x14ac:dyDescent="0.25">
      <c r="A296" s="24" t="s">
        <v>2244</v>
      </c>
      <c r="B296" s="9">
        <v>46015</v>
      </c>
      <c r="C296" s="6" t="s">
        <v>1680</v>
      </c>
      <c r="D296" s="13">
        <v>5</v>
      </c>
    </row>
    <row r="297" spans="1:4" x14ac:dyDescent="0.25">
      <c r="A297" s="24" t="s">
        <v>2245</v>
      </c>
      <c r="B297" s="9">
        <v>45489</v>
      </c>
      <c r="C297" s="6" t="s">
        <v>1817</v>
      </c>
      <c r="D297" s="13">
        <v>11</v>
      </c>
    </row>
    <row r="298" spans="1:4" x14ac:dyDescent="0.25">
      <c r="A298" s="24" t="s">
        <v>2246</v>
      </c>
      <c r="B298" s="9">
        <v>45736</v>
      </c>
      <c r="C298" s="6" t="s">
        <v>1554</v>
      </c>
      <c r="D298" s="13">
        <v>7</v>
      </c>
    </row>
    <row r="299" spans="1:4" x14ac:dyDescent="0.25">
      <c r="A299" s="24" t="s">
        <v>2247</v>
      </c>
      <c r="B299" s="9">
        <v>45569</v>
      </c>
      <c r="C299" s="6" t="s">
        <v>1691</v>
      </c>
      <c r="D299" s="13">
        <v>3</v>
      </c>
    </row>
    <row r="300" spans="1:4" x14ac:dyDescent="0.25">
      <c r="A300" s="24" t="s">
        <v>2248</v>
      </c>
      <c r="B300" s="9">
        <v>45882</v>
      </c>
      <c r="C300" s="6" t="s">
        <v>1828</v>
      </c>
      <c r="D300" s="13">
        <v>9</v>
      </c>
    </row>
    <row r="301" spans="1:4" x14ac:dyDescent="0.25">
      <c r="A301" s="24" t="s">
        <v>2249</v>
      </c>
      <c r="B301" s="9">
        <v>45321</v>
      </c>
      <c r="C301" s="6" t="s">
        <v>1505</v>
      </c>
      <c r="D301" s="13">
        <v>6</v>
      </c>
    </row>
    <row r="302" spans="1:4" x14ac:dyDescent="0.25">
      <c r="A302" s="24" t="s">
        <v>2250</v>
      </c>
      <c r="B302" s="9">
        <v>45988</v>
      </c>
      <c r="C302" s="6" t="s">
        <v>1642</v>
      </c>
      <c r="D302" s="13">
        <v>12</v>
      </c>
    </row>
    <row r="303" spans="1:4" x14ac:dyDescent="0.25">
      <c r="A303" s="24" t="s">
        <v>2251</v>
      </c>
      <c r="B303" s="9">
        <v>45431</v>
      </c>
      <c r="C303" s="6" t="s">
        <v>1779</v>
      </c>
      <c r="D303" s="13">
        <v>1</v>
      </c>
    </row>
    <row r="304" spans="1:4" x14ac:dyDescent="0.25">
      <c r="A304" s="24" t="s">
        <v>2252</v>
      </c>
      <c r="B304" s="9">
        <v>45694</v>
      </c>
      <c r="C304" s="6" t="s">
        <v>1916</v>
      </c>
      <c r="D304" s="13">
        <v>13</v>
      </c>
    </row>
    <row r="305" spans="1:4" x14ac:dyDescent="0.25">
      <c r="A305" s="24" t="s">
        <v>2253</v>
      </c>
      <c r="B305" s="9">
        <v>45652</v>
      </c>
      <c r="C305" s="6" t="s">
        <v>1573</v>
      </c>
      <c r="D305" s="13">
        <v>8</v>
      </c>
    </row>
    <row r="306" spans="1:4" x14ac:dyDescent="0.25">
      <c r="A306" s="24" t="s">
        <v>2254</v>
      </c>
      <c r="B306" s="9">
        <v>45859</v>
      </c>
      <c r="C306" s="6" t="s">
        <v>1710</v>
      </c>
      <c r="D306" s="13">
        <v>4</v>
      </c>
    </row>
    <row r="307" spans="1:4" x14ac:dyDescent="0.25">
      <c r="A307" s="24" t="s">
        <v>2255</v>
      </c>
      <c r="B307" s="9">
        <v>45538</v>
      </c>
      <c r="C307" s="6" t="s">
        <v>1847</v>
      </c>
      <c r="D307" s="13">
        <v>10</v>
      </c>
    </row>
    <row r="308" spans="1:4" x14ac:dyDescent="0.25">
      <c r="A308" s="24" t="s">
        <v>2256</v>
      </c>
      <c r="B308" s="9">
        <v>45758</v>
      </c>
      <c r="C308" s="6" t="s">
        <v>1484</v>
      </c>
      <c r="D308" s="13">
        <v>5</v>
      </c>
    </row>
    <row r="309" spans="1:4" x14ac:dyDescent="0.25">
      <c r="A309" s="24" t="s">
        <v>2257</v>
      </c>
      <c r="B309" s="9">
        <v>45381</v>
      </c>
      <c r="C309" s="6" t="s">
        <v>1621</v>
      </c>
      <c r="D309" s="13">
        <v>11</v>
      </c>
    </row>
    <row r="310" spans="1:4" x14ac:dyDescent="0.25">
      <c r="A310" s="24" t="s">
        <v>2258</v>
      </c>
      <c r="B310" s="9">
        <v>45931</v>
      </c>
      <c r="C310" s="6" t="s">
        <v>1758</v>
      </c>
      <c r="D310" s="13">
        <v>7</v>
      </c>
    </row>
    <row r="311" spans="1:4" x14ac:dyDescent="0.25">
      <c r="A311" s="24" t="s">
        <v>2259</v>
      </c>
      <c r="B311" s="9">
        <v>45522</v>
      </c>
      <c r="C311" s="6" t="s">
        <v>1895</v>
      </c>
      <c r="D311" s="13">
        <v>2</v>
      </c>
    </row>
    <row r="312" spans="1:4" x14ac:dyDescent="0.25">
      <c r="A312" s="24" t="s">
        <v>2260</v>
      </c>
      <c r="B312" s="9">
        <v>45811</v>
      </c>
      <c r="C312" s="6" t="s">
        <v>1532</v>
      </c>
      <c r="D312" s="13">
        <v>9</v>
      </c>
    </row>
    <row r="313" spans="1:4" x14ac:dyDescent="0.25">
      <c r="A313" s="24" t="s">
        <v>2261</v>
      </c>
      <c r="B313" s="9">
        <v>45605</v>
      </c>
      <c r="C313" s="6" t="s">
        <v>1669</v>
      </c>
      <c r="D313" s="13">
        <v>6</v>
      </c>
    </row>
    <row r="314" spans="1:4" x14ac:dyDescent="0.25">
      <c r="A314" s="24" t="s">
        <v>2262</v>
      </c>
      <c r="B314" s="9">
        <v>45671</v>
      </c>
      <c r="C314" s="6" t="s">
        <v>1806</v>
      </c>
      <c r="D314" s="13">
        <v>12</v>
      </c>
    </row>
    <row r="315" spans="1:4" x14ac:dyDescent="0.25">
      <c r="A315" s="24" t="s">
        <v>2263</v>
      </c>
      <c r="B315" s="9">
        <v>45477</v>
      </c>
      <c r="C315" s="6" t="s">
        <v>1543</v>
      </c>
      <c r="D315" s="13">
        <v>3</v>
      </c>
    </row>
    <row r="316" spans="1:4" x14ac:dyDescent="0.25">
      <c r="A316" s="24" t="s">
        <v>2264</v>
      </c>
      <c r="B316" s="9">
        <v>45905</v>
      </c>
      <c r="C316" s="6" t="s">
        <v>1680</v>
      </c>
      <c r="D316" s="13">
        <v>14</v>
      </c>
    </row>
    <row r="317" spans="1:4" x14ac:dyDescent="0.25">
      <c r="A317" s="24" t="s">
        <v>2265</v>
      </c>
      <c r="B317" s="9">
        <v>45347</v>
      </c>
      <c r="C317" s="6" t="s">
        <v>1817</v>
      </c>
      <c r="D317" s="13">
        <v>5</v>
      </c>
    </row>
    <row r="318" spans="1:4" x14ac:dyDescent="0.25">
      <c r="A318" s="24" t="s">
        <v>2266</v>
      </c>
      <c r="B318" s="9">
        <v>45803</v>
      </c>
      <c r="C318" s="6" t="s">
        <v>1554</v>
      </c>
      <c r="D318" s="13">
        <v>10</v>
      </c>
    </row>
    <row r="319" spans="1:4" x14ac:dyDescent="0.25">
      <c r="A319" s="24" t="s">
        <v>2267</v>
      </c>
      <c r="B319" s="9">
        <v>45584</v>
      </c>
      <c r="C319" s="6" t="s">
        <v>1691</v>
      </c>
      <c r="D319" s="13">
        <v>8</v>
      </c>
    </row>
    <row r="320" spans="1:4" x14ac:dyDescent="0.25">
      <c r="A320" s="24" t="s">
        <v>2268</v>
      </c>
      <c r="B320" s="9">
        <v>46001</v>
      </c>
      <c r="C320" s="6" t="s">
        <v>1828</v>
      </c>
      <c r="D320" s="13">
        <v>1</v>
      </c>
    </row>
    <row r="321" spans="1:4" x14ac:dyDescent="0.25">
      <c r="A321" s="24" t="s">
        <v>2269</v>
      </c>
      <c r="B321" s="9">
        <v>45402</v>
      </c>
      <c r="C321" s="6" t="s">
        <v>1505</v>
      </c>
      <c r="D321" s="13">
        <v>11</v>
      </c>
    </row>
    <row r="322" spans="1:4" x14ac:dyDescent="0.25">
      <c r="A322" s="24" t="s">
        <v>2270</v>
      </c>
      <c r="B322" s="9">
        <v>45723</v>
      </c>
      <c r="C322" s="6" t="s">
        <v>1642</v>
      </c>
      <c r="D322" s="13">
        <v>7</v>
      </c>
    </row>
    <row r="323" spans="1:4" x14ac:dyDescent="0.25">
      <c r="A323" s="24" t="s">
        <v>2271</v>
      </c>
      <c r="B323" s="9">
        <v>45457</v>
      </c>
      <c r="C323" s="6" t="s">
        <v>1779</v>
      </c>
      <c r="D323" s="13">
        <v>4</v>
      </c>
    </row>
    <row r="324" spans="1:4" x14ac:dyDescent="0.25">
      <c r="A324" s="24" t="s">
        <v>2272</v>
      </c>
      <c r="B324" s="9">
        <v>45894</v>
      </c>
      <c r="C324" s="6" t="s">
        <v>1916</v>
      </c>
      <c r="D324" s="13">
        <v>13</v>
      </c>
    </row>
    <row r="325" spans="1:4" x14ac:dyDescent="0.25">
      <c r="A325" s="24" t="s">
        <v>2273</v>
      </c>
      <c r="B325" s="9">
        <v>45313</v>
      </c>
      <c r="C325" s="6" t="s">
        <v>1573</v>
      </c>
      <c r="D325" s="13">
        <v>9</v>
      </c>
    </row>
    <row r="326" spans="1:4" x14ac:dyDescent="0.25">
      <c r="A326" s="24" t="s">
        <v>2274</v>
      </c>
      <c r="B326" s="9">
        <v>45977</v>
      </c>
      <c r="C326" s="6" t="s">
        <v>1710</v>
      </c>
      <c r="D326" s="13">
        <v>6</v>
      </c>
    </row>
    <row r="327" spans="1:4" x14ac:dyDescent="0.25">
      <c r="A327" s="24" t="s">
        <v>2275</v>
      </c>
      <c r="B327" s="9">
        <v>45549</v>
      </c>
      <c r="C327" s="6" t="s">
        <v>1847</v>
      </c>
      <c r="D327" s="13">
        <v>2</v>
      </c>
    </row>
    <row r="328" spans="1:4" x14ac:dyDescent="0.25">
      <c r="A328" s="24" t="s">
        <v>2276</v>
      </c>
      <c r="B328" s="9">
        <v>45847</v>
      </c>
      <c r="C328" s="6" t="s">
        <v>1484</v>
      </c>
      <c r="D328" s="13">
        <v>12</v>
      </c>
    </row>
    <row r="329" spans="1:4" x14ac:dyDescent="0.25">
      <c r="A329" s="24" t="s">
        <v>2277</v>
      </c>
      <c r="B329" s="9">
        <v>45423</v>
      </c>
      <c r="C329" s="6" t="s">
        <v>1621</v>
      </c>
      <c r="D329" s="13">
        <v>5</v>
      </c>
    </row>
    <row r="330" spans="1:4" x14ac:dyDescent="0.25">
      <c r="A330" s="24" t="s">
        <v>2278</v>
      </c>
      <c r="B330" s="9">
        <v>45706</v>
      </c>
      <c r="C330" s="6" t="s">
        <v>1758</v>
      </c>
      <c r="D330" s="13">
        <v>10</v>
      </c>
    </row>
    <row r="331" spans="1:4" x14ac:dyDescent="0.25">
      <c r="A331" s="24" t="s">
        <v>2279</v>
      </c>
      <c r="B331" s="9">
        <v>45631</v>
      </c>
      <c r="C331" s="6" t="s">
        <v>1895</v>
      </c>
      <c r="D331" s="13">
        <v>8</v>
      </c>
    </row>
    <row r="332" spans="1:4" x14ac:dyDescent="0.25">
      <c r="A332" s="24" t="s">
        <v>2280</v>
      </c>
      <c r="B332" s="9">
        <v>45952</v>
      </c>
      <c r="C332" s="6" t="s">
        <v>1532</v>
      </c>
      <c r="D332" s="13">
        <v>3</v>
      </c>
    </row>
    <row r="333" spans="1:4" x14ac:dyDescent="0.25">
      <c r="A333" s="24" t="s">
        <v>2281</v>
      </c>
      <c r="B333" s="9">
        <v>45355</v>
      </c>
      <c r="C333" s="6" t="s">
        <v>1669</v>
      </c>
      <c r="D333" s="13">
        <v>11</v>
      </c>
    </row>
    <row r="334" spans="1:4" x14ac:dyDescent="0.25">
      <c r="A334" s="24" t="s">
        <v>2282</v>
      </c>
      <c r="B334" s="9">
        <v>45827</v>
      </c>
      <c r="C334" s="6" t="s">
        <v>1806</v>
      </c>
      <c r="D334" s="13">
        <v>7</v>
      </c>
    </row>
    <row r="335" spans="1:4" x14ac:dyDescent="0.25">
      <c r="A335" s="24" t="s">
        <v>2283</v>
      </c>
      <c r="B335" s="9">
        <v>45516</v>
      </c>
      <c r="C335" s="6" t="s">
        <v>1543</v>
      </c>
      <c r="D335" s="13">
        <v>1</v>
      </c>
    </row>
    <row r="336" spans="1:4" x14ac:dyDescent="0.25">
      <c r="A336" s="24" t="s">
        <v>2284</v>
      </c>
      <c r="B336" s="9">
        <v>45749</v>
      </c>
      <c r="C336" s="6" t="s">
        <v>1680</v>
      </c>
      <c r="D336" s="13">
        <v>14</v>
      </c>
    </row>
    <row r="337" spans="1:4" x14ac:dyDescent="0.25">
      <c r="A337" s="24" t="s">
        <v>2285</v>
      </c>
      <c r="B337" s="9">
        <v>45597</v>
      </c>
      <c r="C337" s="6" t="s">
        <v>1817</v>
      </c>
      <c r="D337" s="13">
        <v>6</v>
      </c>
    </row>
    <row r="338" spans="1:4" x14ac:dyDescent="0.25">
      <c r="A338" s="24" t="s">
        <v>2286</v>
      </c>
      <c r="B338" s="9">
        <v>45928</v>
      </c>
      <c r="C338" s="6" t="s">
        <v>1554</v>
      </c>
      <c r="D338" s="13">
        <v>9</v>
      </c>
    </row>
    <row r="339" spans="1:4" x14ac:dyDescent="0.25">
      <c r="A339" s="24" t="s">
        <v>2287</v>
      </c>
      <c r="B339" s="9">
        <v>45498</v>
      </c>
      <c r="C339" s="6" t="s">
        <v>1691</v>
      </c>
      <c r="D339" s="13">
        <v>4</v>
      </c>
    </row>
    <row r="340" spans="1:4" x14ac:dyDescent="0.25">
      <c r="A340" s="24" t="s">
        <v>2288</v>
      </c>
      <c r="B340" s="9">
        <v>45665</v>
      </c>
      <c r="C340" s="6" t="s">
        <v>1828</v>
      </c>
      <c r="D340" s="13">
        <v>12</v>
      </c>
    </row>
    <row r="341" spans="1:4" x14ac:dyDescent="0.25">
      <c r="A341" s="24" t="s">
        <v>2289</v>
      </c>
      <c r="B341" s="9">
        <v>45323</v>
      </c>
      <c r="C341" s="6" t="s">
        <v>1505</v>
      </c>
      <c r="D341" s="13">
        <v>5</v>
      </c>
    </row>
    <row r="342" spans="1:4" x14ac:dyDescent="0.25">
      <c r="A342" s="24" t="s">
        <v>2290</v>
      </c>
      <c r="B342" s="9">
        <v>45781</v>
      </c>
      <c r="C342" s="6" t="s">
        <v>1642</v>
      </c>
      <c r="D342" s="13">
        <v>10</v>
      </c>
    </row>
    <row r="343" spans="1:4" x14ac:dyDescent="0.25">
      <c r="A343" s="24" t="s">
        <v>2291</v>
      </c>
      <c r="B343" s="9">
        <v>45573</v>
      </c>
      <c r="C343" s="6" t="s">
        <v>1779</v>
      </c>
      <c r="D343" s="13">
        <v>2</v>
      </c>
    </row>
    <row r="344" spans="1:4" x14ac:dyDescent="0.25">
      <c r="A344" s="24" t="s">
        <v>2292</v>
      </c>
      <c r="B344" s="9">
        <v>45729</v>
      </c>
      <c r="C344" s="6" t="s">
        <v>1916</v>
      </c>
      <c r="D344" s="13">
        <v>13</v>
      </c>
    </row>
    <row r="345" spans="1:4" x14ac:dyDescent="0.25">
      <c r="A345" s="24" t="s">
        <v>2293</v>
      </c>
      <c r="B345" s="9">
        <v>45465</v>
      </c>
      <c r="C345" s="6" t="s">
        <v>1573</v>
      </c>
      <c r="D345" s="13">
        <v>8</v>
      </c>
    </row>
    <row r="346" spans="1:4" x14ac:dyDescent="0.25">
      <c r="A346" s="24" t="s">
        <v>2294</v>
      </c>
      <c r="B346" s="9">
        <v>45994</v>
      </c>
      <c r="C346" s="6" t="s">
        <v>1710</v>
      </c>
      <c r="D346" s="13">
        <v>11</v>
      </c>
    </row>
    <row r="347" spans="1:4" x14ac:dyDescent="0.25">
      <c r="A347" s="24" t="s">
        <v>2295</v>
      </c>
      <c r="B347" s="9">
        <v>45552</v>
      </c>
      <c r="C347" s="6" t="s">
        <v>1847</v>
      </c>
      <c r="D347" s="13">
        <v>3</v>
      </c>
    </row>
    <row r="348" spans="1:4" x14ac:dyDescent="0.25">
      <c r="A348" s="24" t="s">
        <v>2296</v>
      </c>
      <c r="B348" s="9">
        <v>45889</v>
      </c>
      <c r="C348" s="6" t="s">
        <v>1484</v>
      </c>
      <c r="D348" s="13">
        <v>9</v>
      </c>
    </row>
    <row r="349" spans="1:4" x14ac:dyDescent="0.25">
      <c r="A349" s="24" t="s">
        <v>2297</v>
      </c>
      <c r="B349" s="9">
        <v>45391</v>
      </c>
      <c r="C349" s="6" t="s">
        <v>1621</v>
      </c>
      <c r="D349" s="13">
        <v>7</v>
      </c>
    </row>
    <row r="350" spans="1:4" x14ac:dyDescent="0.25">
      <c r="A350" s="24" t="s">
        <v>2298</v>
      </c>
      <c r="B350" s="9">
        <v>45697</v>
      </c>
      <c r="C350" s="6" t="s">
        <v>1758</v>
      </c>
      <c r="D350" s="13">
        <v>1</v>
      </c>
    </row>
    <row r="351" spans="1:4" x14ac:dyDescent="0.25">
      <c r="A351" s="24" t="s">
        <v>2299</v>
      </c>
      <c r="B351" s="9">
        <v>45318</v>
      </c>
      <c r="C351" s="6" t="s">
        <v>1895</v>
      </c>
      <c r="D351" s="13">
        <v>14</v>
      </c>
    </row>
    <row r="352" spans="1:4" x14ac:dyDescent="0.25">
      <c r="A352" s="24" t="s">
        <v>2300</v>
      </c>
      <c r="B352" s="9">
        <v>45965</v>
      </c>
      <c r="C352" s="6" t="s">
        <v>1532</v>
      </c>
      <c r="D352" s="13">
        <v>6</v>
      </c>
    </row>
    <row r="353" spans="1:4" x14ac:dyDescent="0.25">
      <c r="A353" s="24" t="s">
        <v>2301</v>
      </c>
      <c r="B353" s="9">
        <v>45509</v>
      </c>
      <c r="C353" s="6" t="s">
        <v>1669</v>
      </c>
      <c r="D353" s="13">
        <v>10</v>
      </c>
    </row>
    <row r="354" spans="1:4" x14ac:dyDescent="0.25">
      <c r="A354" s="24" t="s">
        <v>2302</v>
      </c>
      <c r="B354" s="9">
        <v>45851</v>
      </c>
      <c r="C354" s="6" t="s">
        <v>1806</v>
      </c>
      <c r="D354" s="13">
        <v>4</v>
      </c>
    </row>
    <row r="355" spans="1:4" x14ac:dyDescent="0.25">
      <c r="A355" s="24" t="s">
        <v>2303</v>
      </c>
      <c r="B355" s="9">
        <v>45418</v>
      </c>
      <c r="C355" s="6" t="s">
        <v>1543</v>
      </c>
      <c r="D355" s="13">
        <v>12</v>
      </c>
    </row>
    <row r="356" spans="1:4" x14ac:dyDescent="0.25">
      <c r="A356" s="24" t="s">
        <v>2304</v>
      </c>
      <c r="B356" s="9">
        <v>45946</v>
      </c>
      <c r="C356" s="6" t="s">
        <v>1680</v>
      </c>
      <c r="D356" s="13">
        <v>5</v>
      </c>
    </row>
    <row r="357" spans="1:4" x14ac:dyDescent="0.25">
      <c r="A357" s="24" t="s">
        <v>2305</v>
      </c>
      <c r="B357" s="9">
        <v>45644</v>
      </c>
      <c r="C357" s="6" t="s">
        <v>1817</v>
      </c>
      <c r="D357" s="13">
        <v>8</v>
      </c>
    </row>
    <row r="358" spans="1:4" x14ac:dyDescent="0.25">
      <c r="A358" s="24" t="s">
        <v>2306</v>
      </c>
      <c r="B358" s="9">
        <v>45770</v>
      </c>
      <c r="C358" s="6" t="s">
        <v>1554</v>
      </c>
      <c r="D358" s="13">
        <v>2</v>
      </c>
    </row>
    <row r="359" spans="1:4" x14ac:dyDescent="0.25">
      <c r="A359" s="24" t="s">
        <v>2307</v>
      </c>
      <c r="B359" s="9">
        <v>45376</v>
      </c>
      <c r="C359" s="6" t="s">
        <v>1691</v>
      </c>
      <c r="D359" s="13">
        <v>13</v>
      </c>
    </row>
    <row r="360" spans="1:4" x14ac:dyDescent="0.25">
      <c r="A360" s="24" t="s">
        <v>2308</v>
      </c>
      <c r="B360" s="9">
        <v>45911</v>
      </c>
      <c r="C360" s="6" t="s">
        <v>1828</v>
      </c>
      <c r="D360" s="13">
        <v>9</v>
      </c>
    </row>
    <row r="361" spans="1:4" x14ac:dyDescent="0.25">
      <c r="A361" s="24" t="s">
        <v>2309</v>
      </c>
      <c r="B361" s="9">
        <v>45491</v>
      </c>
      <c r="C361" s="6" t="s">
        <v>1505</v>
      </c>
      <c r="D361" s="13">
        <v>7</v>
      </c>
    </row>
    <row r="362" spans="1:4" x14ac:dyDescent="0.25">
      <c r="A362" s="24" t="s">
        <v>2310</v>
      </c>
      <c r="B362" s="9">
        <v>45814</v>
      </c>
      <c r="C362" s="6" t="s">
        <v>1642</v>
      </c>
      <c r="D362" s="13">
        <v>11</v>
      </c>
    </row>
    <row r="363" spans="1:4" x14ac:dyDescent="0.25">
      <c r="A363" s="24" t="s">
        <v>2311</v>
      </c>
      <c r="B363" s="9">
        <v>45609</v>
      </c>
      <c r="C363" s="6" t="s">
        <v>1779</v>
      </c>
      <c r="D363" s="13">
        <v>3</v>
      </c>
    </row>
    <row r="364" spans="1:4" x14ac:dyDescent="0.25">
      <c r="A364" s="24" t="s">
        <v>2312</v>
      </c>
      <c r="B364" s="9">
        <v>45688</v>
      </c>
      <c r="C364" s="6" t="s">
        <v>1916</v>
      </c>
      <c r="D364" s="13">
        <v>10</v>
      </c>
    </row>
    <row r="365" spans="1:4" x14ac:dyDescent="0.25">
      <c r="A365" s="24" t="s">
        <v>2313</v>
      </c>
      <c r="B365" s="9">
        <v>45339</v>
      </c>
      <c r="C365" s="6" t="s">
        <v>1573</v>
      </c>
      <c r="D365" s="13">
        <v>6</v>
      </c>
    </row>
    <row r="366" spans="1:4" x14ac:dyDescent="0.25">
      <c r="A366" s="24" t="s">
        <v>2314</v>
      </c>
      <c r="B366" s="9">
        <v>45871</v>
      </c>
      <c r="C366" s="6" t="s">
        <v>1710</v>
      </c>
      <c r="D366" s="13">
        <v>12</v>
      </c>
    </row>
    <row r="367" spans="1:4" x14ac:dyDescent="0.25">
      <c r="A367" s="24" t="s">
        <v>2315</v>
      </c>
      <c r="B367" s="9">
        <v>45590</v>
      </c>
      <c r="C367" s="6" t="s">
        <v>1847</v>
      </c>
      <c r="D367" s="13">
        <v>1</v>
      </c>
    </row>
    <row r="368" spans="1:4" x14ac:dyDescent="0.25">
      <c r="A368" s="24" t="s">
        <v>2316</v>
      </c>
      <c r="B368" s="9">
        <v>45791</v>
      </c>
      <c r="C368" s="6" t="s">
        <v>1484</v>
      </c>
      <c r="D368" s="13">
        <v>14</v>
      </c>
    </row>
    <row r="369" spans="1:4" x14ac:dyDescent="0.25">
      <c r="A369" s="24" t="s">
        <v>2317</v>
      </c>
      <c r="B369" s="9">
        <v>45536</v>
      </c>
      <c r="C369" s="6" t="s">
        <v>1621</v>
      </c>
      <c r="D369" s="13">
        <v>5</v>
      </c>
    </row>
    <row r="370" spans="1:4" x14ac:dyDescent="0.25">
      <c r="A370" s="24" t="s">
        <v>2318</v>
      </c>
      <c r="B370" s="9">
        <v>45742</v>
      </c>
      <c r="C370" s="6" t="s">
        <v>1758</v>
      </c>
      <c r="D370" s="13">
        <v>9</v>
      </c>
    </row>
    <row r="371" spans="1:4" x14ac:dyDescent="0.25">
      <c r="A371" s="24" t="s">
        <v>2319</v>
      </c>
      <c r="B371" s="9">
        <v>45451</v>
      </c>
      <c r="C371" s="6" t="s">
        <v>1895</v>
      </c>
      <c r="D371" s="13">
        <v>8</v>
      </c>
    </row>
    <row r="372" spans="1:4" x14ac:dyDescent="0.25">
      <c r="A372" s="24" t="s">
        <v>2320</v>
      </c>
      <c r="B372" s="9">
        <v>46011</v>
      </c>
      <c r="C372" s="6" t="s">
        <v>1532</v>
      </c>
      <c r="D372" s="13">
        <v>4</v>
      </c>
    </row>
    <row r="373" spans="1:4" x14ac:dyDescent="0.25">
      <c r="A373" s="24" t="s">
        <v>2321</v>
      </c>
      <c r="B373" s="9">
        <v>45398</v>
      </c>
      <c r="C373" s="6" t="s">
        <v>1669</v>
      </c>
      <c r="D373" s="13">
        <v>11</v>
      </c>
    </row>
    <row r="374" spans="1:4" x14ac:dyDescent="0.25">
      <c r="A374" s="24" t="s">
        <v>2322</v>
      </c>
      <c r="B374" s="9">
        <v>45865</v>
      </c>
      <c r="C374" s="6" t="s">
        <v>1806</v>
      </c>
      <c r="D374" s="13">
        <v>7</v>
      </c>
    </row>
    <row r="375" spans="1:4" x14ac:dyDescent="0.25">
      <c r="A375" s="24" t="s">
        <v>2323</v>
      </c>
      <c r="B375" s="9">
        <v>45310</v>
      </c>
      <c r="C375" s="6" t="s">
        <v>1543</v>
      </c>
      <c r="D375" s="13">
        <v>2</v>
      </c>
    </row>
    <row r="376" spans="1:4" x14ac:dyDescent="0.25">
      <c r="A376" s="24" t="s">
        <v>2324</v>
      </c>
      <c r="B376" s="9">
        <v>45969</v>
      </c>
      <c r="C376" s="6" t="s">
        <v>1680</v>
      </c>
      <c r="D376" s="13">
        <v>13</v>
      </c>
    </row>
    <row r="377" spans="1:4" x14ac:dyDescent="0.25">
      <c r="A377" s="24" t="s">
        <v>2325</v>
      </c>
      <c r="B377" s="9">
        <v>45528</v>
      </c>
      <c r="C377" s="6" t="s">
        <v>1817</v>
      </c>
      <c r="D377" s="13">
        <v>6</v>
      </c>
    </row>
    <row r="378" spans="1:4" x14ac:dyDescent="0.25">
      <c r="A378" s="24" t="s">
        <v>2326</v>
      </c>
      <c r="B378" s="9">
        <v>45700</v>
      </c>
      <c r="C378" s="6" t="s">
        <v>1554</v>
      </c>
      <c r="D378" s="13">
        <v>10</v>
      </c>
    </row>
    <row r="379" spans="1:4" x14ac:dyDescent="0.25">
      <c r="A379" s="24" t="s">
        <v>2327</v>
      </c>
      <c r="B379" s="9">
        <v>45435</v>
      </c>
      <c r="C379" s="6" t="s">
        <v>1691</v>
      </c>
      <c r="D379" s="13">
        <v>3</v>
      </c>
    </row>
    <row r="380" spans="1:4" x14ac:dyDescent="0.25">
      <c r="A380" s="24" t="s">
        <v>2328</v>
      </c>
      <c r="B380" s="9">
        <v>45935</v>
      </c>
      <c r="C380" s="6" t="s">
        <v>1828</v>
      </c>
      <c r="D380" s="13">
        <v>12</v>
      </c>
    </row>
    <row r="381" spans="1:4" x14ac:dyDescent="0.25">
      <c r="A381" s="24" t="s">
        <v>2329</v>
      </c>
      <c r="B381" s="9">
        <v>45628</v>
      </c>
      <c r="C381" s="6" t="s">
        <v>1505</v>
      </c>
      <c r="D381" s="13">
        <v>5</v>
      </c>
    </row>
    <row r="382" spans="1:4" x14ac:dyDescent="0.25">
      <c r="A382" s="24" t="s">
        <v>2330</v>
      </c>
      <c r="B382" s="9">
        <v>45764</v>
      </c>
      <c r="C382" s="6" t="s">
        <v>1642</v>
      </c>
      <c r="D382" s="13">
        <v>9</v>
      </c>
    </row>
    <row r="383" spans="1:4" x14ac:dyDescent="0.25">
      <c r="A383" s="24" t="s">
        <v>2331</v>
      </c>
      <c r="B383" s="9">
        <v>45363</v>
      </c>
      <c r="C383" s="6" t="s">
        <v>1779</v>
      </c>
      <c r="D383" s="13">
        <v>1</v>
      </c>
    </row>
    <row r="384" spans="1:4" x14ac:dyDescent="0.25">
      <c r="A384" s="24" t="s">
        <v>2332</v>
      </c>
      <c r="B384" s="9">
        <v>45914</v>
      </c>
      <c r="C384" s="6" t="s">
        <v>1916</v>
      </c>
      <c r="D384" s="13">
        <v>14</v>
      </c>
    </row>
    <row r="385" spans="1:4" x14ac:dyDescent="0.25">
      <c r="A385" s="24" t="s">
        <v>2333</v>
      </c>
      <c r="B385" s="9">
        <v>45503</v>
      </c>
      <c r="C385" s="6" t="s">
        <v>1573</v>
      </c>
      <c r="D385" s="13">
        <v>8</v>
      </c>
    </row>
    <row r="386" spans="1:4" x14ac:dyDescent="0.25">
      <c r="A386" s="24" t="s">
        <v>2334</v>
      </c>
      <c r="B386" s="9">
        <v>45819</v>
      </c>
      <c r="C386" s="6" t="s">
        <v>1710</v>
      </c>
      <c r="D386" s="13">
        <v>7</v>
      </c>
    </row>
    <row r="387" spans="1:4" x14ac:dyDescent="0.25">
      <c r="A387" s="24" t="s">
        <v>2335</v>
      </c>
      <c r="B387" s="9">
        <v>45616</v>
      </c>
      <c r="C387" s="6" t="s">
        <v>1847</v>
      </c>
      <c r="D387" s="13">
        <v>4</v>
      </c>
    </row>
    <row r="388" spans="1:4" x14ac:dyDescent="0.25">
      <c r="A388" s="24" t="s">
        <v>2336</v>
      </c>
      <c r="B388" s="9">
        <v>45662</v>
      </c>
      <c r="C388" s="6" t="s">
        <v>1484</v>
      </c>
      <c r="D388" s="13">
        <v>11</v>
      </c>
    </row>
    <row r="389" spans="1:4" x14ac:dyDescent="0.25">
      <c r="A389" s="24" t="s">
        <v>2337</v>
      </c>
      <c r="B389" s="9">
        <v>45541</v>
      </c>
      <c r="C389" s="6" t="s">
        <v>1621</v>
      </c>
      <c r="D389" s="13">
        <v>6</v>
      </c>
    </row>
    <row r="390" spans="1:4" x14ac:dyDescent="0.25">
      <c r="A390" s="24" t="s">
        <v>2338</v>
      </c>
      <c r="B390" s="9">
        <v>45896</v>
      </c>
      <c r="C390" s="6" t="s">
        <v>1758</v>
      </c>
      <c r="D390" s="13">
        <v>10</v>
      </c>
    </row>
    <row r="391" spans="1:4" x14ac:dyDescent="0.25">
      <c r="A391" s="24" t="s">
        <v>2339</v>
      </c>
      <c r="B391" s="9">
        <v>45326</v>
      </c>
      <c r="C391" s="6" t="s">
        <v>1895</v>
      </c>
      <c r="D391" s="13">
        <v>2</v>
      </c>
    </row>
    <row r="392" spans="1:4" x14ac:dyDescent="0.25">
      <c r="A392" s="24" t="s">
        <v>2340</v>
      </c>
      <c r="B392" s="9">
        <v>45796</v>
      </c>
      <c r="C392" s="6" t="s">
        <v>1532</v>
      </c>
      <c r="D392" s="13">
        <v>13</v>
      </c>
    </row>
    <row r="393" spans="1:4" x14ac:dyDescent="0.25">
      <c r="A393" s="24" t="s">
        <v>2341</v>
      </c>
      <c r="B393" s="9">
        <v>45586</v>
      </c>
      <c r="C393" s="6" t="s">
        <v>1669</v>
      </c>
      <c r="D393" s="13">
        <v>9</v>
      </c>
    </row>
    <row r="394" spans="1:4" x14ac:dyDescent="0.25">
      <c r="A394" s="24" t="s">
        <v>2342</v>
      </c>
      <c r="B394" s="9">
        <v>45717</v>
      </c>
      <c r="C394" s="6" t="s">
        <v>1806</v>
      </c>
      <c r="D394" s="13">
        <v>5</v>
      </c>
    </row>
    <row r="395" spans="1:4" x14ac:dyDescent="0.25">
      <c r="A395" s="24" t="s">
        <v>2343</v>
      </c>
      <c r="B395" s="9">
        <v>45472</v>
      </c>
      <c r="C395" s="6" t="s">
        <v>1543</v>
      </c>
      <c r="D395" s="13">
        <v>12</v>
      </c>
    </row>
    <row r="396" spans="1:4" x14ac:dyDescent="0.25">
      <c r="A396" s="24" t="s">
        <v>2344</v>
      </c>
      <c r="B396" s="9">
        <v>45997</v>
      </c>
      <c r="C396" s="6" t="s">
        <v>1680</v>
      </c>
      <c r="D396" s="13">
        <v>3</v>
      </c>
    </row>
    <row r="397" spans="1:4" x14ac:dyDescent="0.25">
      <c r="A397" s="24" t="s">
        <v>2345</v>
      </c>
      <c r="B397" s="9">
        <v>45409</v>
      </c>
      <c r="C397" s="6" t="s">
        <v>1817</v>
      </c>
      <c r="D397" s="13">
        <v>8</v>
      </c>
    </row>
    <row r="398" spans="1:4" x14ac:dyDescent="0.25">
      <c r="A398" s="24" t="s">
        <v>2346</v>
      </c>
      <c r="B398" s="9">
        <v>45842</v>
      </c>
      <c r="C398" s="6" t="s">
        <v>1554</v>
      </c>
      <c r="D398" s="13">
        <v>1</v>
      </c>
    </row>
    <row r="399" spans="1:4" x14ac:dyDescent="0.25">
      <c r="A399" s="24" t="s">
        <v>2347</v>
      </c>
      <c r="B399" s="9">
        <v>45293</v>
      </c>
      <c r="C399" s="6" t="s">
        <v>1691</v>
      </c>
      <c r="D399" s="13">
        <v>14</v>
      </c>
    </row>
    <row r="400" spans="1:4" x14ac:dyDescent="0.25">
      <c r="A400" s="24" t="s">
        <v>2348</v>
      </c>
      <c r="B400" s="9">
        <v>45982</v>
      </c>
      <c r="C400" s="6" t="s">
        <v>1828</v>
      </c>
      <c r="D400" s="13">
        <v>7</v>
      </c>
    </row>
    <row r="401" spans="1:4" x14ac:dyDescent="0.25">
      <c r="A401" s="24" t="s">
        <v>2349</v>
      </c>
      <c r="B401" s="9">
        <v>45513</v>
      </c>
      <c r="C401" s="6" t="s">
        <v>1505</v>
      </c>
      <c r="D401" s="13">
        <v>11</v>
      </c>
    </row>
    <row r="402" spans="1:4" x14ac:dyDescent="0.25">
      <c r="A402" s="24" t="s">
        <v>2350</v>
      </c>
      <c r="B402" s="9">
        <v>45711</v>
      </c>
      <c r="C402" s="6" t="s">
        <v>1642</v>
      </c>
      <c r="D402" s="13">
        <v>6</v>
      </c>
    </row>
    <row r="403" spans="1:4" x14ac:dyDescent="0.25">
      <c r="A403" s="24" t="s">
        <v>2351</v>
      </c>
      <c r="B403" s="9">
        <v>45429</v>
      </c>
      <c r="C403" s="6" t="s">
        <v>1779</v>
      </c>
      <c r="D403" s="13">
        <v>4</v>
      </c>
    </row>
    <row r="404" spans="1:4" x14ac:dyDescent="0.25">
      <c r="A404" s="24" t="s">
        <v>2352</v>
      </c>
      <c r="B404" s="9">
        <v>45942</v>
      </c>
      <c r="C404" s="6" t="s">
        <v>1916</v>
      </c>
      <c r="D404" s="13">
        <v>10</v>
      </c>
    </row>
    <row r="405" spans="1:4" x14ac:dyDescent="0.25">
      <c r="A405" s="24" t="s">
        <v>2353</v>
      </c>
      <c r="B405" s="9">
        <v>45649</v>
      </c>
      <c r="C405" s="6" t="s">
        <v>1573</v>
      </c>
      <c r="D405" s="13">
        <v>2</v>
      </c>
    </row>
    <row r="406" spans="1:4" x14ac:dyDescent="0.25">
      <c r="A406" s="24" t="s">
        <v>2354</v>
      </c>
      <c r="B406" s="9">
        <v>45903</v>
      </c>
      <c r="C406" s="6" t="s">
        <v>1710</v>
      </c>
      <c r="D406" s="13">
        <v>13</v>
      </c>
    </row>
    <row r="407" spans="1:4" x14ac:dyDescent="0.25">
      <c r="A407" s="24" t="s">
        <v>2355</v>
      </c>
      <c r="B407" s="9">
        <v>45370</v>
      </c>
      <c r="C407" s="6" t="s">
        <v>1847</v>
      </c>
      <c r="D407" s="13">
        <v>5</v>
      </c>
    </row>
    <row r="408" spans="1:4" x14ac:dyDescent="0.25">
      <c r="A408" s="24" t="s">
        <v>2356</v>
      </c>
      <c r="B408" s="9">
        <v>45823</v>
      </c>
      <c r="C408" s="6" t="s">
        <v>1484</v>
      </c>
      <c r="D408" s="13">
        <v>9</v>
      </c>
    </row>
    <row r="409" spans="1:4" x14ac:dyDescent="0.25">
      <c r="A409" s="24" t="s">
        <v>2357</v>
      </c>
      <c r="B409" s="9">
        <v>45494</v>
      </c>
      <c r="C409" s="6" t="s">
        <v>1621</v>
      </c>
      <c r="D409" s="13">
        <v>12</v>
      </c>
    </row>
    <row r="410" spans="1:4" x14ac:dyDescent="0.25">
      <c r="A410" s="24" t="s">
        <v>2358</v>
      </c>
      <c r="B410" s="9">
        <v>45751</v>
      </c>
      <c r="C410" s="6" t="s">
        <v>1758</v>
      </c>
      <c r="D410" s="13">
        <v>8</v>
      </c>
    </row>
    <row r="411" spans="1:4" x14ac:dyDescent="0.25">
      <c r="A411" s="24" t="s">
        <v>2359</v>
      </c>
      <c r="B411" s="9">
        <v>45598</v>
      </c>
      <c r="C411" s="6" t="s">
        <v>1895</v>
      </c>
      <c r="D411" s="13">
        <v>3</v>
      </c>
    </row>
    <row r="412" spans="1:4" x14ac:dyDescent="0.25">
      <c r="A412" s="24" t="s">
        <v>2360</v>
      </c>
      <c r="B412" s="9">
        <v>45684</v>
      </c>
      <c r="C412" s="6" t="s">
        <v>1532</v>
      </c>
      <c r="D412" s="13">
        <v>11</v>
      </c>
    </row>
    <row r="413" spans="1:4" x14ac:dyDescent="0.25">
      <c r="A413" s="24" t="s">
        <v>2361</v>
      </c>
      <c r="B413" s="9">
        <v>45554</v>
      </c>
      <c r="C413" s="6" t="s">
        <v>1669</v>
      </c>
      <c r="D413" s="13">
        <v>7</v>
      </c>
    </row>
    <row r="414" spans="1:4" x14ac:dyDescent="0.25">
      <c r="A414" s="24" t="s">
        <v>2362</v>
      </c>
      <c r="B414" s="9">
        <v>45884</v>
      </c>
      <c r="C414" s="6" t="s">
        <v>1806</v>
      </c>
      <c r="D414" s="13">
        <v>1</v>
      </c>
    </row>
    <row r="415" spans="1:4" x14ac:dyDescent="0.25">
      <c r="A415" s="24" t="s">
        <v>2363</v>
      </c>
      <c r="B415" s="9">
        <v>45343</v>
      </c>
      <c r="C415" s="6" t="s">
        <v>1543</v>
      </c>
      <c r="D415" s="13">
        <v>14</v>
      </c>
    </row>
    <row r="416" spans="1:4" x14ac:dyDescent="0.25">
      <c r="A416" s="24" t="s">
        <v>2364</v>
      </c>
      <c r="B416" s="9">
        <v>45779</v>
      </c>
      <c r="C416" s="6" t="s">
        <v>1680</v>
      </c>
      <c r="D416" s="13">
        <v>6</v>
      </c>
    </row>
    <row r="417" spans="1:4" x14ac:dyDescent="0.25">
      <c r="A417" s="24" t="s">
        <v>2365</v>
      </c>
      <c r="B417" s="9">
        <v>45575</v>
      </c>
      <c r="C417" s="6" t="s">
        <v>1817</v>
      </c>
      <c r="D417" s="13">
        <v>10</v>
      </c>
    </row>
    <row r="418" spans="1:4" x14ac:dyDescent="0.25">
      <c r="A418" s="24" t="s">
        <v>2366</v>
      </c>
      <c r="B418" s="9">
        <v>46006</v>
      </c>
      <c r="C418" s="6" t="s">
        <v>1554</v>
      </c>
      <c r="D418" s="13">
        <v>4</v>
      </c>
    </row>
    <row r="419" spans="1:4" x14ac:dyDescent="0.25">
      <c r="A419" s="24" t="s">
        <v>2367</v>
      </c>
      <c r="B419" s="9">
        <v>45460</v>
      </c>
      <c r="C419" s="6" t="s">
        <v>1691</v>
      </c>
      <c r="D419" s="13">
        <v>9</v>
      </c>
    </row>
    <row r="420" spans="1:4" x14ac:dyDescent="0.25">
      <c r="A420" s="24" t="s">
        <v>2368</v>
      </c>
      <c r="B420" s="9">
        <v>45738</v>
      </c>
      <c r="C420" s="6" t="s">
        <v>1828</v>
      </c>
      <c r="D420" s="13">
        <v>2</v>
      </c>
    </row>
    <row r="421" spans="1:4" x14ac:dyDescent="0.25">
      <c r="A421" s="24" t="s">
        <v>2369</v>
      </c>
      <c r="B421" s="9">
        <v>45395</v>
      </c>
      <c r="C421" s="6" t="s">
        <v>1505</v>
      </c>
      <c r="D421" s="13">
        <v>12</v>
      </c>
    </row>
    <row r="422" spans="1:4" x14ac:dyDescent="0.25">
      <c r="A422" s="24" t="s">
        <v>2370</v>
      </c>
      <c r="B422" s="9">
        <v>45854</v>
      </c>
      <c r="C422" s="6" t="s">
        <v>1642</v>
      </c>
      <c r="D422" s="13">
        <v>5</v>
      </c>
    </row>
    <row r="423" spans="1:4" x14ac:dyDescent="0.25">
      <c r="A423" s="24" t="s">
        <v>2371</v>
      </c>
      <c r="B423" s="9">
        <v>45319</v>
      </c>
      <c r="C423" s="6" t="s">
        <v>1779</v>
      </c>
      <c r="D423" s="13">
        <v>8</v>
      </c>
    </row>
    <row r="424" spans="1:4" x14ac:dyDescent="0.25">
      <c r="A424" s="24" t="s">
        <v>2372</v>
      </c>
      <c r="B424" s="9">
        <v>45971</v>
      </c>
      <c r="C424" s="6" t="s">
        <v>1916</v>
      </c>
      <c r="D424" s="13">
        <v>3</v>
      </c>
    </row>
    <row r="425" spans="1:4" x14ac:dyDescent="0.25">
      <c r="A425" s="24" t="s">
        <v>2373</v>
      </c>
      <c r="B425" s="9">
        <v>45520</v>
      </c>
      <c r="C425" s="6" t="s">
        <v>1573</v>
      </c>
      <c r="D425" s="13">
        <v>11</v>
      </c>
    </row>
    <row r="426" spans="1:4" x14ac:dyDescent="0.25">
      <c r="A426" s="24" t="s">
        <v>2374</v>
      </c>
      <c r="B426" s="9">
        <v>45930</v>
      </c>
      <c r="C426" s="6" t="s">
        <v>1710</v>
      </c>
      <c r="D426" s="13">
        <v>7</v>
      </c>
    </row>
    <row r="427" spans="1:4" x14ac:dyDescent="0.25">
      <c r="A427" s="24" t="s">
        <v>2375</v>
      </c>
      <c r="B427" s="9">
        <v>45420</v>
      </c>
      <c r="C427" s="6" t="s">
        <v>1847</v>
      </c>
      <c r="D427" s="13">
        <v>1</v>
      </c>
    </row>
    <row r="428" spans="1:4" x14ac:dyDescent="0.25">
      <c r="A428" s="24" t="s">
        <v>2376</v>
      </c>
      <c r="B428" s="9">
        <v>45702</v>
      </c>
      <c r="C428" s="6" t="s">
        <v>1484</v>
      </c>
      <c r="D428" s="13">
        <v>13</v>
      </c>
    </row>
    <row r="429" spans="1:4" x14ac:dyDescent="0.25">
      <c r="A429" s="24" t="s">
        <v>2377</v>
      </c>
      <c r="B429" s="9">
        <v>45634</v>
      </c>
      <c r="C429" s="6" t="s">
        <v>1621</v>
      </c>
      <c r="D429" s="13">
        <v>6</v>
      </c>
    </row>
    <row r="430" spans="1:4" x14ac:dyDescent="0.25">
      <c r="A430" s="24" t="s">
        <v>2378</v>
      </c>
      <c r="B430" s="9">
        <v>45949</v>
      </c>
      <c r="C430" s="6" t="s">
        <v>1758</v>
      </c>
      <c r="D430" s="13">
        <v>10</v>
      </c>
    </row>
    <row r="431" spans="1:4" x14ac:dyDescent="0.25">
      <c r="A431" s="24" t="s">
        <v>2379</v>
      </c>
      <c r="B431" s="9">
        <v>45480</v>
      </c>
      <c r="C431" s="6" t="s">
        <v>1895</v>
      </c>
      <c r="D431" s="13">
        <v>4</v>
      </c>
    </row>
    <row r="432" spans="1:4" x14ac:dyDescent="0.25">
      <c r="A432" s="24" t="s">
        <v>2380</v>
      </c>
      <c r="B432" s="9">
        <v>45832</v>
      </c>
      <c r="C432" s="6" t="s">
        <v>1532</v>
      </c>
      <c r="D432" s="13">
        <v>9</v>
      </c>
    </row>
    <row r="433" spans="1:4" x14ac:dyDescent="0.25">
      <c r="A433" s="24" t="s">
        <v>2381</v>
      </c>
      <c r="B433" s="9">
        <v>45357</v>
      </c>
      <c r="C433" s="6" t="s">
        <v>1669</v>
      </c>
      <c r="D433" s="13">
        <v>12</v>
      </c>
    </row>
    <row r="434" spans="1:4" x14ac:dyDescent="0.25">
      <c r="A434" s="24" t="s">
        <v>2382</v>
      </c>
      <c r="B434" s="9">
        <v>45776</v>
      </c>
      <c r="C434" s="6" t="s">
        <v>1806</v>
      </c>
      <c r="D434" s="13">
        <v>2</v>
      </c>
    </row>
    <row r="435" spans="1:4" x14ac:dyDescent="0.25">
      <c r="A435" s="24" t="s">
        <v>2383</v>
      </c>
      <c r="B435" s="9">
        <v>45546</v>
      </c>
      <c r="C435" s="6" t="s">
        <v>1543</v>
      </c>
      <c r="D435" s="13">
        <v>8</v>
      </c>
    </row>
    <row r="436" spans="1:4" x14ac:dyDescent="0.25">
      <c r="A436" s="24" t="s">
        <v>2384</v>
      </c>
      <c r="B436" s="9">
        <v>45668</v>
      </c>
      <c r="C436" s="6" t="s">
        <v>1680</v>
      </c>
      <c r="D436" s="13">
        <v>5</v>
      </c>
    </row>
    <row r="437" spans="1:4" x14ac:dyDescent="0.25">
      <c r="A437" s="24" t="s">
        <v>2385</v>
      </c>
      <c r="B437" s="9">
        <v>45612</v>
      </c>
      <c r="C437" s="6" t="s">
        <v>1817</v>
      </c>
      <c r="D437" s="13">
        <v>14</v>
      </c>
    </row>
    <row r="438" spans="1:4" x14ac:dyDescent="0.25">
      <c r="A438" s="24" t="s">
        <v>2386</v>
      </c>
      <c r="B438" s="9">
        <v>45891</v>
      </c>
      <c r="C438" s="6" t="s">
        <v>1554</v>
      </c>
      <c r="D438" s="13">
        <v>3</v>
      </c>
    </row>
    <row r="439" spans="1:4" x14ac:dyDescent="0.25">
      <c r="A439" s="24" t="s">
        <v>2387</v>
      </c>
      <c r="B439" s="9">
        <v>45330</v>
      </c>
      <c r="C439" s="6" t="s">
        <v>1691</v>
      </c>
      <c r="D439" s="13">
        <v>11</v>
      </c>
    </row>
    <row r="440" spans="1:4" x14ac:dyDescent="0.25">
      <c r="A440" s="24" t="s">
        <v>2388</v>
      </c>
      <c r="B440" s="9">
        <v>45839</v>
      </c>
      <c r="C440" s="6" t="s">
        <v>1828</v>
      </c>
      <c r="D440" s="13">
        <v>7</v>
      </c>
    </row>
    <row r="441" spans="1:4" x14ac:dyDescent="0.25">
      <c r="A441" s="24" t="s">
        <v>2389</v>
      </c>
      <c r="B441" s="9">
        <v>45568</v>
      </c>
      <c r="C441" s="6" t="s">
        <v>1505</v>
      </c>
      <c r="D441" s="13">
        <v>1</v>
      </c>
    </row>
    <row r="442" spans="1:4" x14ac:dyDescent="0.25">
      <c r="A442" s="24" t="s">
        <v>2390</v>
      </c>
      <c r="B442" s="9">
        <v>45784</v>
      </c>
      <c r="C442" s="6" t="s">
        <v>1642</v>
      </c>
      <c r="D442" s="13">
        <v>10</v>
      </c>
    </row>
    <row r="443" spans="1:4" x14ac:dyDescent="0.25">
      <c r="A443" s="24" t="s">
        <v>2391</v>
      </c>
      <c r="B443" s="9">
        <v>45454</v>
      </c>
      <c r="C443" s="6" t="s">
        <v>1779</v>
      </c>
      <c r="D443" s="13">
        <v>6</v>
      </c>
    </row>
    <row r="444" spans="1:4" x14ac:dyDescent="0.25">
      <c r="A444" s="24" t="s">
        <v>2392</v>
      </c>
      <c r="B444" s="9">
        <v>46003</v>
      </c>
      <c r="C444" s="6" t="s">
        <v>1916</v>
      </c>
      <c r="D444" s="13">
        <v>12</v>
      </c>
    </row>
    <row r="445" spans="1:4" x14ac:dyDescent="0.25">
      <c r="A445" s="24" t="s">
        <v>2393</v>
      </c>
      <c r="B445" s="9">
        <v>45386</v>
      </c>
      <c r="C445" s="6" t="s">
        <v>1573</v>
      </c>
      <c r="D445" s="13">
        <v>4</v>
      </c>
    </row>
    <row r="446" spans="1:4" x14ac:dyDescent="0.25">
      <c r="A446" s="24" t="s">
        <v>2394</v>
      </c>
      <c r="B446" s="9">
        <v>45916</v>
      </c>
      <c r="C446" s="6" t="s">
        <v>1710</v>
      </c>
      <c r="D446" s="13">
        <v>9</v>
      </c>
    </row>
    <row r="447" spans="1:4" x14ac:dyDescent="0.25">
      <c r="A447" s="24" t="s">
        <v>2395</v>
      </c>
      <c r="B447" s="9">
        <v>45304</v>
      </c>
      <c r="C447" s="6" t="s">
        <v>1847</v>
      </c>
      <c r="D447" s="13">
        <v>2</v>
      </c>
    </row>
    <row r="448" spans="1:4" x14ac:dyDescent="0.25">
      <c r="A448" s="24" t="s">
        <v>2396</v>
      </c>
      <c r="B448" s="9">
        <v>45724</v>
      </c>
      <c r="C448" s="6" t="s">
        <v>1484</v>
      </c>
      <c r="D448" s="13">
        <v>13</v>
      </c>
    </row>
    <row r="449" spans="1:4" x14ac:dyDescent="0.25">
      <c r="A449" s="24" t="s">
        <v>2397</v>
      </c>
      <c r="B449" s="9">
        <v>45532</v>
      </c>
      <c r="C449" s="6" t="s">
        <v>1621</v>
      </c>
      <c r="D449" s="13">
        <v>5</v>
      </c>
    </row>
    <row r="450" spans="1:4" x14ac:dyDescent="0.25">
      <c r="A450" s="24" t="s">
        <v>2398</v>
      </c>
      <c r="B450" s="9">
        <v>45984</v>
      </c>
      <c r="C450" s="6" t="s">
        <v>1758</v>
      </c>
      <c r="D450" s="13">
        <v>8</v>
      </c>
    </row>
    <row r="451" spans="1:4" x14ac:dyDescent="0.25">
      <c r="A451" s="24" t="s">
        <v>2399</v>
      </c>
      <c r="B451" s="9">
        <v>45497</v>
      </c>
      <c r="C451" s="6" t="s">
        <v>1895</v>
      </c>
      <c r="D451" s="13">
        <v>1</v>
      </c>
    </row>
    <row r="452" spans="1:4" x14ac:dyDescent="0.25">
      <c r="A452" s="24" t="s">
        <v>2400</v>
      </c>
      <c r="B452" s="9">
        <v>45707</v>
      </c>
      <c r="C452" s="6" t="s">
        <v>1532</v>
      </c>
      <c r="D452" s="13">
        <v>11</v>
      </c>
    </row>
    <row r="453" spans="1:4" x14ac:dyDescent="0.25">
      <c r="A453" s="24" t="s">
        <v>2401</v>
      </c>
      <c r="B453" s="9">
        <v>45432</v>
      </c>
      <c r="C453" s="6" t="s">
        <v>1669</v>
      </c>
      <c r="D453" s="13">
        <v>7</v>
      </c>
    </row>
    <row r="454" spans="1:4" x14ac:dyDescent="0.25">
      <c r="A454" s="24" t="s">
        <v>2402</v>
      </c>
      <c r="B454" s="9">
        <v>45932</v>
      </c>
      <c r="C454" s="6" t="s">
        <v>1806</v>
      </c>
      <c r="D454" s="13">
        <v>14</v>
      </c>
    </row>
    <row r="455" spans="1:4" x14ac:dyDescent="0.25">
      <c r="A455" s="24" t="s">
        <v>2403</v>
      </c>
      <c r="B455" s="9">
        <v>45630</v>
      </c>
      <c r="C455" s="6" t="s">
        <v>1543</v>
      </c>
      <c r="D455" s="13">
        <v>3</v>
      </c>
    </row>
    <row r="456" spans="1:4" x14ac:dyDescent="0.25">
      <c r="A456" s="24" t="s">
        <v>2404</v>
      </c>
      <c r="B456" s="9">
        <v>45813</v>
      </c>
      <c r="C456" s="6" t="s">
        <v>1680</v>
      </c>
      <c r="D456" s="13">
        <v>10</v>
      </c>
    </row>
    <row r="457" spans="1:4" x14ac:dyDescent="0.25">
      <c r="A457" s="24" t="s">
        <v>2405</v>
      </c>
      <c r="B457" s="9">
        <v>45540</v>
      </c>
      <c r="C457" s="6" t="s">
        <v>1817</v>
      </c>
      <c r="D457" s="13">
        <v>6</v>
      </c>
    </row>
    <row r="458" spans="1:4" x14ac:dyDescent="0.25">
      <c r="A458" s="24" t="s">
        <v>2406</v>
      </c>
      <c r="B458" s="9">
        <v>45767</v>
      </c>
      <c r="C458" s="6" t="s">
        <v>1554</v>
      </c>
      <c r="D458" s="13">
        <v>12</v>
      </c>
    </row>
    <row r="459" spans="1:4" x14ac:dyDescent="0.25">
      <c r="A459" s="24" t="s">
        <v>2407</v>
      </c>
      <c r="B459" s="9">
        <v>45352</v>
      </c>
      <c r="C459" s="6" t="s">
        <v>1691</v>
      </c>
      <c r="D459" s="13">
        <v>4</v>
      </c>
    </row>
    <row r="460" spans="1:4" x14ac:dyDescent="0.25">
      <c r="A460" s="24" t="s">
        <v>2408</v>
      </c>
      <c r="B460" s="9">
        <v>45875</v>
      </c>
      <c r="C460" s="6" t="s">
        <v>1828</v>
      </c>
      <c r="D460" s="13">
        <v>9</v>
      </c>
    </row>
    <row r="461" spans="1:4" x14ac:dyDescent="0.25">
      <c r="A461" s="24" t="s">
        <v>2409</v>
      </c>
      <c r="B461" s="9">
        <v>45615</v>
      </c>
      <c r="C461" s="6" t="s">
        <v>1505</v>
      </c>
      <c r="D461" s="13">
        <v>2</v>
      </c>
    </row>
    <row r="462" spans="1:4" x14ac:dyDescent="0.25">
      <c r="A462" s="24" t="s">
        <v>2410</v>
      </c>
      <c r="B462" s="9">
        <v>45673</v>
      </c>
      <c r="C462" s="6" t="s">
        <v>1642</v>
      </c>
      <c r="D462" s="13">
        <v>13</v>
      </c>
    </row>
    <row r="463" spans="1:4" x14ac:dyDescent="0.25">
      <c r="A463" s="24" t="s">
        <v>2411</v>
      </c>
      <c r="B463" s="9">
        <v>45486</v>
      </c>
      <c r="C463" s="6" t="s">
        <v>1779</v>
      </c>
      <c r="D463" s="13">
        <v>5</v>
      </c>
    </row>
    <row r="464" spans="1:4" x14ac:dyDescent="0.25">
      <c r="A464" s="24" t="s">
        <v>2412</v>
      </c>
      <c r="B464" s="9">
        <v>45924</v>
      </c>
      <c r="C464" s="6" t="s">
        <v>1916</v>
      </c>
      <c r="D464" s="13">
        <v>8</v>
      </c>
    </row>
    <row r="465" spans="1:4" x14ac:dyDescent="0.25">
      <c r="A465" s="24" t="s">
        <v>2413</v>
      </c>
      <c r="B465" s="9">
        <v>45327</v>
      </c>
      <c r="C465" s="6" t="s">
        <v>1573</v>
      </c>
      <c r="D465" s="13">
        <v>1</v>
      </c>
    </row>
    <row r="466" spans="1:4" x14ac:dyDescent="0.25">
      <c r="A466" s="24" t="s">
        <v>2414</v>
      </c>
      <c r="B466" s="9">
        <v>45788</v>
      </c>
      <c r="C466" s="6" t="s">
        <v>1710</v>
      </c>
      <c r="D466" s="13">
        <v>11</v>
      </c>
    </row>
    <row r="467" spans="1:4" x14ac:dyDescent="0.25">
      <c r="A467" s="24" t="s">
        <v>2415</v>
      </c>
      <c r="B467" s="9">
        <v>45578</v>
      </c>
      <c r="C467" s="6" t="s">
        <v>1847</v>
      </c>
      <c r="D467" s="13">
        <v>7</v>
      </c>
    </row>
    <row r="468" spans="1:4" x14ac:dyDescent="0.25">
      <c r="A468" s="24" t="s">
        <v>2416</v>
      </c>
      <c r="B468" s="9">
        <v>45998</v>
      </c>
      <c r="C468" s="6" t="s">
        <v>1484</v>
      </c>
      <c r="D468" s="13">
        <v>3</v>
      </c>
    </row>
    <row r="469" spans="1:4" x14ac:dyDescent="0.25">
      <c r="A469" s="24" t="s">
        <v>2417</v>
      </c>
      <c r="B469" s="9">
        <v>45446</v>
      </c>
      <c r="C469" s="6" t="s">
        <v>1621</v>
      </c>
      <c r="D469" s="13">
        <v>10</v>
      </c>
    </row>
    <row r="470" spans="1:4" x14ac:dyDescent="0.25">
      <c r="A470" s="24" t="s">
        <v>2418</v>
      </c>
      <c r="B470" s="9">
        <v>45741</v>
      </c>
      <c r="C470" s="6" t="s">
        <v>1758</v>
      </c>
      <c r="D470" s="13">
        <v>6</v>
      </c>
    </row>
    <row r="471" spans="1:4" x14ac:dyDescent="0.25">
      <c r="A471" s="24" t="s">
        <v>2419</v>
      </c>
      <c r="B471" s="9">
        <v>45295</v>
      </c>
      <c r="C471" s="6" t="s">
        <v>1895</v>
      </c>
      <c r="D471" s="13">
        <v>12</v>
      </c>
    </row>
    <row r="472" spans="1:4" x14ac:dyDescent="0.25">
      <c r="A472" s="24" t="s">
        <v>2420</v>
      </c>
      <c r="B472" s="9">
        <v>45857</v>
      </c>
      <c r="C472" s="6" t="s">
        <v>1532</v>
      </c>
      <c r="D472" s="13">
        <v>4</v>
      </c>
    </row>
    <row r="473" spans="1:4" x14ac:dyDescent="0.25">
      <c r="A473" s="24" t="s">
        <v>2421</v>
      </c>
      <c r="B473" s="9">
        <v>45534</v>
      </c>
      <c r="C473" s="6" t="s">
        <v>1669</v>
      </c>
      <c r="D473" s="13">
        <v>9</v>
      </c>
    </row>
    <row r="474" spans="1:4" x14ac:dyDescent="0.25">
      <c r="A474" s="24" t="s">
        <v>2422</v>
      </c>
      <c r="B474" s="9">
        <v>45962</v>
      </c>
      <c r="C474" s="6" t="s">
        <v>1806</v>
      </c>
      <c r="D474" s="13">
        <v>2</v>
      </c>
    </row>
    <row r="475" spans="1:4" x14ac:dyDescent="0.25">
      <c r="A475" s="24" t="s">
        <v>2423</v>
      </c>
      <c r="B475" s="9">
        <v>45408</v>
      </c>
      <c r="C475" s="6" t="s">
        <v>1543</v>
      </c>
      <c r="D475" s="13">
        <v>14</v>
      </c>
    </row>
    <row r="476" spans="1:4" x14ac:dyDescent="0.25">
      <c r="A476" s="24" t="s">
        <v>2424</v>
      </c>
      <c r="B476" s="9">
        <v>45689</v>
      </c>
      <c r="C476" s="6" t="s">
        <v>1680</v>
      </c>
      <c r="D476" s="13">
        <v>5</v>
      </c>
    </row>
    <row r="477" spans="1:4" x14ac:dyDescent="0.25">
      <c r="A477" s="24" t="s">
        <v>2425</v>
      </c>
      <c r="B477" s="9">
        <v>45557</v>
      </c>
      <c r="C477" s="6" t="s">
        <v>1817</v>
      </c>
      <c r="D477" s="13">
        <v>8</v>
      </c>
    </row>
    <row r="478" spans="1:4" x14ac:dyDescent="0.25">
      <c r="A478" s="24" t="s">
        <v>2426</v>
      </c>
      <c r="B478" s="9">
        <v>45834</v>
      </c>
      <c r="C478" s="6" t="s">
        <v>1554</v>
      </c>
      <c r="D478" s="13">
        <v>1</v>
      </c>
    </row>
    <row r="479" spans="1:4" x14ac:dyDescent="0.25">
      <c r="A479" s="24" t="s">
        <v>2427</v>
      </c>
      <c r="B479" s="9">
        <v>45426</v>
      </c>
      <c r="C479" s="6" t="s">
        <v>1691</v>
      </c>
      <c r="D479" s="13">
        <v>11</v>
      </c>
    </row>
    <row r="480" spans="1:4" x14ac:dyDescent="0.25">
      <c r="A480" s="24" t="s">
        <v>2428</v>
      </c>
      <c r="B480" s="9">
        <v>45953</v>
      </c>
      <c r="C480" s="6" t="s">
        <v>1828</v>
      </c>
      <c r="D480" s="13">
        <v>7</v>
      </c>
    </row>
    <row r="481" spans="1:4" x14ac:dyDescent="0.25">
      <c r="A481" s="24" t="s">
        <v>2429</v>
      </c>
      <c r="B481" s="9">
        <v>45641</v>
      </c>
      <c r="C481" s="6" t="s">
        <v>1505</v>
      </c>
      <c r="D481" s="13">
        <v>3</v>
      </c>
    </row>
    <row r="482" spans="1:4" x14ac:dyDescent="0.25">
      <c r="A482" s="24" t="s">
        <v>2430</v>
      </c>
      <c r="B482" s="9">
        <v>45752</v>
      </c>
      <c r="C482" s="6" t="s">
        <v>1642</v>
      </c>
      <c r="D482" s="13">
        <v>10</v>
      </c>
    </row>
    <row r="483" spans="1:4" x14ac:dyDescent="0.25">
      <c r="A483" s="24" t="s">
        <v>2431</v>
      </c>
      <c r="B483" s="9">
        <v>45371</v>
      </c>
      <c r="C483" s="6" t="s">
        <v>1779</v>
      </c>
      <c r="D483" s="13">
        <v>6</v>
      </c>
    </row>
    <row r="484" spans="1:4" x14ac:dyDescent="0.25">
      <c r="A484" s="24" t="s">
        <v>2432</v>
      </c>
      <c r="B484" s="9">
        <v>45886</v>
      </c>
      <c r="C484" s="6" t="s">
        <v>1916</v>
      </c>
      <c r="D484" s="13">
        <v>12</v>
      </c>
    </row>
    <row r="485" spans="1:4" x14ac:dyDescent="0.25">
      <c r="A485" s="24" t="s">
        <v>2433</v>
      </c>
      <c r="B485" s="9">
        <v>45475</v>
      </c>
      <c r="C485" s="6" t="s">
        <v>1573</v>
      </c>
      <c r="D485" s="13">
        <v>4</v>
      </c>
    </row>
    <row r="486" spans="1:4" x14ac:dyDescent="0.25">
      <c r="A486" s="24" t="s">
        <v>2434</v>
      </c>
      <c r="B486" s="9">
        <v>45679</v>
      </c>
      <c r="C486" s="6" t="s">
        <v>1710</v>
      </c>
      <c r="D486" s="13">
        <v>9</v>
      </c>
    </row>
    <row r="487" spans="1:4" x14ac:dyDescent="0.25">
      <c r="A487" s="24" t="s">
        <v>2435</v>
      </c>
      <c r="B487" s="9">
        <v>45601</v>
      </c>
      <c r="C487" s="6" t="s">
        <v>1847</v>
      </c>
      <c r="D487" s="13">
        <v>2</v>
      </c>
    </row>
    <row r="488" spans="1:4" x14ac:dyDescent="0.25">
      <c r="A488" s="24" t="s">
        <v>2436</v>
      </c>
      <c r="B488" s="9">
        <v>45910</v>
      </c>
      <c r="C488" s="6" t="s">
        <v>1484</v>
      </c>
      <c r="D488" s="13">
        <v>13</v>
      </c>
    </row>
    <row r="489" spans="1:4" x14ac:dyDescent="0.25">
      <c r="A489" s="24" t="s">
        <v>2437</v>
      </c>
      <c r="B489" s="9">
        <v>45338</v>
      </c>
      <c r="C489" s="6" t="s">
        <v>1621</v>
      </c>
      <c r="D489" s="13">
        <v>5</v>
      </c>
    </row>
    <row r="490" spans="1:4" x14ac:dyDescent="0.25">
      <c r="A490" s="24" t="s">
        <v>2438</v>
      </c>
      <c r="B490" s="9">
        <v>45805</v>
      </c>
      <c r="C490" s="6" t="s">
        <v>1758</v>
      </c>
      <c r="D490" s="13">
        <v>8</v>
      </c>
    </row>
    <row r="491" spans="1:4" x14ac:dyDescent="0.25">
      <c r="A491" s="24" t="s">
        <v>2439</v>
      </c>
      <c r="B491" s="9">
        <v>45572</v>
      </c>
      <c r="C491" s="6" t="s">
        <v>1895</v>
      </c>
      <c r="D491" s="13">
        <v>1</v>
      </c>
    </row>
    <row r="492" spans="1:4" x14ac:dyDescent="0.25">
      <c r="A492" s="24" t="s">
        <v>2440</v>
      </c>
      <c r="B492" s="9">
        <v>45719</v>
      </c>
      <c r="C492" s="6" t="s">
        <v>1532</v>
      </c>
      <c r="D492" s="13">
        <v>11</v>
      </c>
    </row>
    <row r="493" spans="1:4" x14ac:dyDescent="0.25">
      <c r="A493" s="24" t="s">
        <v>2441</v>
      </c>
      <c r="B493" s="9">
        <v>45463</v>
      </c>
      <c r="C493" s="6" t="s">
        <v>1669</v>
      </c>
      <c r="D493" s="13">
        <v>7</v>
      </c>
    </row>
    <row r="494" spans="1:4" x14ac:dyDescent="0.25">
      <c r="A494" s="24" t="s">
        <v>2442</v>
      </c>
      <c r="B494" s="9">
        <v>46009</v>
      </c>
      <c r="C494" s="6" t="s">
        <v>1806</v>
      </c>
      <c r="D494" s="13">
        <v>14</v>
      </c>
    </row>
    <row r="495" spans="1:4" x14ac:dyDescent="0.25">
      <c r="A495" s="24" t="s">
        <v>2443</v>
      </c>
      <c r="B495" s="9">
        <v>45525</v>
      </c>
      <c r="C495" s="6" t="s">
        <v>1543</v>
      </c>
      <c r="D495" s="13">
        <v>3</v>
      </c>
    </row>
    <row r="496" spans="1:4" x14ac:dyDescent="0.25">
      <c r="A496" s="24" t="s">
        <v>2444</v>
      </c>
      <c r="B496" s="9">
        <v>45846</v>
      </c>
      <c r="C496" s="6" t="s">
        <v>1680</v>
      </c>
      <c r="D496" s="13">
        <v>10</v>
      </c>
    </row>
    <row r="497" spans="1:4" x14ac:dyDescent="0.25">
      <c r="A497" s="24" t="s">
        <v>2445</v>
      </c>
      <c r="B497" s="9">
        <v>45389</v>
      </c>
      <c r="C497" s="6" t="s">
        <v>1817</v>
      </c>
      <c r="D497" s="13">
        <v>6</v>
      </c>
    </row>
    <row r="498" spans="1:4" x14ac:dyDescent="0.25">
      <c r="A498" s="24" t="s">
        <v>2446</v>
      </c>
      <c r="B498" s="9">
        <v>45974</v>
      </c>
      <c r="C498" s="6" t="s">
        <v>1554</v>
      </c>
      <c r="D498" s="13">
        <v>12</v>
      </c>
    </row>
    <row r="499" spans="1:4" x14ac:dyDescent="0.25">
      <c r="A499" s="24" t="s">
        <v>2447</v>
      </c>
      <c r="B499" s="9">
        <v>45312</v>
      </c>
      <c r="C499" s="6" t="s">
        <v>1691</v>
      </c>
      <c r="D499" s="13">
        <v>4</v>
      </c>
    </row>
    <row r="500" spans="1:4" x14ac:dyDescent="0.25">
      <c r="A500" s="24" t="s">
        <v>2448</v>
      </c>
      <c r="B500" s="9">
        <v>45715</v>
      </c>
      <c r="C500" s="6" t="s">
        <v>1828</v>
      </c>
      <c r="D500" s="13">
        <v>9</v>
      </c>
    </row>
    <row r="501" spans="1:4" x14ac:dyDescent="0.25">
      <c r="A501" s="24" t="s">
        <v>2449</v>
      </c>
      <c r="B501" s="9">
        <v>45553</v>
      </c>
      <c r="C501" s="6" t="s">
        <v>1505</v>
      </c>
      <c r="D501" s="13">
        <v>2</v>
      </c>
    </row>
    <row r="502" spans="1:4" x14ac:dyDescent="0.25">
      <c r="A502" s="24" t="s">
        <v>2450</v>
      </c>
      <c r="B502" s="9">
        <v>45957</v>
      </c>
      <c r="C502" s="6" t="s">
        <v>1642</v>
      </c>
      <c r="D502" s="13">
        <v>13</v>
      </c>
    </row>
    <row r="503" spans="1:4" x14ac:dyDescent="0.25">
      <c r="A503" s="24" t="s">
        <v>2451</v>
      </c>
      <c r="B503" s="9">
        <v>45413</v>
      </c>
      <c r="C503" s="6" t="s">
        <v>1779</v>
      </c>
      <c r="D503" s="13">
        <v>5</v>
      </c>
    </row>
    <row r="504" spans="1:4" x14ac:dyDescent="0.25">
      <c r="A504" s="24" t="s">
        <v>2452</v>
      </c>
      <c r="B504" s="9">
        <v>45822</v>
      </c>
      <c r="C504" s="6" t="s">
        <v>1916</v>
      </c>
      <c r="D504" s="13">
        <v>8</v>
      </c>
    </row>
    <row r="505" spans="1:4" x14ac:dyDescent="0.25">
      <c r="A505" s="24" t="s">
        <v>2453</v>
      </c>
      <c r="B505" s="9">
        <v>45646</v>
      </c>
      <c r="C505" s="6" t="s">
        <v>1573</v>
      </c>
      <c r="D505" s="13">
        <v>1</v>
      </c>
    </row>
    <row r="506" spans="1:4" x14ac:dyDescent="0.25">
      <c r="A506" s="24" t="s">
        <v>2454</v>
      </c>
      <c r="B506" s="9">
        <v>45759</v>
      </c>
      <c r="C506" s="6" t="s">
        <v>1710</v>
      </c>
      <c r="D506" s="13">
        <v>11</v>
      </c>
    </row>
    <row r="507" spans="1:4" x14ac:dyDescent="0.25">
      <c r="A507" s="24" t="s">
        <v>2455</v>
      </c>
      <c r="B507" s="9">
        <v>45501</v>
      </c>
      <c r="C507" s="6" t="s">
        <v>1847</v>
      </c>
      <c r="D507" s="13">
        <v>7</v>
      </c>
    </row>
    <row r="508" spans="1:4" x14ac:dyDescent="0.25">
      <c r="A508" s="24" t="s">
        <v>2456</v>
      </c>
      <c r="B508" s="9">
        <v>45901</v>
      </c>
      <c r="C508" s="6" t="s">
        <v>1484</v>
      </c>
      <c r="D508" s="13">
        <v>3</v>
      </c>
    </row>
    <row r="509" spans="1:4" x14ac:dyDescent="0.25">
      <c r="A509" s="24" t="s">
        <v>2457</v>
      </c>
      <c r="B509" s="9">
        <v>45364</v>
      </c>
      <c r="C509" s="6" t="s">
        <v>1621</v>
      </c>
      <c r="D509" s="13">
        <v>10</v>
      </c>
    </row>
    <row r="510" spans="1:4" x14ac:dyDescent="0.25">
      <c r="A510" s="24" t="s">
        <v>2458</v>
      </c>
      <c r="B510" s="9">
        <v>45660</v>
      </c>
      <c r="C510" s="6" t="s">
        <v>1758</v>
      </c>
      <c r="D510" s="13">
        <v>6</v>
      </c>
    </row>
    <row r="511" spans="1:4" x14ac:dyDescent="0.25">
      <c r="A511" s="24" t="s">
        <v>2459</v>
      </c>
      <c r="B511" s="9">
        <v>45620</v>
      </c>
      <c r="C511" s="6" t="s">
        <v>1895</v>
      </c>
      <c r="D511" s="13">
        <v>12</v>
      </c>
    </row>
    <row r="512" spans="1:4" x14ac:dyDescent="0.25">
      <c r="A512" s="24" t="s">
        <v>2460</v>
      </c>
      <c r="B512" s="9">
        <v>45878</v>
      </c>
      <c r="C512" s="6" t="s">
        <v>1532</v>
      </c>
      <c r="D512" s="13">
        <v>4</v>
      </c>
    </row>
    <row r="513" spans="1:4" x14ac:dyDescent="0.25">
      <c r="A513" s="24" t="s">
        <v>2461</v>
      </c>
      <c r="B513" s="9">
        <v>45344</v>
      </c>
      <c r="C513" s="6" t="s">
        <v>1669</v>
      </c>
      <c r="D513" s="13">
        <v>9</v>
      </c>
    </row>
    <row r="514" spans="1:4" x14ac:dyDescent="0.25">
      <c r="A514" s="24" t="s">
        <v>2462</v>
      </c>
      <c r="B514" s="9">
        <v>45792</v>
      </c>
      <c r="C514" s="6" t="s">
        <v>1806</v>
      </c>
      <c r="D514" s="13">
        <v>2</v>
      </c>
    </row>
    <row r="515" spans="1:4" x14ac:dyDescent="0.25">
      <c r="A515" s="24" t="s">
        <v>2463</v>
      </c>
      <c r="B515" s="9">
        <v>45570</v>
      </c>
      <c r="C515" s="6" t="s">
        <v>1543</v>
      </c>
      <c r="D515" s="13">
        <v>14</v>
      </c>
    </row>
    <row r="516" spans="1:4" x14ac:dyDescent="0.25">
      <c r="A516" s="24" t="s">
        <v>2464</v>
      </c>
      <c r="B516" s="9">
        <v>45733</v>
      </c>
      <c r="C516" s="6" t="s">
        <v>1680</v>
      </c>
      <c r="D516" s="13">
        <v>5</v>
      </c>
    </row>
    <row r="517" spans="1:4" x14ac:dyDescent="0.25">
      <c r="A517" s="24" t="s">
        <v>2465</v>
      </c>
      <c r="B517" s="9">
        <v>45468</v>
      </c>
      <c r="C517" s="6" t="s">
        <v>1817</v>
      </c>
      <c r="D517" s="13">
        <v>8</v>
      </c>
    </row>
    <row r="518" spans="1:4" x14ac:dyDescent="0.25">
      <c r="A518" s="24" t="s">
        <v>2466</v>
      </c>
      <c r="B518" s="9">
        <v>45993</v>
      </c>
      <c r="C518" s="6" t="s">
        <v>1554</v>
      </c>
      <c r="D518" s="13">
        <v>1</v>
      </c>
    </row>
    <row r="519" spans="1:4" x14ac:dyDescent="0.25">
      <c r="A519" s="24" t="s">
        <v>2467</v>
      </c>
      <c r="B519" s="9">
        <v>45542</v>
      </c>
      <c r="C519" s="6" t="s">
        <v>1691</v>
      </c>
      <c r="D519" s="13">
        <v>11</v>
      </c>
    </row>
    <row r="520" spans="1:4" x14ac:dyDescent="0.25">
      <c r="A520" s="24" t="s">
        <v>2468</v>
      </c>
      <c r="B520" s="9">
        <v>45860</v>
      </c>
      <c r="C520" s="6" t="s">
        <v>1828</v>
      </c>
      <c r="D520" s="13">
        <v>7</v>
      </c>
    </row>
    <row r="521" spans="1:4" x14ac:dyDescent="0.25">
      <c r="A521" s="24" t="s">
        <v>2469</v>
      </c>
      <c r="B521" s="9">
        <v>45401</v>
      </c>
      <c r="C521" s="6" t="s">
        <v>1505</v>
      </c>
      <c r="D521" s="13">
        <v>3</v>
      </c>
    </row>
    <row r="522" spans="1:4" x14ac:dyDescent="0.25">
      <c r="A522" s="24" t="s">
        <v>2470</v>
      </c>
      <c r="B522" s="9">
        <v>45967</v>
      </c>
      <c r="C522" s="6" t="s">
        <v>1642</v>
      </c>
      <c r="D522" s="13">
        <v>10</v>
      </c>
    </row>
    <row r="523" spans="1:4" x14ac:dyDescent="0.25">
      <c r="A523" s="24" t="s">
        <v>2471</v>
      </c>
      <c r="B523" s="9">
        <v>45300</v>
      </c>
      <c r="C523" s="6" t="s">
        <v>1779</v>
      </c>
      <c r="D523" s="13">
        <v>6</v>
      </c>
    </row>
    <row r="524" spans="1:4" x14ac:dyDescent="0.25">
      <c r="A524" s="24" t="s">
        <v>2472</v>
      </c>
      <c r="B524" s="9">
        <v>45698</v>
      </c>
      <c r="C524" s="6" t="s">
        <v>1916</v>
      </c>
      <c r="D524" s="13">
        <v>12</v>
      </c>
    </row>
    <row r="525" spans="1:4" x14ac:dyDescent="0.25">
      <c r="A525" s="24" t="s">
        <v>2473</v>
      </c>
      <c r="B525" s="9">
        <v>45506</v>
      </c>
      <c r="C525" s="6" t="s">
        <v>1573</v>
      </c>
      <c r="D525" s="13">
        <v>4</v>
      </c>
    </row>
    <row r="526" spans="1:4" x14ac:dyDescent="0.25">
      <c r="A526" s="24" t="s">
        <v>2474</v>
      </c>
      <c r="B526" s="9">
        <v>45944</v>
      </c>
      <c r="C526" s="6" t="s">
        <v>1710</v>
      </c>
      <c r="D526" s="13">
        <v>9</v>
      </c>
    </row>
    <row r="527" spans="1:4" x14ac:dyDescent="0.25">
      <c r="A527" s="24" t="s">
        <v>2475</v>
      </c>
      <c r="B527" s="9">
        <v>45438</v>
      </c>
      <c r="C527" s="6" t="s">
        <v>1847</v>
      </c>
      <c r="D527" s="13">
        <v>2</v>
      </c>
    </row>
    <row r="528" spans="1:4" x14ac:dyDescent="0.25">
      <c r="A528" s="24" t="s">
        <v>2476</v>
      </c>
      <c r="B528" s="9">
        <v>45816</v>
      </c>
      <c r="C528" s="6" t="s">
        <v>1484</v>
      </c>
      <c r="D528" s="13">
        <v>13</v>
      </c>
    </row>
    <row r="529" spans="1:4" x14ac:dyDescent="0.25">
      <c r="A529" s="24" t="s">
        <v>2477</v>
      </c>
      <c r="B529" s="9">
        <v>45637</v>
      </c>
      <c r="C529" s="6" t="s">
        <v>1621</v>
      </c>
      <c r="D529" s="13">
        <v>5</v>
      </c>
    </row>
    <row r="530" spans="1:4" x14ac:dyDescent="0.25">
      <c r="A530" s="24" t="s">
        <v>2478</v>
      </c>
      <c r="B530" s="9">
        <v>45919</v>
      </c>
      <c r="C530" s="6" t="s">
        <v>1758</v>
      </c>
      <c r="D530" s="13">
        <v>8</v>
      </c>
    </row>
    <row r="531" spans="1:4" x14ac:dyDescent="0.25">
      <c r="A531" s="24" t="s">
        <v>2479</v>
      </c>
      <c r="B531" s="9">
        <v>45488</v>
      </c>
      <c r="C531" s="6" t="s">
        <v>1895</v>
      </c>
      <c r="D531" s="13">
        <v>1</v>
      </c>
    </row>
    <row r="532" spans="1:4" x14ac:dyDescent="0.25">
      <c r="A532" s="24" t="s">
        <v>2480</v>
      </c>
      <c r="B532" s="9">
        <v>45763</v>
      </c>
      <c r="C532" s="6" t="s">
        <v>1532</v>
      </c>
      <c r="D532" s="13">
        <v>11</v>
      </c>
    </row>
    <row r="533" spans="1:4" x14ac:dyDescent="0.25">
      <c r="A533" s="24" t="s">
        <v>2481</v>
      </c>
      <c r="B533" s="9">
        <v>45353</v>
      </c>
      <c r="C533" s="6" t="s">
        <v>1669</v>
      </c>
      <c r="D533" s="13">
        <v>7</v>
      </c>
    </row>
    <row r="534" spans="1:4" x14ac:dyDescent="0.25">
      <c r="A534" s="24" t="s">
        <v>2482</v>
      </c>
      <c r="B534" s="9">
        <v>45685</v>
      </c>
      <c r="C534" s="6" t="s">
        <v>1806</v>
      </c>
      <c r="D534" s="13">
        <v>14</v>
      </c>
    </row>
    <row r="535" spans="1:4" x14ac:dyDescent="0.25">
      <c r="A535" s="24" t="s">
        <v>2483</v>
      </c>
      <c r="B535" s="9">
        <v>45593</v>
      </c>
      <c r="C535" s="6" t="s">
        <v>1543</v>
      </c>
      <c r="D535" s="13">
        <v>3</v>
      </c>
    </row>
    <row r="536" spans="1:4" x14ac:dyDescent="0.25">
      <c r="A536" s="24" t="s">
        <v>2484</v>
      </c>
      <c r="B536" s="9">
        <v>45873</v>
      </c>
      <c r="C536" s="6" t="s">
        <v>1680</v>
      </c>
      <c r="D536" s="13">
        <v>10</v>
      </c>
    </row>
    <row r="537" spans="1:4" x14ac:dyDescent="0.25">
      <c r="A537" s="24" t="s">
        <v>2485</v>
      </c>
      <c r="B537" s="9">
        <v>45444</v>
      </c>
      <c r="C537" s="6" t="s">
        <v>1817</v>
      </c>
      <c r="D537" s="13">
        <v>6</v>
      </c>
    </row>
    <row r="538" spans="1:4" x14ac:dyDescent="0.25">
      <c r="A538" s="24" t="s">
        <v>2486</v>
      </c>
      <c r="B538" s="9">
        <v>45986</v>
      </c>
      <c r="C538" s="6" t="s">
        <v>1554</v>
      </c>
      <c r="D538" s="13">
        <v>12</v>
      </c>
    </row>
    <row r="539" spans="1:4" x14ac:dyDescent="0.25">
      <c r="A539" s="24" t="s">
        <v>2487</v>
      </c>
      <c r="B539" s="9">
        <v>45333</v>
      </c>
      <c r="C539" s="6" t="s">
        <v>1691</v>
      </c>
      <c r="D539" s="13">
        <v>4</v>
      </c>
    </row>
    <row r="540" spans="1:4" x14ac:dyDescent="0.25">
      <c r="A540" s="24" t="s">
        <v>2488</v>
      </c>
      <c r="B540" s="9">
        <v>45848</v>
      </c>
      <c r="C540" s="6" t="s">
        <v>1828</v>
      </c>
      <c r="D540" s="13">
        <v>9</v>
      </c>
    </row>
    <row r="541" spans="1:4" x14ac:dyDescent="0.25">
      <c r="A541" s="24" t="s">
        <v>2489</v>
      </c>
      <c r="B541" s="9">
        <v>45548</v>
      </c>
      <c r="C541" s="6" t="s">
        <v>1505</v>
      </c>
      <c r="D541" s="13">
        <v>2</v>
      </c>
    </row>
    <row r="542" spans="1:4" x14ac:dyDescent="0.25">
      <c r="A542" s="24" t="s">
        <v>2490</v>
      </c>
      <c r="B542" s="9">
        <v>45799</v>
      </c>
      <c r="C542" s="6" t="s">
        <v>1642</v>
      </c>
      <c r="D542" s="13">
        <v>13</v>
      </c>
    </row>
    <row r="543" spans="1:4" x14ac:dyDescent="0.25">
      <c r="A543" s="24" t="s">
        <v>2491</v>
      </c>
      <c r="B543" s="9">
        <v>45396</v>
      </c>
      <c r="C543" s="6" t="s">
        <v>1779</v>
      </c>
      <c r="D543" s="13">
        <v>5</v>
      </c>
    </row>
    <row r="544" spans="1:4" x14ac:dyDescent="0.25">
      <c r="A544" s="24" t="s">
        <v>2492</v>
      </c>
      <c r="B544" s="9">
        <v>46000</v>
      </c>
      <c r="C544" s="6" t="s">
        <v>1916</v>
      </c>
      <c r="D544" s="13">
        <v>8</v>
      </c>
    </row>
    <row r="545" spans="1:4" x14ac:dyDescent="0.25">
      <c r="A545" s="24" t="s">
        <v>2493</v>
      </c>
      <c r="B545" s="9">
        <v>45623</v>
      </c>
      <c r="C545" s="6" t="s">
        <v>1573</v>
      </c>
      <c r="D545" s="13">
        <v>1</v>
      </c>
    </row>
    <row r="546" spans="1:4" x14ac:dyDescent="0.25">
      <c r="A546" s="24" t="s">
        <v>2494</v>
      </c>
      <c r="B546" s="9">
        <v>45726</v>
      </c>
      <c r="C546" s="6" t="s">
        <v>1710</v>
      </c>
      <c r="D546" s="13">
        <v>11</v>
      </c>
    </row>
    <row r="547" spans="1:4" x14ac:dyDescent="0.25">
      <c r="A547" s="24" t="s">
        <v>2495</v>
      </c>
      <c r="B547" s="9">
        <v>45523</v>
      </c>
      <c r="C547" s="6" t="s">
        <v>1847</v>
      </c>
      <c r="D547" s="13">
        <v>7</v>
      </c>
    </row>
    <row r="548" spans="1:4" x14ac:dyDescent="0.25">
      <c r="A548" s="24" t="s">
        <v>2496</v>
      </c>
      <c r="B548" s="9">
        <v>45951</v>
      </c>
      <c r="C548" s="6" t="s">
        <v>1484</v>
      </c>
      <c r="D548" s="13">
        <v>3</v>
      </c>
    </row>
    <row r="549" spans="1:4" x14ac:dyDescent="0.25">
      <c r="A549" s="24" t="s">
        <v>2497</v>
      </c>
      <c r="B549" s="9">
        <v>45308</v>
      </c>
      <c r="C549" s="6" t="s">
        <v>1621</v>
      </c>
      <c r="D549" s="13">
        <v>10</v>
      </c>
    </row>
    <row r="550" spans="1:4" x14ac:dyDescent="0.25">
      <c r="A550" s="24" t="s">
        <v>2498</v>
      </c>
      <c r="B550" s="9">
        <v>45825</v>
      </c>
      <c r="C550" s="6" t="s">
        <v>1758</v>
      </c>
      <c r="D550" s="13">
        <v>6</v>
      </c>
    </row>
    <row r="551" spans="1:4" x14ac:dyDescent="0.25">
      <c r="A551" s="24" t="s">
        <v>2499</v>
      </c>
      <c r="B551" s="9">
        <v>45482</v>
      </c>
      <c r="C551" s="6" t="s">
        <v>1895</v>
      </c>
      <c r="D551" s="13">
        <v>12</v>
      </c>
    </row>
    <row r="552" spans="1:4" x14ac:dyDescent="0.25">
      <c r="A552" s="24" t="s">
        <v>2500</v>
      </c>
      <c r="B552" s="9">
        <v>45692</v>
      </c>
      <c r="C552" s="6" t="s">
        <v>1532</v>
      </c>
      <c r="D552" s="13">
        <v>4</v>
      </c>
    </row>
    <row r="553" spans="1:4" x14ac:dyDescent="0.25">
      <c r="A553" s="24" t="s">
        <v>2501</v>
      </c>
      <c r="B553" s="9">
        <v>45415</v>
      </c>
      <c r="C553" s="6" t="s">
        <v>1669</v>
      </c>
      <c r="D553" s="13">
        <v>9</v>
      </c>
    </row>
    <row r="554" spans="1:4" x14ac:dyDescent="0.25">
      <c r="A554" s="24" t="s">
        <v>2502</v>
      </c>
      <c r="B554" s="9">
        <v>45907</v>
      </c>
      <c r="C554" s="6" t="s">
        <v>1806</v>
      </c>
      <c r="D554" s="13">
        <v>2</v>
      </c>
    </row>
    <row r="555" spans="1:4" x14ac:dyDescent="0.25">
      <c r="A555" s="24" t="s">
        <v>2503</v>
      </c>
      <c r="B555" s="9">
        <v>45642</v>
      </c>
      <c r="C555" s="6" t="s">
        <v>1543</v>
      </c>
      <c r="D555" s="13">
        <v>14</v>
      </c>
    </row>
    <row r="556" spans="1:4" x14ac:dyDescent="0.25">
      <c r="A556" s="24" t="s">
        <v>2504</v>
      </c>
      <c r="B556" s="9">
        <v>45754</v>
      </c>
      <c r="C556" s="6" t="s">
        <v>1680</v>
      </c>
      <c r="D556" s="13">
        <v>5</v>
      </c>
    </row>
    <row r="557" spans="1:4" x14ac:dyDescent="0.25">
      <c r="A557" s="24" t="s">
        <v>2505</v>
      </c>
      <c r="B557" s="9">
        <v>45574</v>
      </c>
      <c r="C557" s="6" t="s">
        <v>1817</v>
      </c>
      <c r="D557" s="13">
        <v>8</v>
      </c>
    </row>
    <row r="558" spans="1:4" x14ac:dyDescent="0.25">
      <c r="A558" s="24" t="s">
        <v>2506</v>
      </c>
      <c r="B558" s="9">
        <v>45676</v>
      </c>
      <c r="C558" s="6" t="s">
        <v>1554</v>
      </c>
      <c r="D558" s="13">
        <v>1</v>
      </c>
    </row>
    <row r="559" spans="1:4" x14ac:dyDescent="0.25">
      <c r="A559" s="24" t="s">
        <v>2507</v>
      </c>
      <c r="B559" s="9">
        <v>45378</v>
      </c>
      <c r="C559" s="6" t="s">
        <v>1691</v>
      </c>
      <c r="D559" s="13">
        <v>11</v>
      </c>
    </row>
    <row r="560" spans="1:4" x14ac:dyDescent="0.25">
      <c r="A560" s="24" t="s">
        <v>2508</v>
      </c>
      <c r="B560" s="9">
        <v>45895</v>
      </c>
      <c r="C560" s="6" t="s">
        <v>1828</v>
      </c>
      <c r="D560" s="13">
        <v>7</v>
      </c>
    </row>
    <row r="561" spans="1:4" x14ac:dyDescent="0.25">
      <c r="A561" s="24" t="s">
        <v>2509</v>
      </c>
      <c r="B561" s="9">
        <v>45462</v>
      </c>
      <c r="C561" s="6" t="s">
        <v>1505</v>
      </c>
      <c r="D561" s="13">
        <v>3</v>
      </c>
    </row>
    <row r="562" spans="1:4" x14ac:dyDescent="0.25">
      <c r="A562" s="24" t="s">
        <v>2510</v>
      </c>
      <c r="B562" s="9">
        <v>45979</v>
      </c>
      <c r="C562" s="6" t="s">
        <v>1642</v>
      </c>
      <c r="D562" s="13">
        <v>10</v>
      </c>
    </row>
    <row r="563" spans="1:4" x14ac:dyDescent="0.25">
      <c r="A563" s="24" t="s">
        <v>2511</v>
      </c>
      <c r="B563" s="9">
        <v>45559</v>
      </c>
      <c r="C563" s="6" t="s">
        <v>1779</v>
      </c>
      <c r="D563" s="13">
        <v>6</v>
      </c>
    </row>
    <row r="564" spans="1:4" x14ac:dyDescent="0.25">
      <c r="A564" s="24" t="s">
        <v>2512</v>
      </c>
      <c r="B564" s="9">
        <v>45841</v>
      </c>
      <c r="C564" s="6" t="s">
        <v>1916</v>
      </c>
      <c r="D564" s="13">
        <v>12</v>
      </c>
    </row>
    <row r="565" spans="1:4" x14ac:dyDescent="0.25">
      <c r="A565" s="24" t="s">
        <v>2513</v>
      </c>
      <c r="B565" s="9">
        <v>45328</v>
      </c>
      <c r="C565" s="6" t="s">
        <v>1573</v>
      </c>
      <c r="D565" s="13">
        <v>4</v>
      </c>
    </row>
    <row r="566" spans="1:4" x14ac:dyDescent="0.25">
      <c r="A566" s="24" t="s">
        <v>2514</v>
      </c>
      <c r="B566" s="9">
        <v>45783</v>
      </c>
      <c r="C566" s="6" t="s">
        <v>1710</v>
      </c>
      <c r="D566" s="13">
        <v>9</v>
      </c>
    </row>
    <row r="567" spans="1:4" x14ac:dyDescent="0.25">
      <c r="A567" s="24" t="s">
        <v>2515</v>
      </c>
      <c r="B567" s="9">
        <v>45608</v>
      </c>
      <c r="C567" s="6" t="s">
        <v>1847</v>
      </c>
      <c r="D567" s="13">
        <v>2</v>
      </c>
    </row>
    <row r="568" spans="1:4" x14ac:dyDescent="0.25">
      <c r="A568" s="24" t="s">
        <v>2516</v>
      </c>
      <c r="B568" s="9">
        <v>45995</v>
      </c>
      <c r="C568" s="6" t="s">
        <v>1484</v>
      </c>
      <c r="D568" s="13">
        <v>13</v>
      </c>
    </row>
    <row r="569" spans="1:4" x14ac:dyDescent="0.25">
      <c r="A569" s="24" t="s">
        <v>2517</v>
      </c>
      <c r="B569" s="9">
        <v>45403</v>
      </c>
      <c r="C569" s="6" t="s">
        <v>1621</v>
      </c>
      <c r="D569" s="13">
        <v>5</v>
      </c>
    </row>
    <row r="570" spans="1:4" x14ac:dyDescent="0.25">
      <c r="A570" s="24" t="s">
        <v>2518</v>
      </c>
      <c r="B570" s="9">
        <v>45737</v>
      </c>
      <c r="C570" s="6" t="s">
        <v>1758</v>
      </c>
      <c r="D570" s="13">
        <v>8</v>
      </c>
    </row>
    <row r="571" spans="1:4" x14ac:dyDescent="0.25">
      <c r="A571" s="24" t="s">
        <v>2519</v>
      </c>
      <c r="B571" s="9">
        <v>45518</v>
      </c>
      <c r="C571" s="6" t="s">
        <v>1895</v>
      </c>
      <c r="D571" s="13">
        <v>1</v>
      </c>
    </row>
    <row r="572" spans="1:4" x14ac:dyDescent="0.25">
      <c r="A572" s="24" t="s">
        <v>2520</v>
      </c>
      <c r="B572" s="9">
        <v>45938</v>
      </c>
      <c r="C572" s="6" t="s">
        <v>1532</v>
      </c>
      <c r="D572" s="13">
        <v>11</v>
      </c>
    </row>
    <row r="573" spans="1:4" x14ac:dyDescent="0.25">
      <c r="A573" s="24" t="s">
        <v>2521</v>
      </c>
      <c r="B573" s="9">
        <v>45315</v>
      </c>
      <c r="C573" s="6" t="s">
        <v>1669</v>
      </c>
      <c r="D573" s="13">
        <v>7</v>
      </c>
    </row>
    <row r="574" spans="1:4" x14ac:dyDescent="0.25">
      <c r="A574" s="24" t="s">
        <v>2522</v>
      </c>
      <c r="B574" s="9">
        <v>45810</v>
      </c>
      <c r="C574" s="6" t="s">
        <v>1806</v>
      </c>
      <c r="D574" s="13">
        <v>14</v>
      </c>
    </row>
    <row r="575" spans="1:4" x14ac:dyDescent="0.25">
      <c r="A575" s="24" t="s">
        <v>2523</v>
      </c>
      <c r="B575" s="9">
        <v>45499</v>
      </c>
      <c r="C575" s="6" t="s">
        <v>1543</v>
      </c>
      <c r="D575" s="13">
        <v>3</v>
      </c>
    </row>
    <row r="576" spans="1:4" x14ac:dyDescent="0.25">
      <c r="A576" s="24" t="s">
        <v>2524</v>
      </c>
      <c r="B576" s="9">
        <v>45929</v>
      </c>
      <c r="C576" s="6" t="s">
        <v>1680</v>
      </c>
      <c r="D576" s="13">
        <v>10</v>
      </c>
    </row>
    <row r="577" spans="1:4" x14ac:dyDescent="0.25">
      <c r="A577" s="24" t="s">
        <v>2525</v>
      </c>
      <c r="B577" s="9">
        <v>45421</v>
      </c>
      <c r="C577" s="6" t="s">
        <v>1817</v>
      </c>
      <c r="D577" s="13">
        <v>6</v>
      </c>
    </row>
    <row r="578" spans="1:4" x14ac:dyDescent="0.25">
      <c r="A578" s="24" t="s">
        <v>2526</v>
      </c>
      <c r="B578" s="9">
        <v>45703</v>
      </c>
      <c r="C578" s="6" t="s">
        <v>1554</v>
      </c>
      <c r="D578" s="13">
        <v>12</v>
      </c>
    </row>
    <row r="579" spans="1:4" x14ac:dyDescent="0.25">
      <c r="A579" s="24" t="s">
        <v>2527</v>
      </c>
      <c r="B579" s="9">
        <v>45629</v>
      </c>
      <c r="C579" s="6" t="s">
        <v>1691</v>
      </c>
      <c r="D579" s="13">
        <v>4</v>
      </c>
    </row>
    <row r="580" spans="1:4" x14ac:dyDescent="0.25">
      <c r="A580" s="24" t="s">
        <v>2528</v>
      </c>
      <c r="B580" s="9">
        <v>45777</v>
      </c>
      <c r="C580" s="6" t="s">
        <v>1828</v>
      </c>
      <c r="D580" s="13">
        <v>9</v>
      </c>
    </row>
    <row r="581" spans="1:4" x14ac:dyDescent="0.25">
      <c r="A581" s="24" t="s">
        <v>2529</v>
      </c>
      <c r="B581" s="9">
        <v>45582</v>
      </c>
      <c r="C581" s="6" t="s">
        <v>1505</v>
      </c>
      <c r="D581" s="13">
        <v>2</v>
      </c>
    </row>
    <row r="582" spans="1:4" x14ac:dyDescent="0.25">
      <c r="A582" s="24" t="s">
        <v>2530</v>
      </c>
      <c r="B582" s="9">
        <v>45970</v>
      </c>
      <c r="C582" s="6" t="s">
        <v>1642</v>
      </c>
      <c r="D582" s="13">
        <v>13</v>
      </c>
    </row>
    <row r="583" spans="1:4" x14ac:dyDescent="0.25">
      <c r="A583" s="24" t="s">
        <v>2531</v>
      </c>
      <c r="B583" s="9">
        <v>45369</v>
      </c>
      <c r="C583" s="6" t="s">
        <v>1779</v>
      </c>
      <c r="D583" s="13">
        <v>5</v>
      </c>
    </row>
    <row r="584" spans="1:4" x14ac:dyDescent="0.25">
      <c r="A584" s="24" t="s">
        <v>2532</v>
      </c>
      <c r="B584" s="9">
        <v>45880</v>
      </c>
      <c r="C584" s="6" t="s">
        <v>1916</v>
      </c>
      <c r="D584" s="13">
        <v>8</v>
      </c>
    </row>
    <row r="585" spans="1:4" x14ac:dyDescent="0.25">
      <c r="A585" s="24" t="s">
        <v>2533</v>
      </c>
      <c r="B585" s="9">
        <v>45456</v>
      </c>
      <c r="C585" s="6" t="s">
        <v>1573</v>
      </c>
      <c r="D585" s="13">
        <v>1</v>
      </c>
    </row>
    <row r="586" spans="1:4" x14ac:dyDescent="0.25">
      <c r="A586" s="24" t="s">
        <v>2534</v>
      </c>
      <c r="B586" s="9">
        <v>45670</v>
      </c>
      <c r="C586" s="6" t="s">
        <v>1710</v>
      </c>
      <c r="D586" s="13">
        <v>11</v>
      </c>
    </row>
    <row r="587" spans="1:4" x14ac:dyDescent="0.25">
      <c r="A587" s="24" t="s">
        <v>2535</v>
      </c>
      <c r="B587" s="9">
        <v>45555</v>
      </c>
      <c r="C587" s="6" t="s">
        <v>1847</v>
      </c>
      <c r="D587" s="13">
        <v>7</v>
      </c>
    </row>
    <row r="588" spans="1:4" x14ac:dyDescent="0.25">
      <c r="A588" s="24" t="s">
        <v>2536</v>
      </c>
      <c r="B588" s="9">
        <v>45855</v>
      </c>
      <c r="C588" s="6" t="s">
        <v>1484</v>
      </c>
      <c r="D588" s="13">
        <v>3</v>
      </c>
    </row>
    <row r="589" spans="1:4" x14ac:dyDescent="0.25">
      <c r="A589" s="24" t="s">
        <v>2537</v>
      </c>
      <c r="B589" s="9">
        <v>45340</v>
      </c>
      <c r="C589" s="6" t="s">
        <v>1621</v>
      </c>
      <c r="D589" s="13">
        <v>10</v>
      </c>
    </row>
    <row r="590" spans="1:4" x14ac:dyDescent="0.25">
      <c r="A590" s="24" t="s">
        <v>2538</v>
      </c>
      <c r="B590" s="9">
        <v>45790</v>
      </c>
      <c r="C590" s="6" t="s">
        <v>1758</v>
      </c>
      <c r="D590" s="13">
        <v>6</v>
      </c>
    </row>
    <row r="591" spans="1:4" x14ac:dyDescent="0.25">
      <c r="A591" s="24" t="s">
        <v>2539</v>
      </c>
      <c r="B591" s="9">
        <v>45599</v>
      </c>
      <c r="C591" s="6" t="s">
        <v>1895</v>
      </c>
      <c r="D591" s="13">
        <v>12</v>
      </c>
    </row>
    <row r="592" spans="1:4" x14ac:dyDescent="0.25">
      <c r="A592" s="24" t="s">
        <v>2540</v>
      </c>
      <c r="B592" s="9">
        <v>46012</v>
      </c>
      <c r="C592" s="6" t="s">
        <v>1532</v>
      </c>
      <c r="D592" s="13">
        <v>4</v>
      </c>
    </row>
    <row r="593" spans="1:4" x14ac:dyDescent="0.25">
      <c r="A593" s="24" t="s">
        <v>2541</v>
      </c>
      <c r="B593" s="9">
        <v>45397</v>
      </c>
      <c r="C593" s="6" t="s">
        <v>1669</v>
      </c>
      <c r="D593" s="13">
        <v>9</v>
      </c>
    </row>
    <row r="594" spans="1:4" x14ac:dyDescent="0.25">
      <c r="A594" s="24" t="s">
        <v>2542</v>
      </c>
      <c r="B594" s="9">
        <v>45721</v>
      </c>
      <c r="C594" s="6" t="s">
        <v>1806</v>
      </c>
      <c r="D594" s="13">
        <v>2</v>
      </c>
    </row>
    <row r="595" spans="1:4" x14ac:dyDescent="0.25">
      <c r="A595" s="24" t="s">
        <v>2543</v>
      </c>
      <c r="B595" s="9">
        <v>45511</v>
      </c>
      <c r="C595" s="6" t="s">
        <v>1543</v>
      </c>
      <c r="D595" s="13">
        <v>14</v>
      </c>
    </row>
    <row r="596" spans="1:4" x14ac:dyDescent="0.25">
      <c r="A596" s="24" t="s">
        <v>2544</v>
      </c>
      <c r="B596" s="9">
        <v>45955</v>
      </c>
      <c r="C596" s="6" t="s">
        <v>1680</v>
      </c>
      <c r="D596" s="13">
        <v>5</v>
      </c>
    </row>
    <row r="597" spans="1:4" x14ac:dyDescent="0.25">
      <c r="A597" s="24" t="s">
        <v>2545</v>
      </c>
      <c r="B597" s="9">
        <v>45477</v>
      </c>
      <c r="C597" s="6" t="s">
        <v>1817</v>
      </c>
      <c r="D597" s="13">
        <v>8</v>
      </c>
    </row>
    <row r="598" spans="1:4" x14ac:dyDescent="0.25">
      <c r="A598" s="24" t="s">
        <v>2546</v>
      </c>
      <c r="B598" s="9">
        <v>45708</v>
      </c>
      <c r="C598" s="6" t="s">
        <v>1554</v>
      </c>
      <c r="D598" s="13">
        <v>1</v>
      </c>
    </row>
    <row r="599" spans="1:4" x14ac:dyDescent="0.25">
      <c r="A599" s="24" t="s">
        <v>2547</v>
      </c>
      <c r="B599" s="9">
        <v>45301</v>
      </c>
      <c r="C599" s="6" t="s">
        <v>1691</v>
      </c>
      <c r="D599" s="13">
        <v>11</v>
      </c>
    </row>
    <row r="600" spans="1:4" x14ac:dyDescent="0.25">
      <c r="A600" s="24" t="s">
        <v>2548</v>
      </c>
      <c r="B600" s="9">
        <v>45904</v>
      </c>
      <c r="C600" s="6" t="s">
        <v>1828</v>
      </c>
      <c r="D600" s="13">
        <v>7</v>
      </c>
    </row>
    <row r="601" spans="1:4" x14ac:dyDescent="0.25">
      <c r="A601" s="24" t="s">
        <v>2549</v>
      </c>
      <c r="B601" s="9">
        <v>45439</v>
      </c>
      <c r="C601" s="6" t="s">
        <v>1505</v>
      </c>
      <c r="D601" s="13">
        <v>3</v>
      </c>
    </row>
    <row r="602" spans="1:4" x14ac:dyDescent="0.25">
      <c r="A602" s="24" t="s">
        <v>3161</v>
      </c>
      <c r="B602" s="9">
        <v>45831</v>
      </c>
      <c r="C602" s="6" t="s">
        <v>1642</v>
      </c>
      <c r="D602" s="13">
        <v>10</v>
      </c>
    </row>
    <row r="603" spans="1:4" x14ac:dyDescent="0.25">
      <c r="A603" s="24" t="s">
        <v>3162</v>
      </c>
      <c r="B603" s="9">
        <v>45832</v>
      </c>
      <c r="C603" s="6" t="s">
        <v>1344</v>
      </c>
      <c r="D603" s="13">
        <v>300</v>
      </c>
    </row>
    <row r="604" spans="1:4" x14ac:dyDescent="0.25">
      <c r="A604" s="24" t="s">
        <v>3163</v>
      </c>
      <c r="B604" s="9">
        <v>45832</v>
      </c>
      <c r="C604" s="6" t="s">
        <v>1345</v>
      </c>
      <c r="D604" s="13">
        <v>100</v>
      </c>
    </row>
    <row r="605" spans="1:4" x14ac:dyDescent="0.25">
      <c r="A605" s="24" t="s">
        <v>3166</v>
      </c>
      <c r="B605" s="31">
        <v>45833</v>
      </c>
      <c r="C605" s="15" t="s">
        <v>1346</v>
      </c>
      <c r="D605" s="18">
        <v>100</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E9E8-48CB-4E61-B3A8-D73D4875B443}">
  <dimension ref="A1:D601"/>
  <sheetViews>
    <sheetView workbookViewId="0">
      <pane xSplit="1" ySplit="1" topLeftCell="B2" activePane="bottomRight" state="frozen"/>
      <selection pane="topRight" activeCell="B1" sqref="B1"/>
      <selection pane="bottomLeft" activeCell="A2" sqref="A2"/>
      <selection pane="bottomRight" activeCell="D3" sqref="D3"/>
    </sheetView>
  </sheetViews>
  <sheetFormatPr defaultRowHeight="10.5" x14ac:dyDescent="0.25"/>
  <cols>
    <col min="1" max="1" width="10.08984375" style="5" customWidth="1"/>
    <col min="2" max="3" width="8.7265625" style="5"/>
    <col min="4" max="4" width="15.90625" style="4" customWidth="1"/>
    <col min="5" max="16384" width="8.7265625" style="5"/>
  </cols>
  <sheetData>
    <row r="1" spans="1:4" s="2" customFormat="1" x14ac:dyDescent="0.25">
      <c r="A1" s="32" t="s">
        <v>2550</v>
      </c>
      <c r="B1" s="33" t="s">
        <v>1945</v>
      </c>
      <c r="C1" s="33" t="s">
        <v>0</v>
      </c>
      <c r="D1" s="35" t="s">
        <v>2551</v>
      </c>
    </row>
    <row r="2" spans="1:4" x14ac:dyDescent="0.25">
      <c r="A2" s="24" t="s">
        <v>2552</v>
      </c>
      <c r="B2" s="9">
        <v>45946</v>
      </c>
      <c r="C2" s="6" t="s">
        <v>1458</v>
      </c>
      <c r="D2" s="13">
        <v>400</v>
      </c>
    </row>
    <row r="3" spans="1:4" x14ac:dyDescent="0.25">
      <c r="A3" s="24" t="s">
        <v>2553</v>
      </c>
      <c r="B3" s="9">
        <v>45573</v>
      </c>
      <c r="C3" s="6" t="s">
        <v>1594</v>
      </c>
      <c r="D3" s="13">
        <v>2</v>
      </c>
    </row>
    <row r="4" spans="1:4" x14ac:dyDescent="0.25">
      <c r="A4" s="24" t="s">
        <v>2554</v>
      </c>
      <c r="B4" s="9">
        <v>46046</v>
      </c>
      <c r="C4" s="6" t="s">
        <v>1448</v>
      </c>
      <c r="D4" s="13">
        <v>8</v>
      </c>
    </row>
    <row r="5" spans="1:4" x14ac:dyDescent="0.25">
      <c r="A5" s="24" t="s">
        <v>2555</v>
      </c>
      <c r="B5" s="9">
        <v>45850</v>
      </c>
      <c r="C5" s="6" t="s">
        <v>1433</v>
      </c>
      <c r="D5" s="13">
        <v>7</v>
      </c>
    </row>
    <row r="6" spans="1:4" x14ac:dyDescent="0.25">
      <c r="A6" s="24" t="s">
        <v>2556</v>
      </c>
      <c r="B6" s="9">
        <v>45324</v>
      </c>
      <c r="C6" s="6" t="s">
        <v>1374</v>
      </c>
      <c r="D6" s="13">
        <v>1</v>
      </c>
    </row>
    <row r="7" spans="1:4" x14ac:dyDescent="0.25">
      <c r="A7" s="24" t="s">
        <v>2557</v>
      </c>
      <c r="B7" s="9">
        <v>45530</v>
      </c>
      <c r="C7" s="6" t="s">
        <v>1861</v>
      </c>
      <c r="D7" s="13">
        <v>7</v>
      </c>
    </row>
    <row r="8" spans="1:4" x14ac:dyDescent="0.25">
      <c r="A8" s="24" t="s">
        <v>2558</v>
      </c>
      <c r="B8" s="9">
        <v>45866</v>
      </c>
      <c r="C8" s="6" t="s">
        <v>1547</v>
      </c>
      <c r="D8" s="13">
        <v>9</v>
      </c>
    </row>
    <row r="9" spans="1:4" x14ac:dyDescent="0.25">
      <c r="A9" s="24" t="s">
        <v>2559</v>
      </c>
      <c r="B9" s="9">
        <v>46010</v>
      </c>
      <c r="C9" s="6" t="s">
        <v>1902</v>
      </c>
      <c r="D9" s="13">
        <v>4</v>
      </c>
    </row>
    <row r="10" spans="1:4" x14ac:dyDescent="0.25">
      <c r="A10" s="24" t="s">
        <v>2560</v>
      </c>
      <c r="B10" s="9">
        <v>45751</v>
      </c>
      <c r="C10" s="6" t="s">
        <v>1628</v>
      </c>
      <c r="D10" s="13">
        <v>11</v>
      </c>
    </row>
    <row r="11" spans="1:4" x14ac:dyDescent="0.25">
      <c r="A11" s="24" t="s">
        <v>2561</v>
      </c>
      <c r="B11" s="9">
        <v>45298</v>
      </c>
      <c r="C11" s="6" t="s">
        <v>1507</v>
      </c>
      <c r="D11" s="13">
        <v>9</v>
      </c>
    </row>
    <row r="12" spans="1:4" x14ac:dyDescent="0.25">
      <c r="A12" s="24" t="s">
        <v>2562</v>
      </c>
      <c r="B12" s="9">
        <v>45640</v>
      </c>
      <c r="C12" s="6" t="s">
        <v>1628</v>
      </c>
      <c r="D12" s="13">
        <v>2</v>
      </c>
    </row>
    <row r="13" spans="1:4" x14ac:dyDescent="0.25">
      <c r="A13" s="24" t="s">
        <v>2563</v>
      </c>
      <c r="B13" s="9">
        <v>46073</v>
      </c>
      <c r="C13" s="6" t="s">
        <v>1688</v>
      </c>
      <c r="D13" s="13">
        <v>1</v>
      </c>
    </row>
    <row r="14" spans="1:4" x14ac:dyDescent="0.25">
      <c r="A14" s="24" t="s">
        <v>2564</v>
      </c>
      <c r="B14" s="9">
        <v>45681</v>
      </c>
      <c r="C14" s="6" t="s">
        <v>1443</v>
      </c>
      <c r="D14" s="13">
        <v>4</v>
      </c>
    </row>
    <row r="15" spans="1:4" x14ac:dyDescent="0.25">
      <c r="A15" s="24" t="s">
        <v>2565</v>
      </c>
      <c r="B15" s="9">
        <v>45644</v>
      </c>
      <c r="C15" s="6" t="s">
        <v>1614</v>
      </c>
      <c r="D15" s="13">
        <v>11</v>
      </c>
    </row>
    <row r="16" spans="1:4" x14ac:dyDescent="0.25">
      <c r="A16" s="24" t="s">
        <v>2566</v>
      </c>
      <c r="B16" s="9">
        <v>46039</v>
      </c>
      <c r="C16" s="6" t="s">
        <v>1814</v>
      </c>
      <c r="D16" s="13">
        <v>6</v>
      </c>
    </row>
    <row r="17" spans="1:4" x14ac:dyDescent="0.25">
      <c r="A17" s="24" t="s">
        <v>2567</v>
      </c>
      <c r="B17" s="9">
        <v>45679</v>
      </c>
      <c r="C17" s="6" t="s">
        <v>1424</v>
      </c>
      <c r="D17" s="13">
        <v>6</v>
      </c>
    </row>
    <row r="18" spans="1:4" x14ac:dyDescent="0.25">
      <c r="A18" s="24" t="s">
        <v>2568</v>
      </c>
      <c r="B18" s="9">
        <v>45935</v>
      </c>
      <c r="C18" s="6" t="s">
        <v>1714</v>
      </c>
      <c r="D18" s="13">
        <v>6</v>
      </c>
    </row>
    <row r="19" spans="1:4" x14ac:dyDescent="0.25">
      <c r="A19" s="24" t="s">
        <v>2569</v>
      </c>
      <c r="B19" s="9">
        <v>46013</v>
      </c>
      <c r="C19" s="6" t="s">
        <v>1415</v>
      </c>
      <c r="D19" s="13">
        <v>1</v>
      </c>
    </row>
    <row r="20" spans="1:4" x14ac:dyDescent="0.25">
      <c r="A20" s="24" t="s">
        <v>2570</v>
      </c>
      <c r="B20" s="9">
        <v>45525</v>
      </c>
      <c r="C20" s="6" t="s">
        <v>1640</v>
      </c>
      <c r="D20" s="13">
        <v>30</v>
      </c>
    </row>
    <row r="21" spans="1:4" x14ac:dyDescent="0.25">
      <c r="A21" s="24" t="s">
        <v>2571</v>
      </c>
      <c r="B21" s="9">
        <v>45530</v>
      </c>
      <c r="C21" s="6" t="s">
        <v>1447</v>
      </c>
      <c r="D21" s="13">
        <v>4</v>
      </c>
    </row>
    <row r="22" spans="1:4" x14ac:dyDescent="0.25">
      <c r="A22" s="24" t="s">
        <v>2572</v>
      </c>
      <c r="B22" s="9">
        <v>45756</v>
      </c>
      <c r="C22" s="6" t="s">
        <v>1717</v>
      </c>
      <c r="D22" s="13">
        <v>2</v>
      </c>
    </row>
    <row r="23" spans="1:4" x14ac:dyDescent="0.25">
      <c r="A23" s="24" t="s">
        <v>2573</v>
      </c>
      <c r="B23" s="9">
        <v>45655</v>
      </c>
      <c r="C23" s="6" t="s">
        <v>1558</v>
      </c>
      <c r="D23" s="13">
        <v>8</v>
      </c>
    </row>
    <row r="24" spans="1:4" x14ac:dyDescent="0.25">
      <c r="A24" s="24" t="s">
        <v>2574</v>
      </c>
      <c r="B24" s="9">
        <v>46010</v>
      </c>
      <c r="C24" s="6" t="s">
        <v>1417</v>
      </c>
      <c r="D24" s="13">
        <v>7</v>
      </c>
    </row>
    <row r="25" spans="1:4" x14ac:dyDescent="0.25">
      <c r="A25" s="24" t="s">
        <v>2575</v>
      </c>
      <c r="B25" s="9">
        <v>45467</v>
      </c>
      <c r="C25" s="6" t="s">
        <v>1890</v>
      </c>
      <c r="D25" s="13">
        <v>9</v>
      </c>
    </row>
    <row r="26" spans="1:4" x14ac:dyDescent="0.25">
      <c r="A26" s="24" t="s">
        <v>2576</v>
      </c>
      <c r="B26" s="9">
        <v>45459</v>
      </c>
      <c r="C26" s="6" t="s">
        <v>1817</v>
      </c>
      <c r="D26" s="13">
        <v>4</v>
      </c>
    </row>
    <row r="27" spans="1:4" x14ac:dyDescent="0.25">
      <c r="A27" s="24" t="s">
        <v>2577</v>
      </c>
      <c r="B27" s="9">
        <v>45947</v>
      </c>
      <c r="C27" s="6" t="s">
        <v>1914</v>
      </c>
      <c r="D27" s="13">
        <v>2</v>
      </c>
    </row>
    <row r="28" spans="1:4" x14ac:dyDescent="0.25">
      <c r="A28" s="24" t="s">
        <v>2578</v>
      </c>
      <c r="B28" s="9">
        <v>45624</v>
      </c>
      <c r="C28" s="6" t="s">
        <v>1401</v>
      </c>
      <c r="D28" s="13">
        <v>2</v>
      </c>
    </row>
    <row r="29" spans="1:4" x14ac:dyDescent="0.25">
      <c r="A29" s="24" t="s">
        <v>2579</v>
      </c>
      <c r="B29" s="9">
        <v>45324</v>
      </c>
      <c r="C29" s="6" t="s">
        <v>1667</v>
      </c>
      <c r="D29" s="13">
        <v>4</v>
      </c>
    </row>
    <row r="30" spans="1:4" x14ac:dyDescent="0.25">
      <c r="A30" s="24" t="s">
        <v>2580</v>
      </c>
      <c r="B30" s="9">
        <v>45359</v>
      </c>
      <c r="C30" s="6" t="s">
        <v>1560</v>
      </c>
      <c r="D30" s="13">
        <v>16</v>
      </c>
    </row>
    <row r="31" spans="1:4" x14ac:dyDescent="0.25">
      <c r="A31" s="24" t="s">
        <v>2581</v>
      </c>
      <c r="B31" s="9">
        <v>45872</v>
      </c>
      <c r="C31" s="6" t="s">
        <v>1666</v>
      </c>
      <c r="D31" s="13">
        <v>2</v>
      </c>
    </row>
    <row r="32" spans="1:4" x14ac:dyDescent="0.25">
      <c r="A32" s="24" t="s">
        <v>2582</v>
      </c>
      <c r="B32" s="9">
        <v>45803</v>
      </c>
      <c r="C32" s="6" t="s">
        <v>1749</v>
      </c>
      <c r="D32" s="13">
        <v>15</v>
      </c>
    </row>
    <row r="33" spans="1:4" x14ac:dyDescent="0.25">
      <c r="A33" s="24" t="s">
        <v>2583</v>
      </c>
      <c r="B33" s="9">
        <v>45950</v>
      </c>
      <c r="C33" s="6" t="s">
        <v>1813</v>
      </c>
      <c r="D33" s="13">
        <v>2</v>
      </c>
    </row>
    <row r="34" spans="1:4" x14ac:dyDescent="0.25">
      <c r="A34" s="24" t="s">
        <v>2584</v>
      </c>
      <c r="B34" s="9">
        <v>45434</v>
      </c>
      <c r="C34" s="6" t="s">
        <v>1596</v>
      </c>
      <c r="D34" s="13">
        <v>10</v>
      </c>
    </row>
    <row r="35" spans="1:4" x14ac:dyDescent="0.25">
      <c r="A35" s="24" t="s">
        <v>2585</v>
      </c>
      <c r="B35" s="9">
        <v>45843</v>
      </c>
      <c r="C35" s="6" t="s">
        <v>1613</v>
      </c>
      <c r="D35" s="13">
        <v>10</v>
      </c>
    </row>
    <row r="36" spans="1:4" x14ac:dyDescent="0.25">
      <c r="A36" s="24" t="s">
        <v>2586</v>
      </c>
      <c r="B36" s="9">
        <v>45730</v>
      </c>
      <c r="C36" s="6" t="s">
        <v>1941</v>
      </c>
      <c r="D36" s="13">
        <v>4</v>
      </c>
    </row>
    <row r="37" spans="1:4" x14ac:dyDescent="0.25">
      <c r="A37" s="24" t="s">
        <v>2587</v>
      </c>
      <c r="B37" s="9">
        <v>45516</v>
      </c>
      <c r="C37" s="6" t="s">
        <v>1485</v>
      </c>
      <c r="D37" s="13">
        <v>5</v>
      </c>
    </row>
    <row r="38" spans="1:4" x14ac:dyDescent="0.25">
      <c r="A38" s="24" t="s">
        <v>2588</v>
      </c>
      <c r="B38" s="9">
        <v>45385</v>
      </c>
      <c r="C38" s="6" t="s">
        <v>1392</v>
      </c>
      <c r="D38" s="13">
        <v>13</v>
      </c>
    </row>
    <row r="39" spans="1:4" x14ac:dyDescent="0.25">
      <c r="A39" s="24" t="s">
        <v>2589</v>
      </c>
      <c r="B39" s="9">
        <v>45448</v>
      </c>
      <c r="C39" s="6" t="s">
        <v>1507</v>
      </c>
      <c r="D39" s="13">
        <v>11</v>
      </c>
    </row>
    <row r="40" spans="1:4" x14ac:dyDescent="0.25">
      <c r="A40" s="24" t="s">
        <v>2590</v>
      </c>
      <c r="B40" s="9">
        <v>45724</v>
      </c>
      <c r="C40" s="6" t="s">
        <v>1409</v>
      </c>
      <c r="D40" s="13">
        <v>4</v>
      </c>
    </row>
    <row r="41" spans="1:4" x14ac:dyDescent="0.25">
      <c r="A41" s="24" t="s">
        <v>2591</v>
      </c>
      <c r="B41" s="9">
        <v>45902</v>
      </c>
      <c r="C41" s="6" t="s">
        <v>1823</v>
      </c>
      <c r="D41" s="13">
        <v>6</v>
      </c>
    </row>
    <row r="42" spans="1:4" x14ac:dyDescent="0.25">
      <c r="A42" s="24" t="s">
        <v>2592</v>
      </c>
      <c r="B42" s="9">
        <v>45858</v>
      </c>
      <c r="C42" s="6" t="s">
        <v>1355</v>
      </c>
      <c r="D42" s="13">
        <v>8</v>
      </c>
    </row>
    <row r="43" spans="1:4" x14ac:dyDescent="0.25">
      <c r="A43" s="24" t="s">
        <v>2593</v>
      </c>
      <c r="B43" s="9">
        <v>45409</v>
      </c>
      <c r="C43" s="6" t="s">
        <v>1893</v>
      </c>
      <c r="D43" s="13">
        <v>10</v>
      </c>
    </row>
    <row r="44" spans="1:4" x14ac:dyDescent="0.25">
      <c r="A44" s="24" t="s">
        <v>2594</v>
      </c>
      <c r="B44" s="9">
        <v>46079</v>
      </c>
      <c r="C44" s="6" t="s">
        <v>1692</v>
      </c>
      <c r="D44" s="13">
        <v>1</v>
      </c>
    </row>
    <row r="45" spans="1:4" x14ac:dyDescent="0.25">
      <c r="A45" s="24" t="s">
        <v>2595</v>
      </c>
      <c r="B45" s="9">
        <v>45737</v>
      </c>
      <c r="C45" s="6" t="s">
        <v>1505</v>
      </c>
      <c r="D45" s="13">
        <v>5</v>
      </c>
    </row>
    <row r="46" spans="1:4" x14ac:dyDescent="0.25">
      <c r="A46" s="24" t="s">
        <v>2596</v>
      </c>
      <c r="B46" s="9">
        <v>46031</v>
      </c>
      <c r="C46" s="6" t="s">
        <v>1613</v>
      </c>
      <c r="D46" s="13">
        <v>20</v>
      </c>
    </row>
    <row r="47" spans="1:4" x14ac:dyDescent="0.25">
      <c r="A47" s="24" t="s">
        <v>2597</v>
      </c>
      <c r="B47" s="9">
        <v>46072</v>
      </c>
      <c r="C47" s="6" t="s">
        <v>1526</v>
      </c>
      <c r="D47" s="13">
        <v>5</v>
      </c>
    </row>
    <row r="48" spans="1:4" x14ac:dyDescent="0.25">
      <c r="A48" s="24" t="s">
        <v>2598</v>
      </c>
      <c r="B48" s="9">
        <v>45400</v>
      </c>
      <c r="C48" s="6" t="s">
        <v>1649</v>
      </c>
      <c r="D48" s="13">
        <v>13</v>
      </c>
    </row>
    <row r="49" spans="1:4" x14ac:dyDescent="0.25">
      <c r="A49" s="24" t="s">
        <v>2599</v>
      </c>
      <c r="B49" s="9">
        <v>45811</v>
      </c>
      <c r="C49" s="6" t="s">
        <v>1547</v>
      </c>
      <c r="D49" s="13">
        <v>2</v>
      </c>
    </row>
    <row r="50" spans="1:4" x14ac:dyDescent="0.25">
      <c r="A50" s="24" t="s">
        <v>2600</v>
      </c>
      <c r="B50" s="9">
        <v>46072</v>
      </c>
      <c r="C50" s="6" t="s">
        <v>1509</v>
      </c>
      <c r="D50" s="13">
        <v>6</v>
      </c>
    </row>
    <row r="51" spans="1:4" x14ac:dyDescent="0.25">
      <c r="A51" s="24" t="s">
        <v>2601</v>
      </c>
      <c r="B51" s="9">
        <v>46089</v>
      </c>
      <c r="C51" s="6" t="s">
        <v>1887</v>
      </c>
      <c r="D51" s="13">
        <v>16</v>
      </c>
    </row>
    <row r="52" spans="1:4" x14ac:dyDescent="0.25">
      <c r="A52" s="24" t="s">
        <v>2602</v>
      </c>
      <c r="B52" s="9">
        <v>45905</v>
      </c>
      <c r="C52" s="6" t="s">
        <v>1675</v>
      </c>
      <c r="D52" s="13">
        <v>5</v>
      </c>
    </row>
    <row r="53" spans="1:4" x14ac:dyDescent="0.25">
      <c r="A53" s="24" t="s">
        <v>2603</v>
      </c>
      <c r="B53" s="9">
        <v>45406</v>
      </c>
      <c r="C53" s="6" t="s">
        <v>1715</v>
      </c>
      <c r="D53" s="13">
        <v>14</v>
      </c>
    </row>
    <row r="54" spans="1:4" x14ac:dyDescent="0.25">
      <c r="A54" s="24" t="s">
        <v>2604</v>
      </c>
      <c r="B54" s="9">
        <v>45606</v>
      </c>
      <c r="C54" s="6" t="s">
        <v>1589</v>
      </c>
      <c r="D54" s="13">
        <v>1</v>
      </c>
    </row>
    <row r="55" spans="1:4" x14ac:dyDescent="0.25">
      <c r="A55" s="24" t="s">
        <v>2605</v>
      </c>
      <c r="B55" s="9">
        <v>45872</v>
      </c>
      <c r="C55" s="6" t="s">
        <v>1424</v>
      </c>
      <c r="D55" s="13">
        <v>1</v>
      </c>
    </row>
    <row r="56" spans="1:4" x14ac:dyDescent="0.25">
      <c r="A56" s="24" t="s">
        <v>2606</v>
      </c>
      <c r="B56" s="9">
        <v>45789</v>
      </c>
      <c r="C56" s="6" t="s">
        <v>1414</v>
      </c>
      <c r="D56" s="13">
        <v>25</v>
      </c>
    </row>
    <row r="57" spans="1:4" x14ac:dyDescent="0.25">
      <c r="A57" s="24" t="s">
        <v>2607</v>
      </c>
      <c r="B57" s="9">
        <v>45837</v>
      </c>
      <c r="C57" s="6" t="s">
        <v>1472</v>
      </c>
      <c r="D57" s="13">
        <v>1</v>
      </c>
    </row>
    <row r="58" spans="1:4" x14ac:dyDescent="0.25">
      <c r="A58" s="24" t="s">
        <v>2608</v>
      </c>
      <c r="B58" s="9">
        <v>45778</v>
      </c>
      <c r="C58" s="6" t="s">
        <v>1906</v>
      </c>
      <c r="D58" s="13">
        <v>2</v>
      </c>
    </row>
    <row r="59" spans="1:4" x14ac:dyDescent="0.25">
      <c r="A59" s="24" t="s">
        <v>2609</v>
      </c>
      <c r="B59" s="9">
        <v>45832</v>
      </c>
      <c r="C59" s="6" t="s">
        <v>1777</v>
      </c>
      <c r="D59" s="13">
        <v>20</v>
      </c>
    </row>
    <row r="60" spans="1:4" x14ac:dyDescent="0.25">
      <c r="A60" s="24" t="s">
        <v>2610</v>
      </c>
      <c r="B60" s="9">
        <v>45844</v>
      </c>
      <c r="C60" s="6" t="s">
        <v>1549</v>
      </c>
      <c r="D60" s="13">
        <v>9</v>
      </c>
    </row>
    <row r="61" spans="1:4" x14ac:dyDescent="0.25">
      <c r="A61" s="24" t="s">
        <v>2611</v>
      </c>
      <c r="B61" s="9">
        <v>45700</v>
      </c>
      <c r="C61" s="6" t="s">
        <v>1726</v>
      </c>
      <c r="D61" s="13">
        <v>4</v>
      </c>
    </row>
    <row r="62" spans="1:4" x14ac:dyDescent="0.25">
      <c r="A62" s="24" t="s">
        <v>2612</v>
      </c>
      <c r="B62" s="9">
        <v>45821</v>
      </c>
      <c r="C62" s="6" t="s">
        <v>1806</v>
      </c>
      <c r="D62" s="13">
        <v>1</v>
      </c>
    </row>
    <row r="63" spans="1:4" x14ac:dyDescent="0.25">
      <c r="A63" s="24" t="s">
        <v>2613</v>
      </c>
      <c r="B63" s="9">
        <v>45522</v>
      </c>
      <c r="C63" s="6" t="s">
        <v>1409</v>
      </c>
      <c r="D63" s="13">
        <v>3</v>
      </c>
    </row>
    <row r="64" spans="1:4" x14ac:dyDescent="0.25">
      <c r="A64" s="24" t="s">
        <v>2614</v>
      </c>
      <c r="B64" s="9">
        <v>45894</v>
      </c>
      <c r="C64" s="6" t="s">
        <v>1911</v>
      </c>
      <c r="D64" s="13">
        <v>2</v>
      </c>
    </row>
    <row r="65" spans="1:4" x14ac:dyDescent="0.25">
      <c r="A65" s="24" t="s">
        <v>2615</v>
      </c>
      <c r="B65" s="9">
        <v>45517</v>
      </c>
      <c r="C65" s="6" t="s">
        <v>1351</v>
      </c>
      <c r="D65" s="13">
        <v>1</v>
      </c>
    </row>
    <row r="66" spans="1:4" x14ac:dyDescent="0.25">
      <c r="A66" s="24" t="s">
        <v>2616</v>
      </c>
      <c r="B66" s="9">
        <v>45938</v>
      </c>
      <c r="C66" s="6" t="s">
        <v>1404</v>
      </c>
      <c r="D66" s="13">
        <v>2</v>
      </c>
    </row>
    <row r="67" spans="1:4" x14ac:dyDescent="0.25">
      <c r="A67" s="24" t="s">
        <v>2617</v>
      </c>
      <c r="B67" s="9">
        <v>45324</v>
      </c>
      <c r="C67" s="6" t="s">
        <v>1682</v>
      </c>
      <c r="D67" s="13">
        <v>1</v>
      </c>
    </row>
    <row r="68" spans="1:4" x14ac:dyDescent="0.25">
      <c r="A68" s="24" t="s">
        <v>2618</v>
      </c>
      <c r="B68" s="9">
        <v>45535</v>
      </c>
      <c r="C68" s="6" t="s">
        <v>1629</v>
      </c>
      <c r="D68" s="13">
        <v>8</v>
      </c>
    </row>
    <row r="69" spans="1:4" x14ac:dyDescent="0.25">
      <c r="A69" s="24" t="s">
        <v>2619</v>
      </c>
      <c r="B69" s="9">
        <v>45511</v>
      </c>
      <c r="C69" s="6" t="s">
        <v>1896</v>
      </c>
      <c r="D69" s="13">
        <v>2</v>
      </c>
    </row>
    <row r="70" spans="1:4" x14ac:dyDescent="0.25">
      <c r="A70" s="24" t="s">
        <v>2620</v>
      </c>
      <c r="B70" s="9">
        <v>45876</v>
      </c>
      <c r="C70" s="6" t="s">
        <v>1934</v>
      </c>
      <c r="D70" s="13">
        <v>5</v>
      </c>
    </row>
    <row r="71" spans="1:4" x14ac:dyDescent="0.25">
      <c r="A71" s="24" t="s">
        <v>2621</v>
      </c>
      <c r="B71" s="9">
        <v>46095</v>
      </c>
      <c r="C71" s="6" t="s">
        <v>1828</v>
      </c>
      <c r="D71" s="13">
        <v>11</v>
      </c>
    </row>
    <row r="72" spans="1:4" x14ac:dyDescent="0.25">
      <c r="A72" s="24" t="s">
        <v>2622</v>
      </c>
      <c r="B72" s="9">
        <v>45486</v>
      </c>
      <c r="C72" s="6" t="s">
        <v>1440</v>
      </c>
      <c r="D72" s="13">
        <v>1</v>
      </c>
    </row>
    <row r="73" spans="1:4" x14ac:dyDescent="0.25">
      <c r="A73" s="24" t="s">
        <v>2623</v>
      </c>
      <c r="B73" s="9">
        <v>45733</v>
      </c>
      <c r="C73" s="6" t="s">
        <v>1706</v>
      </c>
      <c r="D73" s="13">
        <v>4</v>
      </c>
    </row>
    <row r="74" spans="1:4" x14ac:dyDescent="0.25">
      <c r="A74" s="24" t="s">
        <v>2624</v>
      </c>
      <c r="B74" s="9">
        <v>45770</v>
      </c>
      <c r="C74" s="6" t="s">
        <v>1399</v>
      </c>
      <c r="D74" s="13">
        <v>8</v>
      </c>
    </row>
    <row r="75" spans="1:4" x14ac:dyDescent="0.25">
      <c r="A75" s="24" t="s">
        <v>2625</v>
      </c>
      <c r="B75" s="9">
        <v>45953</v>
      </c>
      <c r="C75" s="6" t="s">
        <v>1444</v>
      </c>
      <c r="D75" s="13">
        <v>1</v>
      </c>
    </row>
    <row r="76" spans="1:4" x14ac:dyDescent="0.25">
      <c r="A76" s="24" t="s">
        <v>2626</v>
      </c>
      <c r="B76" s="9">
        <v>46037</v>
      </c>
      <c r="C76" s="6" t="s">
        <v>1691</v>
      </c>
      <c r="D76" s="13">
        <v>11</v>
      </c>
    </row>
    <row r="77" spans="1:4" x14ac:dyDescent="0.25">
      <c r="A77" s="24" t="s">
        <v>2627</v>
      </c>
      <c r="B77" s="9">
        <v>45403</v>
      </c>
      <c r="C77" s="6" t="s">
        <v>1598</v>
      </c>
      <c r="D77" s="13">
        <v>2</v>
      </c>
    </row>
    <row r="78" spans="1:4" x14ac:dyDescent="0.25">
      <c r="A78" s="24" t="s">
        <v>2628</v>
      </c>
      <c r="B78" s="9">
        <v>45841</v>
      </c>
      <c r="C78" s="6" t="s">
        <v>1803</v>
      </c>
      <c r="D78" s="13">
        <v>2</v>
      </c>
    </row>
    <row r="79" spans="1:4" x14ac:dyDescent="0.25">
      <c r="A79" s="24" t="s">
        <v>2629</v>
      </c>
      <c r="B79" s="9">
        <v>45479</v>
      </c>
      <c r="C79" s="6" t="s">
        <v>1629</v>
      </c>
      <c r="D79" s="13">
        <v>5</v>
      </c>
    </row>
    <row r="80" spans="1:4" x14ac:dyDescent="0.25">
      <c r="A80" s="24" t="s">
        <v>2630</v>
      </c>
      <c r="B80" s="9">
        <v>45369</v>
      </c>
      <c r="C80" s="6" t="s">
        <v>1797</v>
      </c>
      <c r="D80" s="13">
        <v>11</v>
      </c>
    </row>
    <row r="81" spans="1:4" x14ac:dyDescent="0.25">
      <c r="A81" s="24" t="s">
        <v>2631</v>
      </c>
      <c r="B81" s="9">
        <v>45855</v>
      </c>
      <c r="C81" s="6" t="s">
        <v>1444</v>
      </c>
      <c r="D81" s="13">
        <v>1</v>
      </c>
    </row>
    <row r="82" spans="1:4" x14ac:dyDescent="0.25">
      <c r="A82" s="24" t="s">
        <v>2632</v>
      </c>
      <c r="B82" s="9">
        <v>45845</v>
      </c>
      <c r="C82" s="6" t="s">
        <v>1359</v>
      </c>
      <c r="D82" s="13">
        <v>20</v>
      </c>
    </row>
    <row r="83" spans="1:4" x14ac:dyDescent="0.25">
      <c r="A83" s="24" t="s">
        <v>2633</v>
      </c>
      <c r="B83" s="9">
        <v>46063</v>
      </c>
      <c r="C83" s="6" t="s">
        <v>1586</v>
      </c>
      <c r="D83" s="13">
        <v>2</v>
      </c>
    </row>
    <row r="84" spans="1:4" x14ac:dyDescent="0.25">
      <c r="A84" s="24" t="s">
        <v>2634</v>
      </c>
      <c r="B84" s="9">
        <v>45789</v>
      </c>
      <c r="C84" s="6" t="s">
        <v>1836</v>
      </c>
      <c r="D84" s="13">
        <v>2</v>
      </c>
    </row>
    <row r="85" spans="1:4" x14ac:dyDescent="0.25">
      <c r="A85" s="24" t="s">
        <v>2635</v>
      </c>
      <c r="B85" s="9">
        <v>45702</v>
      </c>
      <c r="C85" s="6" t="s">
        <v>1404</v>
      </c>
      <c r="D85" s="13">
        <v>2</v>
      </c>
    </row>
    <row r="86" spans="1:4" x14ac:dyDescent="0.25">
      <c r="A86" s="24" t="s">
        <v>2636</v>
      </c>
      <c r="B86" s="9">
        <v>45294</v>
      </c>
      <c r="C86" s="6" t="s">
        <v>1743</v>
      </c>
      <c r="D86" s="13">
        <v>3</v>
      </c>
    </row>
    <row r="87" spans="1:4" x14ac:dyDescent="0.25">
      <c r="A87" s="24" t="s">
        <v>2637</v>
      </c>
      <c r="B87" s="9">
        <v>46094</v>
      </c>
      <c r="C87" s="6" t="s">
        <v>1809</v>
      </c>
      <c r="D87" s="13">
        <v>3</v>
      </c>
    </row>
    <row r="88" spans="1:4" x14ac:dyDescent="0.25">
      <c r="A88" s="24" t="s">
        <v>2638</v>
      </c>
      <c r="B88" s="9">
        <v>46005</v>
      </c>
      <c r="C88" s="6" t="s">
        <v>1913</v>
      </c>
      <c r="D88" s="13">
        <v>8</v>
      </c>
    </row>
    <row r="89" spans="1:4" x14ac:dyDescent="0.25">
      <c r="A89" s="24" t="s">
        <v>2639</v>
      </c>
      <c r="B89" s="9">
        <v>45790</v>
      </c>
      <c r="C89" s="6" t="s">
        <v>1502</v>
      </c>
      <c r="D89" s="13">
        <v>2</v>
      </c>
    </row>
    <row r="90" spans="1:4" x14ac:dyDescent="0.25">
      <c r="A90" s="24" t="s">
        <v>2640</v>
      </c>
      <c r="B90" s="9">
        <v>45514</v>
      </c>
      <c r="C90" s="6" t="s">
        <v>1403</v>
      </c>
      <c r="D90" s="13">
        <v>6</v>
      </c>
    </row>
    <row r="91" spans="1:4" x14ac:dyDescent="0.25">
      <c r="A91" s="24" t="s">
        <v>2641</v>
      </c>
      <c r="B91" s="9">
        <v>45847</v>
      </c>
      <c r="C91" s="6" t="s">
        <v>1406</v>
      </c>
      <c r="D91" s="13">
        <v>10</v>
      </c>
    </row>
    <row r="92" spans="1:4" x14ac:dyDescent="0.25">
      <c r="A92" s="24" t="s">
        <v>2642</v>
      </c>
      <c r="B92" s="9">
        <v>45350</v>
      </c>
      <c r="C92" s="6" t="s">
        <v>1395</v>
      </c>
      <c r="D92" s="13">
        <v>6</v>
      </c>
    </row>
    <row r="93" spans="1:4" x14ac:dyDescent="0.25">
      <c r="A93" s="24" t="s">
        <v>2643</v>
      </c>
      <c r="B93" s="9">
        <v>45806</v>
      </c>
      <c r="C93" s="6" t="s">
        <v>1887</v>
      </c>
      <c r="D93" s="13">
        <v>2</v>
      </c>
    </row>
    <row r="94" spans="1:4" x14ac:dyDescent="0.25">
      <c r="A94" s="24" t="s">
        <v>2644</v>
      </c>
      <c r="B94" s="9">
        <v>45812</v>
      </c>
      <c r="C94" s="6" t="s">
        <v>1426</v>
      </c>
      <c r="D94" s="13">
        <v>13</v>
      </c>
    </row>
    <row r="95" spans="1:4" x14ac:dyDescent="0.25">
      <c r="A95" s="24" t="s">
        <v>2645</v>
      </c>
      <c r="B95" s="9">
        <v>45362</v>
      </c>
      <c r="C95" s="6" t="s">
        <v>1413</v>
      </c>
      <c r="D95" s="13">
        <v>8</v>
      </c>
    </row>
    <row r="96" spans="1:4" x14ac:dyDescent="0.25">
      <c r="A96" s="24" t="s">
        <v>2646</v>
      </c>
      <c r="B96" s="9">
        <v>45532</v>
      </c>
      <c r="C96" s="6" t="s">
        <v>1757</v>
      </c>
      <c r="D96" s="13">
        <v>1</v>
      </c>
    </row>
    <row r="97" spans="1:4" x14ac:dyDescent="0.25">
      <c r="A97" s="24" t="s">
        <v>2647</v>
      </c>
      <c r="B97" s="9">
        <v>45875</v>
      </c>
      <c r="C97" s="6" t="s">
        <v>1596</v>
      </c>
      <c r="D97" s="13">
        <v>6</v>
      </c>
    </row>
    <row r="98" spans="1:4" x14ac:dyDescent="0.25">
      <c r="A98" s="24" t="s">
        <v>2648</v>
      </c>
      <c r="B98" s="9">
        <v>45332</v>
      </c>
      <c r="C98" s="6" t="s">
        <v>1427</v>
      </c>
      <c r="D98" s="13">
        <v>4</v>
      </c>
    </row>
    <row r="99" spans="1:4" x14ac:dyDescent="0.25">
      <c r="A99" s="24" t="s">
        <v>2649</v>
      </c>
      <c r="B99" s="9">
        <v>45889</v>
      </c>
      <c r="C99" s="6" t="s">
        <v>1922</v>
      </c>
      <c r="D99" s="13">
        <v>6</v>
      </c>
    </row>
    <row r="100" spans="1:4" x14ac:dyDescent="0.25">
      <c r="A100" s="24" t="s">
        <v>2650</v>
      </c>
      <c r="B100" s="9">
        <v>45559</v>
      </c>
      <c r="C100" s="6" t="s">
        <v>1553</v>
      </c>
      <c r="D100" s="13">
        <v>8</v>
      </c>
    </row>
    <row r="101" spans="1:4" x14ac:dyDescent="0.25">
      <c r="A101" s="24" t="s">
        <v>2651</v>
      </c>
      <c r="B101" s="9">
        <v>45613</v>
      </c>
      <c r="C101" s="6" t="s">
        <v>1588</v>
      </c>
      <c r="D101" s="13">
        <v>3</v>
      </c>
    </row>
    <row r="102" spans="1:4" x14ac:dyDescent="0.25">
      <c r="A102" s="24" t="s">
        <v>2652</v>
      </c>
      <c r="B102" s="9">
        <v>45426</v>
      </c>
      <c r="C102" s="6" t="s">
        <v>1651</v>
      </c>
      <c r="D102" s="13">
        <v>5</v>
      </c>
    </row>
    <row r="103" spans="1:4" x14ac:dyDescent="0.25">
      <c r="A103" s="24" t="s">
        <v>2653</v>
      </c>
      <c r="B103" s="9">
        <v>46061</v>
      </c>
      <c r="C103" s="6" t="s">
        <v>1418</v>
      </c>
      <c r="D103" s="13">
        <v>1</v>
      </c>
    </row>
    <row r="104" spans="1:4" x14ac:dyDescent="0.25">
      <c r="A104" s="24" t="s">
        <v>2654</v>
      </c>
      <c r="B104" s="9">
        <v>45928</v>
      </c>
      <c r="C104" s="6" t="s">
        <v>1920</v>
      </c>
      <c r="D104" s="13">
        <v>50</v>
      </c>
    </row>
    <row r="105" spans="1:4" x14ac:dyDescent="0.25">
      <c r="A105" s="24" t="s">
        <v>2655</v>
      </c>
      <c r="B105" s="9">
        <v>45367</v>
      </c>
      <c r="C105" s="6" t="s">
        <v>1894</v>
      </c>
      <c r="D105" s="13">
        <v>2</v>
      </c>
    </row>
    <row r="106" spans="1:4" x14ac:dyDescent="0.25">
      <c r="A106" s="24" t="s">
        <v>2656</v>
      </c>
      <c r="B106" s="9">
        <v>45563</v>
      </c>
      <c r="C106" s="6" t="s">
        <v>1479</v>
      </c>
      <c r="D106" s="13">
        <v>17</v>
      </c>
    </row>
    <row r="107" spans="1:4" x14ac:dyDescent="0.25">
      <c r="A107" s="24" t="s">
        <v>2657</v>
      </c>
      <c r="B107" s="9">
        <v>45362</v>
      </c>
      <c r="C107" s="6" t="s">
        <v>1594</v>
      </c>
      <c r="D107" s="13">
        <v>4</v>
      </c>
    </row>
    <row r="108" spans="1:4" x14ac:dyDescent="0.25">
      <c r="A108" s="24" t="s">
        <v>2658</v>
      </c>
      <c r="B108" s="9">
        <v>45453</v>
      </c>
      <c r="C108" s="6" t="s">
        <v>1792</v>
      </c>
      <c r="D108" s="13">
        <v>12</v>
      </c>
    </row>
    <row r="109" spans="1:4" x14ac:dyDescent="0.25">
      <c r="A109" s="24" t="s">
        <v>2659</v>
      </c>
      <c r="B109" s="9">
        <v>46012</v>
      </c>
      <c r="C109" s="6" t="s">
        <v>1653</v>
      </c>
      <c r="D109" s="13">
        <v>7</v>
      </c>
    </row>
    <row r="110" spans="1:4" x14ac:dyDescent="0.25">
      <c r="A110" s="24" t="s">
        <v>2660</v>
      </c>
      <c r="B110" s="9">
        <v>45961</v>
      </c>
      <c r="C110" s="6" t="s">
        <v>1885</v>
      </c>
      <c r="D110" s="13">
        <v>1</v>
      </c>
    </row>
    <row r="111" spans="1:4" x14ac:dyDescent="0.25">
      <c r="A111" s="24" t="s">
        <v>2661</v>
      </c>
      <c r="B111" s="9">
        <v>45859</v>
      </c>
      <c r="C111" s="6" t="s">
        <v>1650</v>
      </c>
      <c r="D111" s="13">
        <v>17</v>
      </c>
    </row>
    <row r="112" spans="1:4" x14ac:dyDescent="0.25">
      <c r="A112" s="24" t="s">
        <v>2662</v>
      </c>
      <c r="B112" s="9">
        <v>45398</v>
      </c>
      <c r="C112" s="6" t="s">
        <v>1481</v>
      </c>
      <c r="D112" s="13">
        <v>3</v>
      </c>
    </row>
    <row r="113" spans="1:4" x14ac:dyDescent="0.25">
      <c r="A113" s="24" t="s">
        <v>2663</v>
      </c>
      <c r="B113" s="9">
        <v>45401</v>
      </c>
      <c r="C113" s="6" t="s">
        <v>1910</v>
      </c>
      <c r="D113" s="13">
        <v>2</v>
      </c>
    </row>
    <row r="114" spans="1:4" x14ac:dyDescent="0.25">
      <c r="A114" s="24" t="s">
        <v>2664</v>
      </c>
      <c r="B114" s="9">
        <v>45580</v>
      </c>
      <c r="C114" s="6" t="s">
        <v>1559</v>
      </c>
      <c r="D114" s="13">
        <v>9</v>
      </c>
    </row>
    <row r="115" spans="1:4" x14ac:dyDescent="0.25">
      <c r="A115" s="24" t="s">
        <v>2665</v>
      </c>
      <c r="B115" s="9">
        <v>45500</v>
      </c>
      <c r="C115" s="6" t="s">
        <v>1614</v>
      </c>
      <c r="D115" s="13">
        <v>5</v>
      </c>
    </row>
    <row r="116" spans="1:4" x14ac:dyDescent="0.25">
      <c r="A116" s="24" t="s">
        <v>2666</v>
      </c>
      <c r="B116" s="9">
        <v>45549</v>
      </c>
      <c r="C116" s="6" t="s">
        <v>1396</v>
      </c>
      <c r="D116" s="13">
        <v>1</v>
      </c>
    </row>
    <row r="117" spans="1:4" x14ac:dyDescent="0.25">
      <c r="A117" s="24" t="s">
        <v>2667</v>
      </c>
      <c r="B117" s="9">
        <v>45725</v>
      </c>
      <c r="C117" s="6" t="s">
        <v>1627</v>
      </c>
      <c r="D117" s="13">
        <v>1</v>
      </c>
    </row>
    <row r="118" spans="1:4" x14ac:dyDescent="0.25">
      <c r="A118" s="24" t="s">
        <v>2668</v>
      </c>
      <c r="B118" s="9">
        <v>45633</v>
      </c>
      <c r="C118" s="6" t="s">
        <v>1477</v>
      </c>
      <c r="D118" s="13">
        <v>7</v>
      </c>
    </row>
    <row r="119" spans="1:4" x14ac:dyDescent="0.25">
      <c r="A119" s="24" t="s">
        <v>2669</v>
      </c>
      <c r="B119" s="9">
        <v>45560</v>
      </c>
      <c r="C119" s="6" t="s">
        <v>1509</v>
      </c>
      <c r="D119" s="13">
        <v>10</v>
      </c>
    </row>
    <row r="120" spans="1:4" x14ac:dyDescent="0.25">
      <c r="A120" s="24" t="s">
        <v>2670</v>
      </c>
      <c r="B120" s="9">
        <v>45856</v>
      </c>
      <c r="C120" s="6" t="s">
        <v>1781</v>
      </c>
      <c r="D120" s="13">
        <v>6</v>
      </c>
    </row>
    <row r="121" spans="1:4" x14ac:dyDescent="0.25">
      <c r="A121" s="24" t="s">
        <v>2671</v>
      </c>
      <c r="B121" s="9">
        <v>45406</v>
      </c>
      <c r="C121" s="6" t="s">
        <v>1421</v>
      </c>
      <c r="D121" s="13">
        <v>18</v>
      </c>
    </row>
    <row r="122" spans="1:4" x14ac:dyDescent="0.25">
      <c r="A122" s="24" t="s">
        <v>2672</v>
      </c>
      <c r="B122" s="9">
        <v>45999</v>
      </c>
      <c r="C122" s="6" t="s">
        <v>1496</v>
      </c>
      <c r="D122" s="13">
        <v>6</v>
      </c>
    </row>
    <row r="123" spans="1:4" x14ac:dyDescent="0.25">
      <c r="A123" s="24" t="s">
        <v>2673</v>
      </c>
      <c r="B123" s="9">
        <v>45670</v>
      </c>
      <c r="C123" s="6" t="s">
        <v>1940</v>
      </c>
      <c r="D123" s="13">
        <v>6</v>
      </c>
    </row>
    <row r="124" spans="1:4" x14ac:dyDescent="0.25">
      <c r="A124" s="24" t="s">
        <v>2674</v>
      </c>
      <c r="B124" s="9">
        <v>45732</v>
      </c>
      <c r="C124" s="6" t="s">
        <v>1474</v>
      </c>
      <c r="D124" s="13">
        <v>1</v>
      </c>
    </row>
    <row r="125" spans="1:4" x14ac:dyDescent="0.25">
      <c r="A125" s="24" t="s">
        <v>2675</v>
      </c>
      <c r="B125" s="9">
        <v>45665</v>
      </c>
      <c r="C125" s="6" t="s">
        <v>1384</v>
      </c>
      <c r="D125" s="13">
        <v>15</v>
      </c>
    </row>
    <row r="126" spans="1:4" x14ac:dyDescent="0.25">
      <c r="A126" s="24" t="s">
        <v>2676</v>
      </c>
      <c r="B126" s="9">
        <v>45507</v>
      </c>
      <c r="C126" s="6" t="s">
        <v>1599</v>
      </c>
      <c r="D126" s="13">
        <v>8</v>
      </c>
    </row>
    <row r="127" spans="1:4" x14ac:dyDescent="0.25">
      <c r="A127" s="24" t="s">
        <v>2677</v>
      </c>
      <c r="B127" s="9">
        <v>45654</v>
      </c>
      <c r="C127" s="6" t="s">
        <v>1917</v>
      </c>
      <c r="D127" s="13">
        <v>15</v>
      </c>
    </row>
    <row r="128" spans="1:4" x14ac:dyDescent="0.25">
      <c r="A128" s="24" t="s">
        <v>2678</v>
      </c>
      <c r="B128" s="9">
        <v>45708</v>
      </c>
      <c r="C128" s="6" t="s">
        <v>1502</v>
      </c>
      <c r="D128" s="13">
        <v>17</v>
      </c>
    </row>
    <row r="129" spans="1:4" x14ac:dyDescent="0.25">
      <c r="A129" s="24" t="s">
        <v>2679</v>
      </c>
      <c r="B129" s="9">
        <v>45534</v>
      </c>
      <c r="C129" s="6" t="s">
        <v>1510</v>
      </c>
      <c r="D129" s="13">
        <v>25</v>
      </c>
    </row>
    <row r="130" spans="1:4" x14ac:dyDescent="0.25">
      <c r="A130" s="24" t="s">
        <v>2680</v>
      </c>
      <c r="B130" s="9">
        <v>45473</v>
      </c>
      <c r="C130" s="6" t="s">
        <v>1766</v>
      </c>
      <c r="D130" s="13">
        <v>1</v>
      </c>
    </row>
    <row r="131" spans="1:4" x14ac:dyDescent="0.25">
      <c r="A131" s="24" t="s">
        <v>2681</v>
      </c>
      <c r="B131" s="9">
        <v>46046</v>
      </c>
      <c r="C131" s="6" t="s">
        <v>1684</v>
      </c>
      <c r="D131" s="13">
        <v>11</v>
      </c>
    </row>
    <row r="132" spans="1:4" x14ac:dyDescent="0.25">
      <c r="A132" s="24" t="s">
        <v>2682</v>
      </c>
      <c r="B132" s="9">
        <v>45713</v>
      </c>
      <c r="C132" s="6" t="s">
        <v>1598</v>
      </c>
      <c r="D132" s="13">
        <v>3</v>
      </c>
    </row>
    <row r="133" spans="1:4" x14ac:dyDescent="0.25">
      <c r="A133" s="24" t="s">
        <v>2683</v>
      </c>
      <c r="B133" s="9">
        <v>46098</v>
      </c>
      <c r="C133" s="6" t="s">
        <v>1454</v>
      </c>
      <c r="D133" s="13">
        <v>4</v>
      </c>
    </row>
    <row r="134" spans="1:4" x14ac:dyDescent="0.25">
      <c r="A134" s="24" t="s">
        <v>2684</v>
      </c>
      <c r="B134" s="9">
        <v>45331</v>
      </c>
      <c r="C134" s="6" t="s">
        <v>1825</v>
      </c>
      <c r="D134" s="13">
        <v>2</v>
      </c>
    </row>
    <row r="135" spans="1:4" x14ac:dyDescent="0.25">
      <c r="A135" s="24" t="s">
        <v>2685</v>
      </c>
      <c r="B135" s="9">
        <v>45763</v>
      </c>
      <c r="C135" s="6" t="s">
        <v>1702</v>
      </c>
      <c r="D135" s="13">
        <v>3</v>
      </c>
    </row>
    <row r="136" spans="1:4" x14ac:dyDescent="0.25">
      <c r="A136" s="24" t="s">
        <v>2686</v>
      </c>
      <c r="B136" s="9">
        <v>46106</v>
      </c>
      <c r="C136" s="6" t="s">
        <v>1577</v>
      </c>
      <c r="D136" s="13">
        <v>2</v>
      </c>
    </row>
    <row r="137" spans="1:4" x14ac:dyDescent="0.25">
      <c r="A137" s="24" t="s">
        <v>2687</v>
      </c>
      <c r="B137" s="9">
        <v>45967</v>
      </c>
      <c r="C137" s="6" t="s">
        <v>1541</v>
      </c>
      <c r="D137" s="13">
        <v>4</v>
      </c>
    </row>
    <row r="138" spans="1:4" x14ac:dyDescent="0.25">
      <c r="A138" s="24" t="s">
        <v>2688</v>
      </c>
      <c r="B138" s="9">
        <v>45577</v>
      </c>
      <c r="C138" s="6" t="s">
        <v>1415</v>
      </c>
      <c r="D138" s="13">
        <v>20</v>
      </c>
    </row>
    <row r="139" spans="1:4" x14ac:dyDescent="0.25">
      <c r="A139" s="24" t="s">
        <v>2689</v>
      </c>
      <c r="B139" s="9">
        <v>45577</v>
      </c>
      <c r="C139" s="6" t="s">
        <v>1703</v>
      </c>
      <c r="D139" s="13">
        <v>7</v>
      </c>
    </row>
    <row r="140" spans="1:4" x14ac:dyDescent="0.25">
      <c r="A140" s="24" t="s">
        <v>2690</v>
      </c>
      <c r="B140" s="9">
        <v>45701</v>
      </c>
      <c r="C140" s="6" t="s">
        <v>1893</v>
      </c>
      <c r="D140" s="13">
        <v>3</v>
      </c>
    </row>
    <row r="141" spans="1:4" x14ac:dyDescent="0.25">
      <c r="A141" s="24" t="s">
        <v>2691</v>
      </c>
      <c r="B141" s="9">
        <v>45320</v>
      </c>
      <c r="C141" s="6" t="s">
        <v>1462</v>
      </c>
      <c r="D141" s="13">
        <v>14</v>
      </c>
    </row>
    <row r="142" spans="1:4" x14ac:dyDescent="0.25">
      <c r="A142" s="24" t="s">
        <v>2692</v>
      </c>
      <c r="B142" s="9">
        <v>45559</v>
      </c>
      <c r="C142" s="6" t="s">
        <v>1526</v>
      </c>
      <c r="D142" s="13">
        <v>6</v>
      </c>
    </row>
    <row r="143" spans="1:4" x14ac:dyDescent="0.25">
      <c r="A143" s="24" t="s">
        <v>2693</v>
      </c>
      <c r="B143" s="9">
        <v>45563</v>
      </c>
      <c r="C143" s="6" t="s">
        <v>1383</v>
      </c>
      <c r="D143" s="13">
        <v>1</v>
      </c>
    </row>
    <row r="144" spans="1:4" x14ac:dyDescent="0.25">
      <c r="A144" s="24" t="s">
        <v>2694</v>
      </c>
      <c r="B144" s="9">
        <v>45736</v>
      </c>
      <c r="C144" s="6" t="s">
        <v>1697</v>
      </c>
      <c r="D144" s="13">
        <v>9</v>
      </c>
    </row>
    <row r="145" spans="1:4" x14ac:dyDescent="0.25">
      <c r="A145" s="24" t="s">
        <v>2695</v>
      </c>
      <c r="B145" s="9">
        <v>45613</v>
      </c>
      <c r="C145" s="6" t="s">
        <v>1790</v>
      </c>
      <c r="D145" s="13">
        <v>7</v>
      </c>
    </row>
    <row r="146" spans="1:4" x14ac:dyDescent="0.25">
      <c r="A146" s="24" t="s">
        <v>2696</v>
      </c>
      <c r="B146" s="9">
        <v>45815</v>
      </c>
      <c r="C146" s="6" t="s">
        <v>1462</v>
      </c>
      <c r="D146" s="13">
        <v>4</v>
      </c>
    </row>
    <row r="147" spans="1:4" x14ac:dyDescent="0.25">
      <c r="A147" s="24" t="s">
        <v>2697</v>
      </c>
      <c r="B147" s="9">
        <v>45882</v>
      </c>
      <c r="C147" s="6" t="s">
        <v>1538</v>
      </c>
      <c r="D147" s="13">
        <v>3</v>
      </c>
    </row>
    <row r="148" spans="1:4" x14ac:dyDescent="0.25">
      <c r="A148" s="24" t="s">
        <v>2698</v>
      </c>
      <c r="B148" s="9">
        <v>46017</v>
      </c>
      <c r="C148" s="6" t="s">
        <v>1790</v>
      </c>
      <c r="D148" s="13">
        <v>1</v>
      </c>
    </row>
    <row r="149" spans="1:4" x14ac:dyDescent="0.25">
      <c r="A149" s="24" t="s">
        <v>2699</v>
      </c>
      <c r="B149" s="9">
        <v>45843</v>
      </c>
      <c r="C149" s="6" t="s">
        <v>1545</v>
      </c>
      <c r="D149" s="13">
        <v>4</v>
      </c>
    </row>
    <row r="150" spans="1:4" x14ac:dyDescent="0.25">
      <c r="A150" s="24" t="s">
        <v>2700</v>
      </c>
      <c r="B150" s="9">
        <v>45363</v>
      </c>
      <c r="C150" s="6" t="s">
        <v>1682</v>
      </c>
      <c r="D150" s="13">
        <v>7</v>
      </c>
    </row>
    <row r="151" spans="1:4" x14ac:dyDescent="0.25">
      <c r="A151" s="24" t="s">
        <v>2701</v>
      </c>
      <c r="B151" s="9">
        <v>45971</v>
      </c>
      <c r="C151" s="6" t="s">
        <v>1471</v>
      </c>
      <c r="D151" s="13">
        <v>9</v>
      </c>
    </row>
    <row r="152" spans="1:4" x14ac:dyDescent="0.25">
      <c r="A152" s="24" t="s">
        <v>2702</v>
      </c>
      <c r="B152" s="9">
        <v>45599</v>
      </c>
      <c r="C152" s="6" t="s">
        <v>1863</v>
      </c>
      <c r="D152" s="13">
        <v>3</v>
      </c>
    </row>
    <row r="153" spans="1:4" x14ac:dyDescent="0.25">
      <c r="A153" s="24" t="s">
        <v>2703</v>
      </c>
      <c r="B153" s="9">
        <v>45710</v>
      </c>
      <c r="C153" s="6" t="s">
        <v>1678</v>
      </c>
      <c r="D153" s="13">
        <v>4</v>
      </c>
    </row>
    <row r="154" spans="1:4" x14ac:dyDescent="0.25">
      <c r="A154" s="24" t="s">
        <v>2704</v>
      </c>
      <c r="B154" s="9">
        <v>45594</v>
      </c>
      <c r="C154" s="6" t="s">
        <v>1911</v>
      </c>
      <c r="D154" s="13">
        <v>1</v>
      </c>
    </row>
    <row r="155" spans="1:4" x14ac:dyDescent="0.25">
      <c r="A155" s="24" t="s">
        <v>2705</v>
      </c>
      <c r="B155" s="9">
        <v>45722</v>
      </c>
      <c r="C155" s="6" t="s">
        <v>1732</v>
      </c>
      <c r="D155" s="13">
        <v>8</v>
      </c>
    </row>
    <row r="156" spans="1:4" x14ac:dyDescent="0.25">
      <c r="A156" s="24" t="s">
        <v>2706</v>
      </c>
      <c r="B156" s="9">
        <v>45470</v>
      </c>
      <c r="C156" s="6" t="s">
        <v>1926</v>
      </c>
      <c r="D156" s="13">
        <v>3</v>
      </c>
    </row>
    <row r="157" spans="1:4" x14ac:dyDescent="0.25">
      <c r="A157" s="24" t="s">
        <v>2707</v>
      </c>
      <c r="B157" s="9">
        <v>45853</v>
      </c>
      <c r="C157" s="6" t="s">
        <v>1344</v>
      </c>
      <c r="D157" s="13">
        <v>3</v>
      </c>
    </row>
    <row r="158" spans="1:4" x14ac:dyDescent="0.25">
      <c r="A158" s="24" t="s">
        <v>2708</v>
      </c>
      <c r="B158" s="9">
        <v>45507</v>
      </c>
      <c r="C158" s="6" t="s">
        <v>1784</v>
      </c>
      <c r="D158" s="13">
        <v>11</v>
      </c>
    </row>
    <row r="159" spans="1:4" x14ac:dyDescent="0.25">
      <c r="A159" s="24" t="s">
        <v>2709</v>
      </c>
      <c r="B159" s="9">
        <v>45913</v>
      </c>
      <c r="C159" s="6" t="s">
        <v>1673</v>
      </c>
      <c r="D159" s="13">
        <v>5</v>
      </c>
    </row>
    <row r="160" spans="1:4" x14ac:dyDescent="0.25">
      <c r="A160" s="24" t="s">
        <v>2710</v>
      </c>
      <c r="B160" s="9">
        <v>45744</v>
      </c>
      <c r="C160" s="6" t="s">
        <v>1562</v>
      </c>
      <c r="D160" s="13">
        <v>5</v>
      </c>
    </row>
    <row r="161" spans="1:4" x14ac:dyDescent="0.25">
      <c r="A161" s="24" t="s">
        <v>2711</v>
      </c>
      <c r="B161" s="9">
        <v>46104</v>
      </c>
      <c r="C161" s="6" t="s">
        <v>1517</v>
      </c>
      <c r="D161" s="13">
        <v>8</v>
      </c>
    </row>
    <row r="162" spans="1:4" x14ac:dyDescent="0.25">
      <c r="A162" s="24" t="s">
        <v>2712</v>
      </c>
      <c r="B162" s="9">
        <v>45582</v>
      </c>
      <c r="C162" s="6" t="s">
        <v>1871</v>
      </c>
      <c r="D162" s="13">
        <v>8</v>
      </c>
    </row>
    <row r="163" spans="1:4" x14ac:dyDescent="0.25">
      <c r="A163" s="24" t="s">
        <v>2713</v>
      </c>
      <c r="B163" s="9">
        <v>45926</v>
      </c>
      <c r="C163" s="6" t="s">
        <v>1687</v>
      </c>
      <c r="D163" s="13">
        <v>1</v>
      </c>
    </row>
    <row r="164" spans="1:4" x14ac:dyDescent="0.25">
      <c r="A164" s="24" t="s">
        <v>2714</v>
      </c>
      <c r="B164" s="9">
        <v>46061</v>
      </c>
      <c r="C164" s="6" t="s">
        <v>1584</v>
      </c>
      <c r="D164" s="13">
        <v>8</v>
      </c>
    </row>
    <row r="165" spans="1:4" x14ac:dyDescent="0.25">
      <c r="A165" s="24" t="s">
        <v>2715</v>
      </c>
      <c r="B165" s="9">
        <v>45522</v>
      </c>
      <c r="C165" s="6" t="s">
        <v>1547</v>
      </c>
      <c r="D165" s="13">
        <v>2</v>
      </c>
    </row>
    <row r="166" spans="1:4" x14ac:dyDescent="0.25">
      <c r="A166" s="24" t="s">
        <v>2716</v>
      </c>
      <c r="B166" s="9">
        <v>45339</v>
      </c>
      <c r="C166" s="6" t="s">
        <v>1594</v>
      </c>
      <c r="D166" s="13">
        <v>30</v>
      </c>
    </row>
    <row r="167" spans="1:4" x14ac:dyDescent="0.25">
      <c r="A167" s="24" t="s">
        <v>2717</v>
      </c>
      <c r="B167" s="9">
        <v>45917</v>
      </c>
      <c r="C167" s="6" t="s">
        <v>1418</v>
      </c>
      <c r="D167" s="13">
        <v>5</v>
      </c>
    </row>
    <row r="168" spans="1:4" x14ac:dyDescent="0.25">
      <c r="A168" s="24" t="s">
        <v>2718</v>
      </c>
      <c r="B168" s="9">
        <v>45936</v>
      </c>
      <c r="C168" s="6" t="s">
        <v>1933</v>
      </c>
      <c r="D168" s="13">
        <v>2</v>
      </c>
    </row>
    <row r="169" spans="1:4" x14ac:dyDescent="0.25">
      <c r="A169" s="24" t="s">
        <v>2719</v>
      </c>
      <c r="B169" s="9">
        <v>46005</v>
      </c>
      <c r="C169" s="6" t="s">
        <v>1737</v>
      </c>
      <c r="D169" s="13">
        <v>5</v>
      </c>
    </row>
    <row r="170" spans="1:4" x14ac:dyDescent="0.25">
      <c r="A170" s="24" t="s">
        <v>2720</v>
      </c>
      <c r="B170" s="9">
        <v>45541</v>
      </c>
      <c r="C170" s="6" t="s">
        <v>1495</v>
      </c>
      <c r="D170" s="13">
        <v>8</v>
      </c>
    </row>
    <row r="171" spans="1:4" x14ac:dyDescent="0.25">
      <c r="A171" s="24" t="s">
        <v>2721</v>
      </c>
      <c r="B171" s="9">
        <v>45297</v>
      </c>
      <c r="C171" s="6" t="s">
        <v>1453</v>
      </c>
      <c r="D171" s="13">
        <v>10</v>
      </c>
    </row>
    <row r="172" spans="1:4" x14ac:dyDescent="0.25">
      <c r="A172" s="24" t="s">
        <v>2722</v>
      </c>
      <c r="B172" s="9">
        <v>45516</v>
      </c>
      <c r="C172" s="6" t="s">
        <v>1524</v>
      </c>
      <c r="D172" s="13">
        <v>11</v>
      </c>
    </row>
    <row r="173" spans="1:4" x14ac:dyDescent="0.25">
      <c r="A173" s="24" t="s">
        <v>2723</v>
      </c>
      <c r="B173" s="9">
        <v>46004</v>
      </c>
      <c r="C173" s="6" t="s">
        <v>1874</v>
      </c>
      <c r="D173" s="13">
        <v>5</v>
      </c>
    </row>
    <row r="174" spans="1:4" x14ac:dyDescent="0.25">
      <c r="A174" s="24" t="s">
        <v>2724</v>
      </c>
      <c r="B174" s="9">
        <v>45862</v>
      </c>
      <c r="C174" s="6" t="s">
        <v>1599</v>
      </c>
      <c r="D174" s="13">
        <v>16</v>
      </c>
    </row>
    <row r="175" spans="1:4" x14ac:dyDescent="0.25">
      <c r="A175" s="24" t="s">
        <v>2725</v>
      </c>
      <c r="B175" s="9">
        <v>45416</v>
      </c>
      <c r="C175" s="6" t="s">
        <v>1811</v>
      </c>
      <c r="D175" s="13">
        <v>2</v>
      </c>
    </row>
    <row r="176" spans="1:4" x14ac:dyDescent="0.25">
      <c r="A176" s="24" t="s">
        <v>2726</v>
      </c>
      <c r="B176" s="9">
        <v>45767</v>
      </c>
      <c r="C176" s="6" t="s">
        <v>1887</v>
      </c>
      <c r="D176" s="13">
        <v>40</v>
      </c>
    </row>
    <row r="177" spans="1:4" x14ac:dyDescent="0.25">
      <c r="A177" s="24" t="s">
        <v>2727</v>
      </c>
      <c r="B177" s="9">
        <v>45901</v>
      </c>
      <c r="C177" s="6" t="s">
        <v>1668</v>
      </c>
      <c r="D177" s="13">
        <v>19</v>
      </c>
    </row>
    <row r="178" spans="1:4" x14ac:dyDescent="0.25">
      <c r="A178" s="24" t="s">
        <v>2728</v>
      </c>
      <c r="B178" s="9">
        <v>45745</v>
      </c>
      <c r="C178" s="6" t="s">
        <v>1860</v>
      </c>
      <c r="D178" s="13">
        <v>4</v>
      </c>
    </row>
    <row r="179" spans="1:4" x14ac:dyDescent="0.25">
      <c r="A179" s="24" t="s">
        <v>2729</v>
      </c>
      <c r="B179" s="9">
        <v>45853</v>
      </c>
      <c r="C179" s="6" t="s">
        <v>1800</v>
      </c>
      <c r="D179" s="13">
        <v>15</v>
      </c>
    </row>
    <row r="180" spans="1:4" x14ac:dyDescent="0.25">
      <c r="A180" s="24" t="s">
        <v>2730</v>
      </c>
      <c r="B180" s="9">
        <v>46053</v>
      </c>
      <c r="C180" s="6" t="s">
        <v>1830</v>
      </c>
      <c r="D180" s="13">
        <v>5</v>
      </c>
    </row>
    <row r="181" spans="1:4" x14ac:dyDescent="0.25">
      <c r="A181" s="24" t="s">
        <v>2731</v>
      </c>
      <c r="B181" s="9">
        <v>46061</v>
      </c>
      <c r="C181" s="6" t="s">
        <v>1597</v>
      </c>
      <c r="D181" s="13">
        <v>13</v>
      </c>
    </row>
    <row r="182" spans="1:4" x14ac:dyDescent="0.25">
      <c r="A182" s="24" t="s">
        <v>2732</v>
      </c>
      <c r="B182" s="9">
        <v>45575</v>
      </c>
      <c r="C182" s="6" t="s">
        <v>1877</v>
      </c>
      <c r="D182" s="13">
        <v>5</v>
      </c>
    </row>
    <row r="183" spans="1:4" x14ac:dyDescent="0.25">
      <c r="A183" s="24" t="s">
        <v>2733</v>
      </c>
      <c r="B183" s="9">
        <v>45536</v>
      </c>
      <c r="C183" s="6" t="s">
        <v>1625</v>
      </c>
      <c r="D183" s="13">
        <v>4</v>
      </c>
    </row>
    <row r="184" spans="1:4" x14ac:dyDescent="0.25">
      <c r="A184" s="24" t="s">
        <v>2734</v>
      </c>
      <c r="B184" s="9">
        <v>46022</v>
      </c>
      <c r="C184" s="6" t="s">
        <v>1636</v>
      </c>
      <c r="D184" s="13">
        <v>2</v>
      </c>
    </row>
    <row r="185" spans="1:4" x14ac:dyDescent="0.25">
      <c r="A185" s="24" t="s">
        <v>2735</v>
      </c>
      <c r="B185" s="9">
        <v>45635</v>
      </c>
      <c r="C185" s="6" t="s">
        <v>1671</v>
      </c>
      <c r="D185" s="13">
        <v>15</v>
      </c>
    </row>
    <row r="186" spans="1:4" x14ac:dyDescent="0.25">
      <c r="A186" s="24" t="s">
        <v>2736</v>
      </c>
      <c r="B186" s="9">
        <v>45374</v>
      </c>
      <c r="C186" s="6" t="s">
        <v>1485</v>
      </c>
      <c r="D186" s="13">
        <v>2</v>
      </c>
    </row>
    <row r="187" spans="1:4" x14ac:dyDescent="0.25">
      <c r="A187" s="24" t="s">
        <v>2737</v>
      </c>
      <c r="B187" s="9">
        <v>45684</v>
      </c>
      <c r="C187" s="6" t="s">
        <v>1500</v>
      </c>
      <c r="D187" s="13">
        <v>9</v>
      </c>
    </row>
    <row r="188" spans="1:4" x14ac:dyDescent="0.25">
      <c r="A188" s="24" t="s">
        <v>2738</v>
      </c>
      <c r="B188" s="9">
        <v>45357</v>
      </c>
      <c r="C188" s="6" t="s">
        <v>1768</v>
      </c>
      <c r="D188" s="13">
        <v>4</v>
      </c>
    </row>
    <row r="189" spans="1:4" x14ac:dyDescent="0.25">
      <c r="A189" s="24" t="s">
        <v>2739</v>
      </c>
      <c r="B189" s="9">
        <v>45847</v>
      </c>
      <c r="C189" s="6" t="s">
        <v>1821</v>
      </c>
      <c r="D189" s="13">
        <v>4</v>
      </c>
    </row>
    <row r="190" spans="1:4" x14ac:dyDescent="0.25">
      <c r="A190" s="24" t="s">
        <v>2740</v>
      </c>
      <c r="B190" s="9">
        <v>45503</v>
      </c>
      <c r="C190" s="6" t="s">
        <v>1774</v>
      </c>
      <c r="D190" s="13">
        <v>4</v>
      </c>
    </row>
    <row r="191" spans="1:4" x14ac:dyDescent="0.25">
      <c r="A191" s="24" t="s">
        <v>2741</v>
      </c>
      <c r="B191" s="9">
        <v>46080</v>
      </c>
      <c r="C191" s="6" t="s">
        <v>1942</v>
      </c>
      <c r="D191" s="13">
        <v>18</v>
      </c>
    </row>
    <row r="192" spans="1:4" x14ac:dyDescent="0.25">
      <c r="A192" s="24" t="s">
        <v>2742</v>
      </c>
      <c r="B192" s="9">
        <v>45312</v>
      </c>
      <c r="C192" s="6" t="s">
        <v>1933</v>
      </c>
      <c r="D192" s="13">
        <v>4</v>
      </c>
    </row>
    <row r="193" spans="1:4" x14ac:dyDescent="0.25">
      <c r="A193" s="24" t="s">
        <v>2743</v>
      </c>
      <c r="B193" s="9">
        <v>45298</v>
      </c>
      <c r="C193" s="6" t="s">
        <v>1704</v>
      </c>
      <c r="D193" s="13">
        <v>3</v>
      </c>
    </row>
    <row r="194" spans="1:4" x14ac:dyDescent="0.25">
      <c r="A194" s="24" t="s">
        <v>2744</v>
      </c>
      <c r="B194" s="9">
        <v>45691</v>
      </c>
      <c r="C194" s="6" t="s">
        <v>1773</v>
      </c>
      <c r="D194" s="13">
        <v>6</v>
      </c>
    </row>
    <row r="195" spans="1:4" x14ac:dyDescent="0.25">
      <c r="A195" s="24" t="s">
        <v>2745</v>
      </c>
      <c r="B195" s="9">
        <v>46044</v>
      </c>
      <c r="C195" s="6" t="s">
        <v>1903</v>
      </c>
      <c r="D195" s="13">
        <v>11</v>
      </c>
    </row>
    <row r="196" spans="1:4" x14ac:dyDescent="0.25">
      <c r="A196" s="24" t="s">
        <v>2746</v>
      </c>
      <c r="B196" s="9">
        <v>45517</v>
      </c>
      <c r="C196" s="6" t="s">
        <v>1843</v>
      </c>
      <c r="D196" s="13">
        <v>2</v>
      </c>
    </row>
    <row r="197" spans="1:4" x14ac:dyDescent="0.25">
      <c r="A197" s="24" t="s">
        <v>2747</v>
      </c>
      <c r="B197" s="9">
        <v>45738</v>
      </c>
      <c r="C197" s="6" t="s">
        <v>1841</v>
      </c>
      <c r="D197" s="13">
        <v>1</v>
      </c>
    </row>
    <row r="198" spans="1:4" x14ac:dyDescent="0.25">
      <c r="A198" s="24" t="s">
        <v>2748</v>
      </c>
      <c r="B198" s="9">
        <v>45636</v>
      </c>
      <c r="C198" s="6" t="s">
        <v>1758</v>
      </c>
      <c r="D198" s="13">
        <v>9</v>
      </c>
    </row>
    <row r="199" spans="1:4" x14ac:dyDescent="0.25">
      <c r="A199" s="24" t="s">
        <v>2749</v>
      </c>
      <c r="B199" s="9">
        <v>45770</v>
      </c>
      <c r="C199" s="6" t="s">
        <v>1474</v>
      </c>
      <c r="D199" s="13">
        <v>30</v>
      </c>
    </row>
    <row r="200" spans="1:4" x14ac:dyDescent="0.25">
      <c r="A200" s="24" t="s">
        <v>2750</v>
      </c>
      <c r="B200" s="9">
        <v>45838</v>
      </c>
      <c r="C200" s="6" t="s">
        <v>1371</v>
      </c>
      <c r="D200" s="13">
        <v>16</v>
      </c>
    </row>
    <row r="201" spans="1:4" x14ac:dyDescent="0.25">
      <c r="A201" s="24" t="s">
        <v>2751</v>
      </c>
      <c r="B201" s="9">
        <v>45898</v>
      </c>
      <c r="C201" s="6" t="s">
        <v>1921</v>
      </c>
      <c r="D201" s="13">
        <v>8</v>
      </c>
    </row>
    <row r="202" spans="1:4" x14ac:dyDescent="0.25">
      <c r="A202" s="24" t="s">
        <v>2752</v>
      </c>
      <c r="B202" s="9">
        <v>45377</v>
      </c>
      <c r="C202" s="6" t="s">
        <v>1782</v>
      </c>
      <c r="D202" s="13">
        <v>2</v>
      </c>
    </row>
    <row r="203" spans="1:4" x14ac:dyDescent="0.25">
      <c r="A203" s="24" t="s">
        <v>2753</v>
      </c>
      <c r="B203" s="9">
        <v>45764</v>
      </c>
      <c r="C203" s="6" t="s">
        <v>1530</v>
      </c>
      <c r="D203" s="13">
        <v>1</v>
      </c>
    </row>
    <row r="204" spans="1:4" x14ac:dyDescent="0.25">
      <c r="A204" s="24" t="s">
        <v>2754</v>
      </c>
      <c r="B204" s="9">
        <v>45680</v>
      </c>
      <c r="C204" s="6" t="s">
        <v>1679</v>
      </c>
      <c r="D204" s="13">
        <v>2</v>
      </c>
    </row>
    <row r="205" spans="1:4" x14ac:dyDescent="0.25">
      <c r="A205" s="24" t="s">
        <v>2755</v>
      </c>
      <c r="B205" s="9">
        <v>45626</v>
      </c>
      <c r="C205" s="6" t="s">
        <v>1689</v>
      </c>
      <c r="D205" s="13">
        <v>10</v>
      </c>
    </row>
    <row r="206" spans="1:4" x14ac:dyDescent="0.25">
      <c r="A206" s="24" t="s">
        <v>2756</v>
      </c>
      <c r="B206" s="9">
        <v>45680</v>
      </c>
      <c r="C206" s="6" t="s">
        <v>1628</v>
      </c>
      <c r="D206" s="13">
        <v>10</v>
      </c>
    </row>
    <row r="207" spans="1:4" x14ac:dyDescent="0.25">
      <c r="A207" s="24" t="s">
        <v>2757</v>
      </c>
      <c r="B207" s="9">
        <v>45723</v>
      </c>
      <c r="C207" s="6" t="s">
        <v>1602</v>
      </c>
      <c r="D207" s="13">
        <v>12</v>
      </c>
    </row>
    <row r="208" spans="1:4" x14ac:dyDescent="0.25">
      <c r="A208" s="24" t="s">
        <v>2758</v>
      </c>
      <c r="B208" s="9">
        <v>45773</v>
      </c>
      <c r="C208" s="6" t="s">
        <v>1363</v>
      </c>
      <c r="D208" s="13">
        <v>10</v>
      </c>
    </row>
    <row r="209" spans="1:4" x14ac:dyDescent="0.25">
      <c r="A209" s="24" t="s">
        <v>2759</v>
      </c>
      <c r="B209" s="9">
        <v>45345</v>
      </c>
      <c r="C209" s="6" t="s">
        <v>1702</v>
      </c>
      <c r="D209" s="13">
        <v>2</v>
      </c>
    </row>
    <row r="210" spans="1:4" x14ac:dyDescent="0.25">
      <c r="A210" s="24" t="s">
        <v>2760</v>
      </c>
      <c r="B210" s="9">
        <v>45362</v>
      </c>
      <c r="C210" s="6" t="s">
        <v>1385</v>
      </c>
      <c r="D210" s="13">
        <v>10</v>
      </c>
    </row>
    <row r="211" spans="1:4" x14ac:dyDescent="0.25">
      <c r="A211" s="24" t="s">
        <v>2761</v>
      </c>
      <c r="B211" s="9">
        <v>45545</v>
      </c>
      <c r="C211" s="6" t="s">
        <v>1548</v>
      </c>
      <c r="D211" s="13">
        <v>13</v>
      </c>
    </row>
    <row r="212" spans="1:4" x14ac:dyDescent="0.25">
      <c r="A212" s="24" t="s">
        <v>2762</v>
      </c>
      <c r="B212" s="9">
        <v>45928</v>
      </c>
      <c r="C212" s="6" t="s">
        <v>1500</v>
      </c>
      <c r="D212" s="13">
        <v>2</v>
      </c>
    </row>
    <row r="213" spans="1:4" x14ac:dyDescent="0.25">
      <c r="A213" s="24" t="s">
        <v>2763</v>
      </c>
      <c r="B213" s="9">
        <v>45776</v>
      </c>
      <c r="C213" s="6" t="s">
        <v>1461</v>
      </c>
      <c r="D213" s="13">
        <v>6</v>
      </c>
    </row>
    <row r="214" spans="1:4" x14ac:dyDescent="0.25">
      <c r="A214" s="24" t="s">
        <v>2764</v>
      </c>
      <c r="B214" s="9">
        <v>45515</v>
      </c>
      <c r="C214" s="6" t="s">
        <v>1820</v>
      </c>
      <c r="D214" s="13">
        <v>9</v>
      </c>
    </row>
    <row r="215" spans="1:4" x14ac:dyDescent="0.25">
      <c r="A215" s="24" t="s">
        <v>2765</v>
      </c>
      <c r="B215" s="9">
        <v>46077</v>
      </c>
      <c r="C215" s="6" t="s">
        <v>1721</v>
      </c>
      <c r="D215" s="13">
        <v>2</v>
      </c>
    </row>
    <row r="216" spans="1:4" x14ac:dyDescent="0.25">
      <c r="A216" s="24" t="s">
        <v>2766</v>
      </c>
      <c r="B216" s="9">
        <v>45913</v>
      </c>
      <c r="C216" s="6" t="s">
        <v>1461</v>
      </c>
      <c r="D216" s="13">
        <v>10</v>
      </c>
    </row>
    <row r="217" spans="1:4" x14ac:dyDescent="0.25">
      <c r="A217" s="24" t="s">
        <v>2767</v>
      </c>
      <c r="B217" s="9">
        <v>45459</v>
      </c>
      <c r="C217" s="6" t="s">
        <v>1662</v>
      </c>
      <c r="D217" s="13">
        <v>1</v>
      </c>
    </row>
    <row r="218" spans="1:4" x14ac:dyDescent="0.25">
      <c r="A218" s="24" t="s">
        <v>2768</v>
      </c>
      <c r="B218" s="9">
        <v>45318</v>
      </c>
      <c r="C218" s="6" t="s">
        <v>1663</v>
      </c>
      <c r="D218" s="13">
        <v>6</v>
      </c>
    </row>
    <row r="219" spans="1:4" x14ac:dyDescent="0.25">
      <c r="A219" s="24" t="s">
        <v>2769</v>
      </c>
      <c r="B219" s="9">
        <v>45676</v>
      </c>
      <c r="C219" s="6" t="s">
        <v>1750</v>
      </c>
      <c r="D219" s="13">
        <v>18</v>
      </c>
    </row>
    <row r="220" spans="1:4" x14ac:dyDescent="0.25">
      <c r="A220" s="24" t="s">
        <v>2770</v>
      </c>
      <c r="B220" s="9">
        <v>45495</v>
      </c>
      <c r="C220" s="6" t="s">
        <v>1421</v>
      </c>
      <c r="D220" s="13">
        <v>7</v>
      </c>
    </row>
    <row r="221" spans="1:4" x14ac:dyDescent="0.25">
      <c r="A221" s="24" t="s">
        <v>2771</v>
      </c>
      <c r="B221" s="9">
        <v>45934</v>
      </c>
      <c r="C221" s="6" t="s">
        <v>1592</v>
      </c>
      <c r="D221" s="13">
        <v>1</v>
      </c>
    </row>
    <row r="222" spans="1:4" x14ac:dyDescent="0.25">
      <c r="A222" s="24" t="s">
        <v>2772</v>
      </c>
      <c r="B222" s="9">
        <v>46083</v>
      </c>
      <c r="C222" s="6" t="s">
        <v>1652</v>
      </c>
      <c r="D222" s="13">
        <v>13</v>
      </c>
    </row>
    <row r="223" spans="1:4" x14ac:dyDescent="0.25">
      <c r="A223" s="24" t="s">
        <v>2773</v>
      </c>
      <c r="B223" s="9">
        <v>45906</v>
      </c>
      <c r="C223" s="6" t="s">
        <v>1467</v>
      </c>
      <c r="D223" s="13">
        <v>11</v>
      </c>
    </row>
    <row r="224" spans="1:4" x14ac:dyDescent="0.25">
      <c r="A224" s="24" t="s">
        <v>2774</v>
      </c>
      <c r="B224" s="9">
        <v>45871</v>
      </c>
      <c r="C224" s="6" t="s">
        <v>1386</v>
      </c>
      <c r="D224" s="13">
        <v>3</v>
      </c>
    </row>
    <row r="225" spans="1:4" x14ac:dyDescent="0.25">
      <c r="A225" s="24" t="s">
        <v>2775</v>
      </c>
      <c r="B225" s="9">
        <v>45730</v>
      </c>
      <c r="C225" s="6" t="s">
        <v>1723</v>
      </c>
      <c r="D225" s="13">
        <v>1</v>
      </c>
    </row>
    <row r="226" spans="1:4" x14ac:dyDescent="0.25">
      <c r="A226" s="24" t="s">
        <v>2776</v>
      </c>
      <c r="B226" s="9">
        <v>45955</v>
      </c>
      <c r="C226" s="6" t="s">
        <v>1693</v>
      </c>
      <c r="D226" s="13">
        <v>1</v>
      </c>
    </row>
    <row r="227" spans="1:4" x14ac:dyDescent="0.25">
      <c r="A227" s="24" t="s">
        <v>2777</v>
      </c>
      <c r="B227" s="9">
        <v>45722</v>
      </c>
      <c r="C227" s="6" t="s">
        <v>1845</v>
      </c>
      <c r="D227" s="13">
        <v>1</v>
      </c>
    </row>
    <row r="228" spans="1:4" x14ac:dyDescent="0.25">
      <c r="A228" s="24" t="s">
        <v>2778</v>
      </c>
      <c r="B228" s="9">
        <v>45662</v>
      </c>
      <c r="C228" s="6" t="s">
        <v>1814</v>
      </c>
      <c r="D228" s="13">
        <v>9</v>
      </c>
    </row>
    <row r="229" spans="1:4" x14ac:dyDescent="0.25">
      <c r="A229" s="24" t="s">
        <v>2779</v>
      </c>
      <c r="B229" s="9">
        <v>45737</v>
      </c>
      <c r="C229" s="6" t="s">
        <v>1524</v>
      </c>
      <c r="D229" s="13">
        <v>9</v>
      </c>
    </row>
    <row r="230" spans="1:4" x14ac:dyDescent="0.25">
      <c r="A230" s="24" t="s">
        <v>2780</v>
      </c>
      <c r="B230" s="9">
        <v>45958</v>
      </c>
      <c r="C230" s="6" t="s">
        <v>1620</v>
      </c>
      <c r="D230" s="13">
        <v>7</v>
      </c>
    </row>
    <row r="231" spans="1:4" x14ac:dyDescent="0.25">
      <c r="A231" s="24" t="s">
        <v>2781</v>
      </c>
      <c r="B231" s="9">
        <v>45843</v>
      </c>
      <c r="C231" s="6" t="s">
        <v>1839</v>
      </c>
      <c r="D231" s="13">
        <v>5</v>
      </c>
    </row>
    <row r="232" spans="1:4" x14ac:dyDescent="0.25">
      <c r="A232" s="24" t="s">
        <v>2782</v>
      </c>
      <c r="B232" s="9">
        <v>46040</v>
      </c>
      <c r="C232" s="6" t="s">
        <v>1618</v>
      </c>
      <c r="D232" s="13">
        <v>3</v>
      </c>
    </row>
    <row r="233" spans="1:4" x14ac:dyDescent="0.25">
      <c r="A233" s="24" t="s">
        <v>2783</v>
      </c>
      <c r="B233" s="9">
        <v>45543</v>
      </c>
      <c r="C233" s="6" t="s">
        <v>1432</v>
      </c>
      <c r="D233" s="13">
        <v>3</v>
      </c>
    </row>
    <row r="234" spans="1:4" x14ac:dyDescent="0.25">
      <c r="A234" s="24" t="s">
        <v>2784</v>
      </c>
      <c r="B234" s="9">
        <v>45753</v>
      </c>
      <c r="C234" s="6" t="s">
        <v>1593</v>
      </c>
      <c r="D234" s="13">
        <v>10</v>
      </c>
    </row>
    <row r="235" spans="1:4" x14ac:dyDescent="0.25">
      <c r="A235" s="24" t="s">
        <v>2785</v>
      </c>
      <c r="B235" s="9">
        <v>45875</v>
      </c>
      <c r="C235" s="6" t="s">
        <v>1732</v>
      </c>
      <c r="D235" s="13">
        <v>3</v>
      </c>
    </row>
    <row r="236" spans="1:4" x14ac:dyDescent="0.25">
      <c r="A236" s="24" t="s">
        <v>2786</v>
      </c>
      <c r="B236" s="9">
        <v>45798</v>
      </c>
      <c r="C236" s="6" t="s">
        <v>1676</v>
      </c>
      <c r="D236" s="13">
        <v>2</v>
      </c>
    </row>
    <row r="237" spans="1:4" x14ac:dyDescent="0.25">
      <c r="A237" s="24" t="s">
        <v>2787</v>
      </c>
      <c r="B237" s="9">
        <v>45509</v>
      </c>
      <c r="C237" s="6" t="s">
        <v>1707</v>
      </c>
      <c r="D237" s="13">
        <v>11</v>
      </c>
    </row>
    <row r="238" spans="1:4" x14ac:dyDescent="0.25">
      <c r="A238" s="24" t="s">
        <v>2788</v>
      </c>
      <c r="B238" s="9">
        <v>45640</v>
      </c>
      <c r="C238" s="6" t="s">
        <v>1630</v>
      </c>
      <c r="D238" s="13">
        <v>14</v>
      </c>
    </row>
    <row r="239" spans="1:4" x14ac:dyDescent="0.25">
      <c r="A239" s="24" t="s">
        <v>2789</v>
      </c>
      <c r="B239" s="9">
        <v>46010</v>
      </c>
      <c r="C239" s="6" t="s">
        <v>1626</v>
      </c>
      <c r="D239" s="13">
        <v>6</v>
      </c>
    </row>
    <row r="240" spans="1:4" x14ac:dyDescent="0.25">
      <c r="A240" s="24" t="s">
        <v>2790</v>
      </c>
      <c r="B240" s="9">
        <v>45821</v>
      </c>
      <c r="C240" s="6" t="s">
        <v>1539</v>
      </c>
      <c r="D240" s="13">
        <v>1</v>
      </c>
    </row>
    <row r="241" spans="1:4" x14ac:dyDescent="0.25">
      <c r="A241" s="24" t="s">
        <v>2791</v>
      </c>
      <c r="B241" s="9">
        <v>46029</v>
      </c>
      <c r="C241" s="6" t="s">
        <v>1760</v>
      </c>
      <c r="D241" s="13">
        <v>5</v>
      </c>
    </row>
    <row r="242" spans="1:4" x14ac:dyDescent="0.25">
      <c r="A242" s="24" t="s">
        <v>2792</v>
      </c>
      <c r="B242" s="9">
        <v>46068</v>
      </c>
      <c r="C242" s="6" t="s">
        <v>1590</v>
      </c>
      <c r="D242" s="13">
        <v>8</v>
      </c>
    </row>
    <row r="243" spans="1:4" x14ac:dyDescent="0.25">
      <c r="A243" s="24" t="s">
        <v>2793</v>
      </c>
      <c r="B243" s="9">
        <v>45953</v>
      </c>
      <c r="C243" s="6" t="s">
        <v>1846</v>
      </c>
      <c r="D243" s="13">
        <v>5</v>
      </c>
    </row>
    <row r="244" spans="1:4" x14ac:dyDescent="0.25">
      <c r="A244" s="24" t="s">
        <v>2794</v>
      </c>
      <c r="B244" s="9">
        <v>45309</v>
      </c>
      <c r="C244" s="6" t="s">
        <v>1439</v>
      </c>
      <c r="D244" s="13">
        <v>3</v>
      </c>
    </row>
    <row r="245" spans="1:4" x14ac:dyDescent="0.25">
      <c r="A245" s="24" t="s">
        <v>2795</v>
      </c>
      <c r="B245" s="9">
        <v>45706</v>
      </c>
      <c r="C245" s="6" t="s">
        <v>1593</v>
      </c>
      <c r="D245" s="13">
        <v>3</v>
      </c>
    </row>
    <row r="246" spans="1:4" x14ac:dyDescent="0.25">
      <c r="A246" s="24" t="s">
        <v>2796</v>
      </c>
      <c r="B246" s="9">
        <v>45887</v>
      </c>
      <c r="C246" s="6" t="s">
        <v>1721</v>
      </c>
      <c r="D246" s="13">
        <v>5</v>
      </c>
    </row>
    <row r="247" spans="1:4" x14ac:dyDescent="0.25">
      <c r="A247" s="24" t="s">
        <v>2797</v>
      </c>
      <c r="B247" s="9">
        <v>45835</v>
      </c>
      <c r="C247" s="6" t="s">
        <v>1696</v>
      </c>
      <c r="D247" s="13">
        <v>4</v>
      </c>
    </row>
    <row r="248" spans="1:4" x14ac:dyDescent="0.25">
      <c r="A248" s="24" t="s">
        <v>2798</v>
      </c>
      <c r="B248" s="9">
        <v>46055</v>
      </c>
      <c r="C248" s="6" t="s">
        <v>1907</v>
      </c>
      <c r="D248" s="13">
        <v>3</v>
      </c>
    </row>
    <row r="249" spans="1:4" x14ac:dyDescent="0.25">
      <c r="A249" s="24" t="s">
        <v>2799</v>
      </c>
      <c r="B249" s="9">
        <v>46011</v>
      </c>
      <c r="C249" s="6" t="s">
        <v>1808</v>
      </c>
      <c r="D249" s="13">
        <v>3</v>
      </c>
    </row>
    <row r="250" spans="1:4" x14ac:dyDescent="0.25">
      <c r="A250" s="24" t="s">
        <v>2800</v>
      </c>
      <c r="B250" s="9">
        <v>45549</v>
      </c>
      <c r="C250" s="6" t="s">
        <v>1580</v>
      </c>
      <c r="D250" s="13">
        <v>1</v>
      </c>
    </row>
    <row r="251" spans="1:4" x14ac:dyDescent="0.25">
      <c r="A251" s="24" t="s">
        <v>2801</v>
      </c>
      <c r="B251" s="9">
        <v>45489</v>
      </c>
      <c r="C251" s="6" t="s">
        <v>1667</v>
      </c>
      <c r="D251" s="13">
        <v>1</v>
      </c>
    </row>
    <row r="252" spans="1:4" x14ac:dyDescent="0.25">
      <c r="A252" s="24" t="s">
        <v>2802</v>
      </c>
      <c r="B252" s="9">
        <v>45840</v>
      </c>
      <c r="C252" s="6" t="s">
        <v>1533</v>
      </c>
      <c r="D252" s="13">
        <v>2</v>
      </c>
    </row>
    <row r="253" spans="1:4" x14ac:dyDescent="0.25">
      <c r="A253" s="24" t="s">
        <v>2803</v>
      </c>
      <c r="B253" s="9">
        <v>46048</v>
      </c>
      <c r="C253" s="6" t="s">
        <v>1839</v>
      </c>
      <c r="D253" s="13">
        <v>3</v>
      </c>
    </row>
    <row r="254" spans="1:4" x14ac:dyDescent="0.25">
      <c r="A254" s="24" t="s">
        <v>2804</v>
      </c>
      <c r="B254" s="9">
        <v>45895</v>
      </c>
      <c r="C254" s="6" t="s">
        <v>1881</v>
      </c>
      <c r="D254" s="13">
        <v>7</v>
      </c>
    </row>
    <row r="255" spans="1:4" x14ac:dyDescent="0.25">
      <c r="A255" s="24" t="s">
        <v>2805</v>
      </c>
      <c r="B255" s="9">
        <v>45394</v>
      </c>
      <c r="C255" s="6" t="s">
        <v>1542</v>
      </c>
      <c r="D255" s="13">
        <v>3</v>
      </c>
    </row>
    <row r="256" spans="1:4" x14ac:dyDescent="0.25">
      <c r="A256" s="24" t="s">
        <v>2806</v>
      </c>
      <c r="B256" s="9">
        <v>45661</v>
      </c>
      <c r="C256" s="6" t="s">
        <v>1527</v>
      </c>
      <c r="D256" s="13">
        <v>3</v>
      </c>
    </row>
    <row r="257" spans="1:4" x14ac:dyDescent="0.25">
      <c r="A257" s="24" t="s">
        <v>2807</v>
      </c>
      <c r="B257" s="9">
        <v>46017</v>
      </c>
      <c r="C257" s="6" t="s">
        <v>1890</v>
      </c>
      <c r="D257" s="13">
        <v>1</v>
      </c>
    </row>
    <row r="258" spans="1:4" x14ac:dyDescent="0.25">
      <c r="A258" s="24" t="s">
        <v>2808</v>
      </c>
      <c r="B258" s="9">
        <v>45338</v>
      </c>
      <c r="C258" s="6" t="s">
        <v>1399</v>
      </c>
      <c r="D258" s="13">
        <v>6</v>
      </c>
    </row>
    <row r="259" spans="1:4" x14ac:dyDescent="0.25">
      <c r="A259" s="24" t="s">
        <v>2809</v>
      </c>
      <c r="B259" s="9">
        <v>46006</v>
      </c>
      <c r="C259" s="6" t="s">
        <v>1473</v>
      </c>
      <c r="D259" s="13">
        <v>7</v>
      </c>
    </row>
    <row r="260" spans="1:4" x14ac:dyDescent="0.25">
      <c r="A260" s="24" t="s">
        <v>2810</v>
      </c>
      <c r="B260" s="9">
        <v>46062</v>
      </c>
      <c r="C260" s="6" t="s">
        <v>1846</v>
      </c>
      <c r="D260" s="13">
        <v>1</v>
      </c>
    </row>
    <row r="261" spans="1:4" x14ac:dyDescent="0.25">
      <c r="A261" s="24" t="s">
        <v>2811</v>
      </c>
      <c r="B261" s="9">
        <v>45304</v>
      </c>
      <c r="C261" s="6" t="s">
        <v>1931</v>
      </c>
      <c r="D261" s="13">
        <v>3</v>
      </c>
    </row>
    <row r="262" spans="1:4" x14ac:dyDescent="0.25">
      <c r="A262" s="24" t="s">
        <v>2812</v>
      </c>
      <c r="B262" s="9">
        <v>45782</v>
      </c>
      <c r="C262" s="6" t="s">
        <v>1795</v>
      </c>
      <c r="D262" s="13">
        <v>3</v>
      </c>
    </row>
    <row r="263" spans="1:4" x14ac:dyDescent="0.25">
      <c r="A263" s="24" t="s">
        <v>2813</v>
      </c>
      <c r="B263" s="9">
        <v>45344</v>
      </c>
      <c r="C263" s="6" t="s">
        <v>1602</v>
      </c>
      <c r="D263" s="13">
        <v>18</v>
      </c>
    </row>
    <row r="264" spans="1:4" x14ac:dyDescent="0.25">
      <c r="A264" s="24" t="s">
        <v>2814</v>
      </c>
      <c r="B264" s="9">
        <v>45781</v>
      </c>
      <c r="C264" s="6" t="s">
        <v>1460</v>
      </c>
      <c r="D264" s="13">
        <v>12</v>
      </c>
    </row>
    <row r="265" spans="1:4" x14ac:dyDescent="0.25">
      <c r="A265" s="24" t="s">
        <v>2815</v>
      </c>
      <c r="B265" s="9">
        <v>45702</v>
      </c>
      <c r="C265" s="6" t="s">
        <v>1847</v>
      </c>
      <c r="D265" s="13">
        <v>1</v>
      </c>
    </row>
    <row r="266" spans="1:4" x14ac:dyDescent="0.25">
      <c r="A266" s="24" t="s">
        <v>2816</v>
      </c>
      <c r="B266" s="9">
        <v>45936</v>
      </c>
      <c r="C266" s="6" t="s">
        <v>1398</v>
      </c>
      <c r="D266" s="13">
        <v>2</v>
      </c>
    </row>
    <row r="267" spans="1:4" x14ac:dyDescent="0.25">
      <c r="A267" s="24" t="s">
        <v>2817</v>
      </c>
      <c r="B267" s="9">
        <v>45868</v>
      </c>
      <c r="C267" s="6" t="s">
        <v>1655</v>
      </c>
      <c r="D267" s="13">
        <v>1</v>
      </c>
    </row>
    <row r="268" spans="1:4" x14ac:dyDescent="0.25">
      <c r="A268" s="24" t="s">
        <v>2818</v>
      </c>
      <c r="B268" s="9">
        <v>45546</v>
      </c>
      <c r="C268" s="6" t="s">
        <v>1465</v>
      </c>
      <c r="D268" s="13">
        <v>6</v>
      </c>
    </row>
    <row r="269" spans="1:4" x14ac:dyDescent="0.25">
      <c r="A269" s="24" t="s">
        <v>2819</v>
      </c>
      <c r="B269" s="9">
        <v>45718</v>
      </c>
      <c r="C269" s="6" t="s">
        <v>1575</v>
      </c>
      <c r="D269" s="13">
        <v>10</v>
      </c>
    </row>
    <row r="270" spans="1:4" x14ac:dyDescent="0.25">
      <c r="A270" s="24" t="s">
        <v>2820</v>
      </c>
      <c r="B270" s="9">
        <v>45681</v>
      </c>
      <c r="C270" s="6" t="s">
        <v>1805</v>
      </c>
      <c r="D270" s="13">
        <v>16</v>
      </c>
    </row>
    <row r="271" spans="1:4" x14ac:dyDescent="0.25">
      <c r="A271" s="24" t="s">
        <v>2821</v>
      </c>
      <c r="B271" s="9">
        <v>45596</v>
      </c>
      <c r="C271" s="6" t="s">
        <v>1783</v>
      </c>
      <c r="D271" s="13">
        <v>3</v>
      </c>
    </row>
    <row r="272" spans="1:4" x14ac:dyDescent="0.25">
      <c r="A272" s="24" t="s">
        <v>2822</v>
      </c>
      <c r="B272" s="9">
        <v>45927</v>
      </c>
      <c r="C272" s="6" t="s">
        <v>1405</v>
      </c>
      <c r="D272" s="13">
        <v>7</v>
      </c>
    </row>
    <row r="273" spans="1:4" x14ac:dyDescent="0.25">
      <c r="A273" s="24" t="s">
        <v>2823</v>
      </c>
      <c r="B273" s="9">
        <v>46049</v>
      </c>
      <c r="C273" s="6" t="s">
        <v>1445</v>
      </c>
      <c r="D273" s="13">
        <v>18</v>
      </c>
    </row>
    <row r="274" spans="1:4" x14ac:dyDescent="0.25">
      <c r="A274" s="24" t="s">
        <v>2824</v>
      </c>
      <c r="B274" s="9">
        <v>45504</v>
      </c>
      <c r="C274" s="6" t="s">
        <v>1560</v>
      </c>
      <c r="D274" s="13">
        <v>3</v>
      </c>
    </row>
    <row r="275" spans="1:4" x14ac:dyDescent="0.25">
      <c r="A275" s="24" t="s">
        <v>2825</v>
      </c>
      <c r="B275" s="9">
        <v>45375</v>
      </c>
      <c r="C275" s="6" t="s">
        <v>1504</v>
      </c>
      <c r="D275" s="13">
        <v>2</v>
      </c>
    </row>
    <row r="276" spans="1:4" x14ac:dyDescent="0.25">
      <c r="A276" s="24" t="s">
        <v>2826</v>
      </c>
      <c r="B276" s="9">
        <v>45857</v>
      </c>
      <c r="C276" s="6" t="s">
        <v>1420</v>
      </c>
      <c r="D276" s="13">
        <v>2</v>
      </c>
    </row>
    <row r="277" spans="1:4" x14ac:dyDescent="0.25">
      <c r="A277" s="24" t="s">
        <v>2827</v>
      </c>
      <c r="B277" s="9">
        <v>45710</v>
      </c>
      <c r="C277" s="6" t="s">
        <v>1805</v>
      </c>
      <c r="D277" s="13">
        <v>8</v>
      </c>
    </row>
    <row r="278" spans="1:4" x14ac:dyDescent="0.25">
      <c r="A278" s="24" t="s">
        <v>2828</v>
      </c>
      <c r="B278" s="9">
        <v>45773</v>
      </c>
      <c r="C278" s="6" t="s">
        <v>1642</v>
      </c>
      <c r="D278" s="13">
        <v>1</v>
      </c>
    </row>
    <row r="279" spans="1:4" x14ac:dyDescent="0.25">
      <c r="A279" s="24" t="s">
        <v>2829</v>
      </c>
      <c r="B279" s="9">
        <v>45587</v>
      </c>
      <c r="C279" s="6" t="s">
        <v>1633</v>
      </c>
      <c r="D279" s="13">
        <v>9</v>
      </c>
    </row>
    <row r="280" spans="1:4" x14ac:dyDescent="0.25">
      <c r="A280" s="24" t="s">
        <v>2830</v>
      </c>
      <c r="B280" s="9">
        <v>45756</v>
      </c>
      <c r="C280" s="6" t="s">
        <v>1416</v>
      </c>
      <c r="D280" s="13">
        <v>8</v>
      </c>
    </row>
    <row r="281" spans="1:4" x14ac:dyDescent="0.25">
      <c r="A281" s="24" t="s">
        <v>2831</v>
      </c>
      <c r="B281" s="9">
        <v>45562</v>
      </c>
      <c r="C281" s="6" t="s">
        <v>1546</v>
      </c>
      <c r="D281" s="13">
        <v>4</v>
      </c>
    </row>
    <row r="282" spans="1:4" x14ac:dyDescent="0.25">
      <c r="A282" s="24" t="s">
        <v>2832</v>
      </c>
      <c r="B282" s="9">
        <v>45849</v>
      </c>
      <c r="C282" s="6" t="s">
        <v>1574</v>
      </c>
      <c r="D282" s="13">
        <v>8</v>
      </c>
    </row>
    <row r="283" spans="1:4" x14ac:dyDescent="0.25">
      <c r="A283" s="24" t="s">
        <v>2833</v>
      </c>
      <c r="B283" s="9">
        <v>45564</v>
      </c>
      <c r="C283" s="6" t="s">
        <v>1489</v>
      </c>
      <c r="D283" s="13">
        <v>1</v>
      </c>
    </row>
    <row r="284" spans="1:4" x14ac:dyDescent="0.25">
      <c r="A284" s="24" t="s">
        <v>2834</v>
      </c>
      <c r="B284" s="9">
        <v>45461</v>
      </c>
      <c r="C284" s="6" t="s">
        <v>1658</v>
      </c>
      <c r="D284" s="13">
        <v>7</v>
      </c>
    </row>
    <row r="285" spans="1:4" x14ac:dyDescent="0.25">
      <c r="A285" s="24" t="s">
        <v>2835</v>
      </c>
      <c r="B285" s="9">
        <v>45874</v>
      </c>
      <c r="C285" s="6" t="s">
        <v>1639</v>
      </c>
      <c r="D285" s="13">
        <v>4</v>
      </c>
    </row>
    <row r="286" spans="1:4" x14ac:dyDescent="0.25">
      <c r="A286" s="24" t="s">
        <v>2836</v>
      </c>
      <c r="B286" s="9">
        <v>45771</v>
      </c>
      <c r="C286" s="6" t="s">
        <v>1655</v>
      </c>
      <c r="D286" s="13">
        <v>9</v>
      </c>
    </row>
    <row r="287" spans="1:4" x14ac:dyDescent="0.25">
      <c r="A287" s="24" t="s">
        <v>2837</v>
      </c>
      <c r="B287" s="9">
        <v>45570</v>
      </c>
      <c r="C287" s="6" t="s">
        <v>1856</v>
      </c>
      <c r="D287" s="13">
        <v>6</v>
      </c>
    </row>
    <row r="288" spans="1:4" x14ac:dyDescent="0.25">
      <c r="A288" s="24" t="s">
        <v>2838</v>
      </c>
      <c r="B288" s="9">
        <v>45740</v>
      </c>
      <c r="C288" s="6" t="s">
        <v>1426</v>
      </c>
      <c r="D288" s="13">
        <v>7</v>
      </c>
    </row>
    <row r="289" spans="1:4" x14ac:dyDescent="0.25">
      <c r="A289" s="24" t="s">
        <v>2839</v>
      </c>
      <c r="B289" s="9">
        <v>45734</v>
      </c>
      <c r="C289" s="6" t="s">
        <v>1674</v>
      </c>
      <c r="D289" s="13">
        <v>7</v>
      </c>
    </row>
    <row r="290" spans="1:4" x14ac:dyDescent="0.25">
      <c r="A290" s="24" t="s">
        <v>2840</v>
      </c>
      <c r="B290" s="9">
        <v>45318</v>
      </c>
      <c r="C290" s="6" t="s">
        <v>1437</v>
      </c>
      <c r="D290" s="13">
        <v>2</v>
      </c>
    </row>
    <row r="291" spans="1:4" x14ac:dyDescent="0.25">
      <c r="A291" s="24" t="s">
        <v>2841</v>
      </c>
      <c r="B291" s="9">
        <v>45982</v>
      </c>
      <c r="C291" s="6" t="s">
        <v>1933</v>
      </c>
      <c r="D291" s="13">
        <v>7</v>
      </c>
    </row>
    <row r="292" spans="1:4" x14ac:dyDescent="0.25">
      <c r="A292" s="24" t="s">
        <v>2842</v>
      </c>
      <c r="B292" s="9">
        <v>45313</v>
      </c>
      <c r="C292" s="6" t="s">
        <v>1619</v>
      </c>
      <c r="D292" s="13">
        <v>6</v>
      </c>
    </row>
    <row r="293" spans="1:4" x14ac:dyDescent="0.25">
      <c r="A293" s="24" t="s">
        <v>2843</v>
      </c>
      <c r="B293" s="9">
        <v>46073</v>
      </c>
      <c r="C293" s="6" t="s">
        <v>1523</v>
      </c>
      <c r="D293" s="13">
        <v>5</v>
      </c>
    </row>
    <row r="294" spans="1:4" x14ac:dyDescent="0.25">
      <c r="A294" s="24" t="s">
        <v>2844</v>
      </c>
      <c r="B294" s="9">
        <v>45959</v>
      </c>
      <c r="C294" s="6" t="s">
        <v>1796</v>
      </c>
      <c r="D294" s="13">
        <v>16</v>
      </c>
    </row>
    <row r="295" spans="1:4" x14ac:dyDescent="0.25">
      <c r="A295" s="24" t="s">
        <v>2845</v>
      </c>
      <c r="B295" s="9">
        <v>45477</v>
      </c>
      <c r="C295" s="6" t="s">
        <v>1943</v>
      </c>
      <c r="D295" s="13">
        <v>4</v>
      </c>
    </row>
    <row r="296" spans="1:4" x14ac:dyDescent="0.25">
      <c r="A296" s="24" t="s">
        <v>2846</v>
      </c>
      <c r="B296" s="9">
        <v>45795</v>
      </c>
      <c r="C296" s="6" t="s">
        <v>1437</v>
      </c>
      <c r="D296" s="13">
        <v>5</v>
      </c>
    </row>
    <row r="297" spans="1:4" x14ac:dyDescent="0.25">
      <c r="A297" s="24" t="s">
        <v>2847</v>
      </c>
      <c r="B297" s="9">
        <v>45710</v>
      </c>
      <c r="C297" s="6" t="s">
        <v>1685</v>
      </c>
      <c r="D297" s="13">
        <v>3</v>
      </c>
    </row>
    <row r="298" spans="1:4" x14ac:dyDescent="0.25">
      <c r="A298" s="24" t="s">
        <v>2848</v>
      </c>
      <c r="B298" s="9">
        <v>45399</v>
      </c>
      <c r="C298" s="6" t="s">
        <v>1508</v>
      </c>
      <c r="D298" s="13">
        <v>3</v>
      </c>
    </row>
    <row r="299" spans="1:4" x14ac:dyDescent="0.25">
      <c r="A299" s="24" t="s">
        <v>2849</v>
      </c>
      <c r="B299" s="9">
        <v>46002</v>
      </c>
      <c r="C299" s="6" t="s">
        <v>1851</v>
      </c>
      <c r="D299" s="13">
        <v>3</v>
      </c>
    </row>
    <row r="300" spans="1:4" x14ac:dyDescent="0.25">
      <c r="A300" s="24" t="s">
        <v>2850</v>
      </c>
      <c r="B300" s="9">
        <v>45702</v>
      </c>
      <c r="C300" s="6" t="s">
        <v>1907</v>
      </c>
      <c r="D300" s="13">
        <v>1</v>
      </c>
    </row>
    <row r="301" spans="1:4" x14ac:dyDescent="0.25">
      <c r="A301" s="24" t="s">
        <v>2851</v>
      </c>
      <c r="B301" s="9">
        <v>45382</v>
      </c>
      <c r="C301" s="6" t="s">
        <v>1666</v>
      </c>
      <c r="D301" s="13">
        <v>3</v>
      </c>
    </row>
    <row r="302" spans="1:4" x14ac:dyDescent="0.25">
      <c r="A302" s="24" t="s">
        <v>2852</v>
      </c>
      <c r="B302" s="9">
        <v>45410</v>
      </c>
      <c r="C302" s="6" t="s">
        <v>1757</v>
      </c>
      <c r="D302" s="13">
        <v>14</v>
      </c>
    </row>
    <row r="303" spans="1:4" x14ac:dyDescent="0.25">
      <c r="A303" s="24" t="s">
        <v>2853</v>
      </c>
      <c r="B303" s="9">
        <v>45293</v>
      </c>
      <c r="C303" s="6" t="s">
        <v>1899</v>
      </c>
      <c r="D303" s="13">
        <v>5</v>
      </c>
    </row>
    <row r="304" spans="1:4" x14ac:dyDescent="0.25">
      <c r="A304" s="24" t="s">
        <v>2854</v>
      </c>
      <c r="B304" s="9">
        <v>45347</v>
      </c>
      <c r="C304" s="6" t="s">
        <v>1536</v>
      </c>
      <c r="D304" s="13">
        <v>5</v>
      </c>
    </row>
    <row r="305" spans="1:4" x14ac:dyDescent="0.25">
      <c r="A305" s="24" t="s">
        <v>2855</v>
      </c>
      <c r="B305" s="9">
        <v>45929</v>
      </c>
      <c r="C305" s="6" t="s">
        <v>1854</v>
      </c>
      <c r="D305" s="13">
        <v>7</v>
      </c>
    </row>
    <row r="306" spans="1:4" x14ac:dyDescent="0.25">
      <c r="A306" s="24" t="s">
        <v>2856</v>
      </c>
      <c r="B306" s="9">
        <v>46070</v>
      </c>
      <c r="C306" s="6" t="s">
        <v>1396</v>
      </c>
      <c r="D306" s="13">
        <v>2</v>
      </c>
    </row>
    <row r="307" spans="1:4" x14ac:dyDescent="0.25">
      <c r="A307" s="24" t="s">
        <v>2857</v>
      </c>
      <c r="B307" s="9">
        <v>45854</v>
      </c>
      <c r="C307" s="6" t="s">
        <v>1478</v>
      </c>
      <c r="D307" s="13">
        <v>17</v>
      </c>
    </row>
    <row r="308" spans="1:4" x14ac:dyDescent="0.25">
      <c r="A308" s="24" t="s">
        <v>2858</v>
      </c>
      <c r="B308" s="9">
        <v>45740</v>
      </c>
      <c r="C308" s="6" t="s">
        <v>1840</v>
      </c>
      <c r="D308" s="13">
        <v>1</v>
      </c>
    </row>
    <row r="309" spans="1:4" x14ac:dyDescent="0.25">
      <c r="A309" s="24" t="s">
        <v>2859</v>
      </c>
      <c r="B309" s="9">
        <v>45937</v>
      </c>
      <c r="C309" s="6" t="s">
        <v>1589</v>
      </c>
      <c r="D309" s="13">
        <v>9</v>
      </c>
    </row>
    <row r="310" spans="1:4" x14ac:dyDescent="0.25">
      <c r="A310" s="24" t="s">
        <v>2860</v>
      </c>
      <c r="B310" s="9">
        <v>45610</v>
      </c>
      <c r="C310" s="6" t="s">
        <v>1908</v>
      </c>
      <c r="D310" s="13">
        <v>1</v>
      </c>
    </row>
    <row r="311" spans="1:4" x14ac:dyDescent="0.25">
      <c r="A311" s="24" t="s">
        <v>2861</v>
      </c>
      <c r="B311" s="9">
        <v>45709</v>
      </c>
      <c r="C311" s="6" t="s">
        <v>1439</v>
      </c>
      <c r="D311" s="13">
        <v>2</v>
      </c>
    </row>
    <row r="312" spans="1:4" x14ac:dyDescent="0.25">
      <c r="A312" s="24" t="s">
        <v>2862</v>
      </c>
      <c r="B312" s="9">
        <v>45408</v>
      </c>
      <c r="C312" s="6" t="s">
        <v>1816</v>
      </c>
      <c r="D312" s="13">
        <v>18</v>
      </c>
    </row>
    <row r="313" spans="1:4" x14ac:dyDescent="0.25">
      <c r="A313" s="24" t="s">
        <v>2863</v>
      </c>
      <c r="B313" s="9">
        <v>45955</v>
      </c>
      <c r="C313" s="6" t="s">
        <v>1501</v>
      </c>
      <c r="D313" s="13">
        <v>5</v>
      </c>
    </row>
    <row r="314" spans="1:4" x14ac:dyDescent="0.25">
      <c r="A314" s="24" t="s">
        <v>2864</v>
      </c>
      <c r="B314" s="9">
        <v>46025</v>
      </c>
      <c r="C314" s="6" t="s">
        <v>1642</v>
      </c>
      <c r="D314" s="13">
        <v>5</v>
      </c>
    </row>
    <row r="315" spans="1:4" x14ac:dyDescent="0.25">
      <c r="A315" s="24" t="s">
        <v>2865</v>
      </c>
      <c r="B315" s="9">
        <v>45571</v>
      </c>
      <c r="C315" s="6" t="s">
        <v>1769</v>
      </c>
      <c r="D315" s="13">
        <v>12</v>
      </c>
    </row>
    <row r="316" spans="1:4" x14ac:dyDescent="0.25">
      <c r="A316" s="24" t="s">
        <v>2866</v>
      </c>
      <c r="B316" s="9">
        <v>45775</v>
      </c>
      <c r="C316" s="6" t="s">
        <v>1593</v>
      </c>
      <c r="D316" s="13">
        <v>5</v>
      </c>
    </row>
    <row r="317" spans="1:4" x14ac:dyDescent="0.25">
      <c r="A317" s="24" t="s">
        <v>2867</v>
      </c>
      <c r="B317" s="9">
        <v>45440</v>
      </c>
      <c r="C317" s="6" t="s">
        <v>1736</v>
      </c>
      <c r="D317" s="13">
        <v>2</v>
      </c>
    </row>
    <row r="318" spans="1:4" x14ac:dyDescent="0.25">
      <c r="A318" s="24" t="s">
        <v>2868</v>
      </c>
      <c r="B318" s="9">
        <v>45905</v>
      </c>
      <c r="C318" s="6" t="s">
        <v>1864</v>
      </c>
      <c r="D318" s="13">
        <v>10</v>
      </c>
    </row>
    <row r="319" spans="1:4" x14ac:dyDescent="0.25">
      <c r="A319" s="24" t="s">
        <v>2869</v>
      </c>
      <c r="B319" s="9">
        <v>45431</v>
      </c>
      <c r="C319" s="6" t="s">
        <v>1415</v>
      </c>
      <c r="D319" s="13">
        <v>3</v>
      </c>
    </row>
    <row r="320" spans="1:4" x14ac:dyDescent="0.25">
      <c r="A320" s="24" t="s">
        <v>2870</v>
      </c>
      <c r="B320" s="9">
        <v>46100</v>
      </c>
      <c r="C320" s="6" t="s">
        <v>1768</v>
      </c>
      <c r="D320" s="13">
        <v>3</v>
      </c>
    </row>
    <row r="321" spans="1:4" x14ac:dyDescent="0.25">
      <c r="A321" s="24" t="s">
        <v>2871</v>
      </c>
      <c r="B321" s="9">
        <v>46098</v>
      </c>
      <c r="C321" s="6" t="s">
        <v>1863</v>
      </c>
      <c r="D321" s="13">
        <v>3</v>
      </c>
    </row>
    <row r="322" spans="1:4" x14ac:dyDescent="0.25">
      <c r="A322" s="24" t="s">
        <v>2872</v>
      </c>
      <c r="B322" s="9">
        <v>45294</v>
      </c>
      <c r="C322" s="6" t="s">
        <v>1633</v>
      </c>
      <c r="D322" s="13">
        <v>9</v>
      </c>
    </row>
    <row r="323" spans="1:4" x14ac:dyDescent="0.25">
      <c r="A323" s="24" t="s">
        <v>2873</v>
      </c>
      <c r="B323" s="9">
        <v>45893</v>
      </c>
      <c r="C323" s="6" t="s">
        <v>1937</v>
      </c>
      <c r="D323" s="13">
        <v>50</v>
      </c>
    </row>
    <row r="324" spans="1:4" x14ac:dyDescent="0.25">
      <c r="A324" s="24" t="s">
        <v>2874</v>
      </c>
      <c r="B324" s="9">
        <v>45793</v>
      </c>
      <c r="C324" s="6" t="s">
        <v>1496</v>
      </c>
      <c r="D324" s="13">
        <v>5</v>
      </c>
    </row>
    <row r="325" spans="1:4" x14ac:dyDescent="0.25">
      <c r="A325" s="24" t="s">
        <v>2875</v>
      </c>
      <c r="B325" s="9">
        <v>45787</v>
      </c>
      <c r="C325" s="6" t="s">
        <v>1697</v>
      </c>
      <c r="D325" s="13">
        <v>3</v>
      </c>
    </row>
    <row r="326" spans="1:4" x14ac:dyDescent="0.25">
      <c r="A326" s="24" t="s">
        <v>2876</v>
      </c>
      <c r="B326" s="9">
        <v>46073</v>
      </c>
      <c r="C326" s="6" t="s">
        <v>1900</v>
      </c>
      <c r="D326" s="13">
        <v>4</v>
      </c>
    </row>
    <row r="327" spans="1:4" x14ac:dyDescent="0.25">
      <c r="A327" s="24" t="s">
        <v>2877</v>
      </c>
      <c r="B327" s="9">
        <v>45621</v>
      </c>
      <c r="C327" s="6" t="s">
        <v>1537</v>
      </c>
      <c r="D327" s="13">
        <v>30</v>
      </c>
    </row>
    <row r="328" spans="1:4" x14ac:dyDescent="0.25">
      <c r="A328" s="24" t="s">
        <v>2878</v>
      </c>
      <c r="B328" s="9">
        <v>45536</v>
      </c>
      <c r="C328" s="6" t="s">
        <v>1929</v>
      </c>
      <c r="D328" s="13">
        <v>4</v>
      </c>
    </row>
    <row r="329" spans="1:4" x14ac:dyDescent="0.25">
      <c r="A329" s="24" t="s">
        <v>2879</v>
      </c>
      <c r="B329" s="9">
        <v>46086</v>
      </c>
      <c r="C329" s="6" t="s">
        <v>1764</v>
      </c>
      <c r="D329" s="13">
        <v>1</v>
      </c>
    </row>
    <row r="330" spans="1:4" x14ac:dyDescent="0.25">
      <c r="A330" s="24" t="s">
        <v>2880</v>
      </c>
      <c r="B330" s="9">
        <v>46054</v>
      </c>
      <c r="C330" s="6" t="s">
        <v>1828</v>
      </c>
      <c r="D330" s="13">
        <v>9</v>
      </c>
    </row>
    <row r="331" spans="1:4" x14ac:dyDescent="0.25">
      <c r="A331" s="24" t="s">
        <v>2881</v>
      </c>
      <c r="B331" s="9">
        <v>45682</v>
      </c>
      <c r="C331" s="6" t="s">
        <v>1739</v>
      </c>
      <c r="D331" s="13">
        <v>40</v>
      </c>
    </row>
    <row r="332" spans="1:4" x14ac:dyDescent="0.25">
      <c r="A332" s="24" t="s">
        <v>2882</v>
      </c>
      <c r="B332" s="9">
        <v>46103</v>
      </c>
      <c r="C332" s="6" t="s">
        <v>1499</v>
      </c>
      <c r="D332" s="13">
        <v>5</v>
      </c>
    </row>
    <row r="333" spans="1:4" x14ac:dyDescent="0.25">
      <c r="A333" s="24" t="s">
        <v>2883</v>
      </c>
      <c r="B333" s="9">
        <v>45329</v>
      </c>
      <c r="C333" s="6" t="s">
        <v>1473</v>
      </c>
      <c r="D333" s="13">
        <v>5</v>
      </c>
    </row>
    <row r="334" spans="1:4" x14ac:dyDescent="0.25">
      <c r="A334" s="24" t="s">
        <v>2884</v>
      </c>
      <c r="B334" s="9">
        <v>45896</v>
      </c>
      <c r="C334" s="6" t="s">
        <v>1683</v>
      </c>
      <c r="D334" s="13">
        <v>14</v>
      </c>
    </row>
    <row r="335" spans="1:4" x14ac:dyDescent="0.25">
      <c r="A335" s="24" t="s">
        <v>2885</v>
      </c>
      <c r="B335" s="9">
        <v>45742</v>
      </c>
      <c r="C335" s="6" t="s">
        <v>1446</v>
      </c>
      <c r="D335" s="13">
        <v>6</v>
      </c>
    </row>
    <row r="336" spans="1:4" x14ac:dyDescent="0.25">
      <c r="A336" s="24" t="s">
        <v>2886</v>
      </c>
      <c r="B336" s="9">
        <v>45759</v>
      </c>
      <c r="C336" s="6" t="s">
        <v>1359</v>
      </c>
      <c r="D336" s="13">
        <v>9</v>
      </c>
    </row>
    <row r="337" spans="1:4" x14ac:dyDescent="0.25">
      <c r="A337" s="24" t="s">
        <v>2887</v>
      </c>
      <c r="B337" s="9">
        <v>45711</v>
      </c>
      <c r="C337" s="6" t="s">
        <v>1502</v>
      </c>
      <c r="D337" s="13">
        <v>1</v>
      </c>
    </row>
    <row r="338" spans="1:4" x14ac:dyDescent="0.25">
      <c r="A338" s="24" t="s">
        <v>2888</v>
      </c>
      <c r="B338" s="9">
        <v>46092</v>
      </c>
      <c r="C338" s="6" t="s">
        <v>1615</v>
      </c>
      <c r="D338" s="13">
        <v>3</v>
      </c>
    </row>
    <row r="339" spans="1:4" x14ac:dyDescent="0.25">
      <c r="A339" s="24" t="s">
        <v>2889</v>
      </c>
      <c r="B339" s="9">
        <v>46001</v>
      </c>
      <c r="C339" s="6" t="s">
        <v>1751</v>
      </c>
      <c r="D339" s="13">
        <v>8</v>
      </c>
    </row>
    <row r="340" spans="1:4" x14ac:dyDescent="0.25">
      <c r="A340" s="24" t="s">
        <v>2890</v>
      </c>
      <c r="B340" s="9">
        <v>45628</v>
      </c>
      <c r="C340" s="6" t="s">
        <v>1890</v>
      </c>
      <c r="D340" s="13">
        <v>4</v>
      </c>
    </row>
    <row r="341" spans="1:4" x14ac:dyDescent="0.25">
      <c r="A341" s="24" t="s">
        <v>2891</v>
      </c>
      <c r="B341" s="9">
        <v>45616</v>
      </c>
      <c r="C341" s="6" t="s">
        <v>1843</v>
      </c>
      <c r="D341" s="13">
        <v>14</v>
      </c>
    </row>
    <row r="342" spans="1:4" x14ac:dyDescent="0.25">
      <c r="A342" s="24" t="s">
        <v>2892</v>
      </c>
      <c r="B342" s="9">
        <v>45328</v>
      </c>
      <c r="C342" s="6" t="s">
        <v>1414</v>
      </c>
      <c r="D342" s="13">
        <v>2</v>
      </c>
    </row>
    <row r="343" spans="1:4" x14ac:dyDescent="0.25">
      <c r="A343" s="24" t="s">
        <v>2893</v>
      </c>
      <c r="B343" s="9">
        <v>45992</v>
      </c>
      <c r="C343" s="6" t="s">
        <v>1638</v>
      </c>
      <c r="D343" s="13">
        <v>50</v>
      </c>
    </row>
    <row r="344" spans="1:4" x14ac:dyDescent="0.25">
      <c r="A344" s="24" t="s">
        <v>2894</v>
      </c>
      <c r="B344" s="9">
        <v>46056</v>
      </c>
      <c r="C344" s="6" t="s">
        <v>1436</v>
      </c>
      <c r="D344" s="13">
        <v>4</v>
      </c>
    </row>
    <row r="345" spans="1:4" x14ac:dyDescent="0.25">
      <c r="A345" s="24" t="s">
        <v>2895</v>
      </c>
      <c r="B345" s="9">
        <v>45392</v>
      </c>
      <c r="C345" s="6" t="s">
        <v>1446</v>
      </c>
      <c r="D345" s="13">
        <v>5</v>
      </c>
    </row>
    <row r="346" spans="1:4" x14ac:dyDescent="0.25">
      <c r="A346" s="24" t="s">
        <v>2896</v>
      </c>
      <c r="B346" s="9">
        <v>46002</v>
      </c>
      <c r="C346" s="6" t="s">
        <v>1650</v>
      </c>
      <c r="D346" s="13">
        <v>16</v>
      </c>
    </row>
    <row r="347" spans="1:4" x14ac:dyDescent="0.25">
      <c r="A347" s="24" t="s">
        <v>2897</v>
      </c>
      <c r="B347" s="9">
        <v>45339</v>
      </c>
      <c r="C347" s="6" t="s">
        <v>1676</v>
      </c>
      <c r="D347" s="13">
        <v>11</v>
      </c>
    </row>
    <row r="348" spans="1:4" x14ac:dyDescent="0.25">
      <c r="A348" s="24" t="s">
        <v>2898</v>
      </c>
      <c r="B348" s="9">
        <v>45592</v>
      </c>
      <c r="C348" s="6" t="s">
        <v>1711</v>
      </c>
      <c r="D348" s="13">
        <v>4</v>
      </c>
    </row>
    <row r="349" spans="1:4" x14ac:dyDescent="0.25">
      <c r="A349" s="24" t="s">
        <v>2899</v>
      </c>
      <c r="B349" s="9">
        <v>45441</v>
      </c>
      <c r="C349" s="6" t="s">
        <v>1594</v>
      </c>
      <c r="D349" s="13">
        <v>6</v>
      </c>
    </row>
    <row r="350" spans="1:4" x14ac:dyDescent="0.25">
      <c r="A350" s="24" t="s">
        <v>2900</v>
      </c>
      <c r="B350" s="9">
        <v>45871</v>
      </c>
      <c r="C350" s="6" t="s">
        <v>1528</v>
      </c>
      <c r="D350" s="13">
        <v>2</v>
      </c>
    </row>
    <row r="351" spans="1:4" x14ac:dyDescent="0.25">
      <c r="A351" s="24" t="s">
        <v>2901</v>
      </c>
      <c r="B351" s="9">
        <v>45372</v>
      </c>
      <c r="C351" s="6" t="s">
        <v>1735</v>
      </c>
      <c r="D351" s="13">
        <v>7</v>
      </c>
    </row>
    <row r="352" spans="1:4" x14ac:dyDescent="0.25">
      <c r="A352" s="24" t="s">
        <v>2902</v>
      </c>
      <c r="B352" s="9">
        <v>45538</v>
      </c>
      <c r="C352" s="6" t="s">
        <v>1853</v>
      </c>
      <c r="D352" s="13">
        <v>16</v>
      </c>
    </row>
    <row r="353" spans="1:4" x14ac:dyDescent="0.25">
      <c r="A353" s="24" t="s">
        <v>2903</v>
      </c>
      <c r="B353" s="9">
        <v>45438</v>
      </c>
      <c r="C353" s="6" t="s">
        <v>1581</v>
      </c>
      <c r="D353" s="13">
        <v>5</v>
      </c>
    </row>
    <row r="354" spans="1:4" x14ac:dyDescent="0.25">
      <c r="A354" s="24" t="s">
        <v>2904</v>
      </c>
      <c r="B354" s="9">
        <v>45552</v>
      </c>
      <c r="C354" s="6" t="s">
        <v>1814</v>
      </c>
      <c r="D354" s="13">
        <v>3</v>
      </c>
    </row>
    <row r="355" spans="1:4" x14ac:dyDescent="0.25">
      <c r="A355" s="24" t="s">
        <v>2905</v>
      </c>
      <c r="B355" s="9">
        <v>45301</v>
      </c>
      <c r="C355" s="6" t="s">
        <v>1820</v>
      </c>
      <c r="D355" s="13">
        <v>15</v>
      </c>
    </row>
    <row r="356" spans="1:4" x14ac:dyDescent="0.25">
      <c r="A356" s="24" t="s">
        <v>2906</v>
      </c>
      <c r="B356" s="9">
        <v>45985</v>
      </c>
      <c r="C356" s="6" t="s">
        <v>1903</v>
      </c>
      <c r="D356" s="13">
        <v>2</v>
      </c>
    </row>
    <row r="357" spans="1:4" x14ac:dyDescent="0.25">
      <c r="A357" s="24" t="s">
        <v>2907</v>
      </c>
      <c r="B357" s="9">
        <v>45744</v>
      </c>
      <c r="C357" s="6" t="s">
        <v>1697</v>
      </c>
      <c r="D357" s="13">
        <v>40</v>
      </c>
    </row>
    <row r="358" spans="1:4" x14ac:dyDescent="0.25">
      <c r="A358" s="24" t="s">
        <v>2908</v>
      </c>
      <c r="B358" s="9">
        <v>45598</v>
      </c>
      <c r="C358" s="6" t="s">
        <v>1778</v>
      </c>
      <c r="D358" s="13">
        <v>8</v>
      </c>
    </row>
    <row r="359" spans="1:4" x14ac:dyDescent="0.25">
      <c r="A359" s="24" t="s">
        <v>2909</v>
      </c>
      <c r="B359" s="9">
        <v>45759</v>
      </c>
      <c r="C359" s="6" t="s">
        <v>1653</v>
      </c>
      <c r="D359" s="13">
        <v>2</v>
      </c>
    </row>
    <row r="360" spans="1:4" x14ac:dyDescent="0.25">
      <c r="A360" s="24" t="s">
        <v>2910</v>
      </c>
      <c r="B360" s="9">
        <v>45685</v>
      </c>
      <c r="C360" s="6" t="s">
        <v>1838</v>
      </c>
      <c r="D360" s="13">
        <v>1</v>
      </c>
    </row>
    <row r="361" spans="1:4" x14ac:dyDescent="0.25">
      <c r="A361" s="24" t="s">
        <v>2911</v>
      </c>
      <c r="B361" s="9">
        <v>45682</v>
      </c>
      <c r="C361" s="6" t="s">
        <v>1929</v>
      </c>
      <c r="D361" s="13">
        <v>4</v>
      </c>
    </row>
    <row r="362" spans="1:4" x14ac:dyDescent="0.25">
      <c r="A362" s="24" t="s">
        <v>2912</v>
      </c>
      <c r="B362" s="9">
        <v>45594</v>
      </c>
      <c r="C362" s="6" t="s">
        <v>1646</v>
      </c>
      <c r="D362" s="13">
        <v>1</v>
      </c>
    </row>
    <row r="363" spans="1:4" x14ac:dyDescent="0.25">
      <c r="A363" s="24" t="s">
        <v>2913</v>
      </c>
      <c r="B363" s="9">
        <v>45966</v>
      </c>
      <c r="C363" s="6" t="s">
        <v>1749</v>
      </c>
      <c r="D363" s="13">
        <v>3</v>
      </c>
    </row>
    <row r="364" spans="1:4" x14ac:dyDescent="0.25">
      <c r="A364" s="24" t="s">
        <v>2914</v>
      </c>
      <c r="B364" s="9">
        <v>45871</v>
      </c>
      <c r="C364" s="6" t="s">
        <v>1394</v>
      </c>
      <c r="D364" s="13">
        <v>16</v>
      </c>
    </row>
    <row r="365" spans="1:4" x14ac:dyDescent="0.25">
      <c r="A365" s="24" t="s">
        <v>2915</v>
      </c>
      <c r="B365" s="9">
        <v>46055</v>
      </c>
      <c r="C365" s="6" t="s">
        <v>1852</v>
      </c>
      <c r="D365" s="13">
        <v>12</v>
      </c>
    </row>
    <row r="366" spans="1:4" x14ac:dyDescent="0.25">
      <c r="A366" s="24" t="s">
        <v>2916</v>
      </c>
      <c r="B366" s="9">
        <v>45585</v>
      </c>
      <c r="C366" s="6" t="s">
        <v>1579</v>
      </c>
      <c r="D366" s="13">
        <v>7</v>
      </c>
    </row>
    <row r="367" spans="1:4" x14ac:dyDescent="0.25">
      <c r="A367" s="24" t="s">
        <v>2917</v>
      </c>
      <c r="B367" s="9">
        <v>45652</v>
      </c>
      <c r="C367" s="6" t="s">
        <v>1568</v>
      </c>
      <c r="D367" s="13">
        <v>7</v>
      </c>
    </row>
    <row r="368" spans="1:4" x14ac:dyDescent="0.25">
      <c r="A368" s="24" t="s">
        <v>2918</v>
      </c>
      <c r="B368" s="9">
        <v>45927</v>
      </c>
      <c r="C368" s="6" t="s">
        <v>1600</v>
      </c>
      <c r="D368" s="13">
        <v>8</v>
      </c>
    </row>
    <row r="369" spans="1:4" x14ac:dyDescent="0.25">
      <c r="A369" s="24" t="s">
        <v>2919</v>
      </c>
      <c r="B369" s="9">
        <v>46030</v>
      </c>
      <c r="C369" s="6" t="s">
        <v>1484</v>
      </c>
      <c r="D369" s="13">
        <v>7</v>
      </c>
    </row>
    <row r="370" spans="1:4" x14ac:dyDescent="0.25">
      <c r="A370" s="24" t="s">
        <v>2920</v>
      </c>
      <c r="B370" s="9">
        <v>45934</v>
      </c>
      <c r="C370" s="6" t="s">
        <v>1384</v>
      </c>
      <c r="D370" s="13">
        <v>3</v>
      </c>
    </row>
    <row r="371" spans="1:4" x14ac:dyDescent="0.25">
      <c r="A371" s="24" t="s">
        <v>2921</v>
      </c>
      <c r="B371" s="9">
        <v>45743</v>
      </c>
      <c r="C371" s="6" t="s">
        <v>1378</v>
      </c>
      <c r="D371" s="13">
        <v>6</v>
      </c>
    </row>
    <row r="372" spans="1:4" x14ac:dyDescent="0.25">
      <c r="A372" s="24" t="s">
        <v>2922</v>
      </c>
      <c r="B372" s="9">
        <v>46041</v>
      </c>
      <c r="C372" s="6" t="s">
        <v>1478</v>
      </c>
      <c r="D372" s="13">
        <v>1</v>
      </c>
    </row>
    <row r="373" spans="1:4" x14ac:dyDescent="0.25">
      <c r="A373" s="24" t="s">
        <v>2923</v>
      </c>
      <c r="B373" s="9">
        <v>45594</v>
      </c>
      <c r="C373" s="6" t="s">
        <v>1678</v>
      </c>
      <c r="D373" s="13">
        <v>10</v>
      </c>
    </row>
    <row r="374" spans="1:4" x14ac:dyDescent="0.25">
      <c r="A374" s="24" t="s">
        <v>2924</v>
      </c>
      <c r="B374" s="9">
        <v>45471</v>
      </c>
      <c r="C374" s="6" t="s">
        <v>1549</v>
      </c>
      <c r="D374" s="13">
        <v>2</v>
      </c>
    </row>
    <row r="375" spans="1:4" x14ac:dyDescent="0.25">
      <c r="A375" s="24" t="s">
        <v>2925</v>
      </c>
      <c r="B375" s="9">
        <v>45844</v>
      </c>
      <c r="C375" s="6" t="s">
        <v>1718</v>
      </c>
      <c r="D375" s="13">
        <v>6</v>
      </c>
    </row>
    <row r="376" spans="1:4" x14ac:dyDescent="0.25">
      <c r="A376" s="24" t="s">
        <v>2926</v>
      </c>
      <c r="B376" s="9">
        <v>45571</v>
      </c>
      <c r="C376" s="6" t="s">
        <v>1512</v>
      </c>
      <c r="D376" s="13">
        <v>3</v>
      </c>
    </row>
    <row r="377" spans="1:4" x14ac:dyDescent="0.25">
      <c r="A377" s="24" t="s">
        <v>2927</v>
      </c>
      <c r="B377" s="9">
        <v>45785</v>
      </c>
      <c r="C377" s="6" t="s">
        <v>1646</v>
      </c>
      <c r="D377" s="13">
        <v>10</v>
      </c>
    </row>
    <row r="378" spans="1:4" x14ac:dyDescent="0.25">
      <c r="A378" s="24" t="s">
        <v>2928</v>
      </c>
      <c r="B378" s="9">
        <v>45638</v>
      </c>
      <c r="C378" s="6" t="s">
        <v>1461</v>
      </c>
      <c r="D378" s="13">
        <v>5</v>
      </c>
    </row>
    <row r="379" spans="1:4" x14ac:dyDescent="0.25">
      <c r="A379" s="24" t="s">
        <v>2929</v>
      </c>
      <c r="B379" s="9">
        <v>45369</v>
      </c>
      <c r="C379" s="6" t="s">
        <v>1488</v>
      </c>
      <c r="D379" s="13">
        <v>10</v>
      </c>
    </row>
    <row r="380" spans="1:4" x14ac:dyDescent="0.25">
      <c r="A380" s="24" t="s">
        <v>2930</v>
      </c>
      <c r="B380" s="9">
        <v>45523</v>
      </c>
      <c r="C380" s="6" t="s">
        <v>1750</v>
      </c>
      <c r="D380" s="13">
        <v>20</v>
      </c>
    </row>
    <row r="381" spans="1:4" x14ac:dyDescent="0.25">
      <c r="A381" s="24" t="s">
        <v>2931</v>
      </c>
      <c r="B381" s="9">
        <v>45862</v>
      </c>
      <c r="C381" s="6" t="s">
        <v>1718</v>
      </c>
      <c r="D381" s="13">
        <v>1</v>
      </c>
    </row>
    <row r="382" spans="1:4" x14ac:dyDescent="0.25">
      <c r="A382" s="24" t="s">
        <v>2932</v>
      </c>
      <c r="B382" s="9">
        <v>45696</v>
      </c>
      <c r="C382" s="6" t="s">
        <v>1358</v>
      </c>
      <c r="D382" s="13">
        <v>3</v>
      </c>
    </row>
    <row r="383" spans="1:4" x14ac:dyDescent="0.25">
      <c r="A383" s="24" t="s">
        <v>2933</v>
      </c>
      <c r="B383" s="9">
        <v>45418</v>
      </c>
      <c r="C383" s="6" t="s">
        <v>1809</v>
      </c>
      <c r="D383" s="13">
        <v>4</v>
      </c>
    </row>
    <row r="384" spans="1:4" x14ac:dyDescent="0.25">
      <c r="A384" s="24" t="s">
        <v>2934</v>
      </c>
      <c r="B384" s="9">
        <v>46058</v>
      </c>
      <c r="C384" s="6" t="s">
        <v>1612</v>
      </c>
      <c r="D384" s="13">
        <v>7</v>
      </c>
    </row>
    <row r="385" spans="1:4" x14ac:dyDescent="0.25">
      <c r="A385" s="24" t="s">
        <v>2935</v>
      </c>
      <c r="B385" s="9">
        <v>45945</v>
      </c>
      <c r="C385" s="6" t="s">
        <v>1724</v>
      </c>
      <c r="D385" s="13">
        <v>1</v>
      </c>
    </row>
    <row r="386" spans="1:4" x14ac:dyDescent="0.25">
      <c r="A386" s="24" t="s">
        <v>2936</v>
      </c>
      <c r="B386" s="9">
        <v>45531</v>
      </c>
      <c r="C386" s="6" t="s">
        <v>1826</v>
      </c>
      <c r="D386" s="13">
        <v>1</v>
      </c>
    </row>
    <row r="387" spans="1:4" x14ac:dyDescent="0.25">
      <c r="A387" s="24" t="s">
        <v>2937</v>
      </c>
      <c r="B387" s="9">
        <v>45866</v>
      </c>
      <c r="C387" s="6" t="s">
        <v>1679</v>
      </c>
      <c r="D387" s="13">
        <v>16</v>
      </c>
    </row>
    <row r="388" spans="1:4" x14ac:dyDescent="0.25">
      <c r="A388" s="24" t="s">
        <v>2938</v>
      </c>
      <c r="B388" s="9">
        <v>45518</v>
      </c>
      <c r="C388" s="6" t="s">
        <v>1408</v>
      </c>
      <c r="D388" s="13">
        <v>7</v>
      </c>
    </row>
    <row r="389" spans="1:4" x14ac:dyDescent="0.25">
      <c r="A389" s="24" t="s">
        <v>2939</v>
      </c>
      <c r="B389" s="9">
        <v>45767</v>
      </c>
      <c r="C389" s="6" t="s">
        <v>1653</v>
      </c>
      <c r="D389" s="13">
        <v>8</v>
      </c>
    </row>
    <row r="390" spans="1:4" x14ac:dyDescent="0.25">
      <c r="A390" s="24" t="s">
        <v>2940</v>
      </c>
      <c r="B390" s="9">
        <v>45411</v>
      </c>
      <c r="C390" s="6" t="s">
        <v>1487</v>
      </c>
      <c r="D390" s="13">
        <v>1</v>
      </c>
    </row>
    <row r="391" spans="1:4" x14ac:dyDescent="0.25">
      <c r="A391" s="24" t="s">
        <v>2941</v>
      </c>
      <c r="B391" s="9">
        <v>45330</v>
      </c>
      <c r="C391" s="6" t="s">
        <v>1655</v>
      </c>
      <c r="D391" s="13">
        <v>50</v>
      </c>
    </row>
    <row r="392" spans="1:4" x14ac:dyDescent="0.25">
      <c r="A392" s="24" t="s">
        <v>2942</v>
      </c>
      <c r="B392" s="9">
        <v>45410</v>
      </c>
      <c r="C392" s="6" t="s">
        <v>1443</v>
      </c>
      <c r="D392" s="13">
        <v>2</v>
      </c>
    </row>
    <row r="393" spans="1:4" x14ac:dyDescent="0.25">
      <c r="A393" s="24" t="s">
        <v>2943</v>
      </c>
      <c r="B393" s="9">
        <v>45842</v>
      </c>
      <c r="C393" s="6" t="s">
        <v>1482</v>
      </c>
      <c r="D393" s="13">
        <v>4</v>
      </c>
    </row>
    <row r="394" spans="1:4" x14ac:dyDescent="0.25">
      <c r="A394" s="24" t="s">
        <v>2944</v>
      </c>
      <c r="B394" s="9">
        <v>45671</v>
      </c>
      <c r="C394" s="6" t="s">
        <v>1897</v>
      </c>
      <c r="D394" s="13">
        <v>4</v>
      </c>
    </row>
    <row r="395" spans="1:4" x14ac:dyDescent="0.25">
      <c r="A395" s="24" t="s">
        <v>2945</v>
      </c>
      <c r="B395" s="9">
        <v>46052</v>
      </c>
      <c r="C395" s="6" t="s">
        <v>1502</v>
      </c>
      <c r="D395" s="13">
        <v>15</v>
      </c>
    </row>
    <row r="396" spans="1:4" x14ac:dyDescent="0.25">
      <c r="A396" s="24" t="s">
        <v>2946</v>
      </c>
      <c r="B396" s="9">
        <v>45962</v>
      </c>
      <c r="C396" s="6" t="s">
        <v>1445</v>
      </c>
      <c r="D396" s="13">
        <v>12</v>
      </c>
    </row>
    <row r="397" spans="1:4" x14ac:dyDescent="0.25">
      <c r="A397" s="24" t="s">
        <v>2947</v>
      </c>
      <c r="B397" s="9">
        <v>45922</v>
      </c>
      <c r="C397" s="6" t="s">
        <v>1761</v>
      </c>
      <c r="D397" s="13">
        <v>18</v>
      </c>
    </row>
    <row r="398" spans="1:4" x14ac:dyDescent="0.25">
      <c r="A398" s="24" t="s">
        <v>2948</v>
      </c>
      <c r="B398" s="9">
        <v>45578</v>
      </c>
      <c r="C398" s="6" t="s">
        <v>1377</v>
      </c>
      <c r="D398" s="13">
        <v>8</v>
      </c>
    </row>
    <row r="399" spans="1:4" x14ac:dyDescent="0.25">
      <c r="A399" s="24" t="s">
        <v>2949</v>
      </c>
      <c r="B399" s="9">
        <v>45514</v>
      </c>
      <c r="C399" s="6" t="s">
        <v>1798</v>
      </c>
      <c r="D399" s="13">
        <v>5</v>
      </c>
    </row>
    <row r="400" spans="1:4" x14ac:dyDescent="0.25">
      <c r="A400" s="24" t="s">
        <v>2950</v>
      </c>
      <c r="B400" s="9">
        <v>45533</v>
      </c>
      <c r="C400" s="6" t="s">
        <v>1715</v>
      </c>
      <c r="D400" s="13">
        <v>1</v>
      </c>
    </row>
    <row r="401" spans="1:4" x14ac:dyDescent="0.25">
      <c r="A401" s="24" t="s">
        <v>2951</v>
      </c>
      <c r="B401" s="9">
        <v>45994</v>
      </c>
      <c r="C401" s="6" t="s">
        <v>1720</v>
      </c>
      <c r="D401" s="13">
        <v>6</v>
      </c>
    </row>
    <row r="402" spans="1:4" x14ac:dyDescent="0.25">
      <c r="A402" s="24" t="s">
        <v>2952</v>
      </c>
      <c r="B402" s="9">
        <v>45952</v>
      </c>
      <c r="C402" s="6" t="s">
        <v>1711</v>
      </c>
      <c r="D402" s="13">
        <v>1</v>
      </c>
    </row>
    <row r="403" spans="1:4" x14ac:dyDescent="0.25">
      <c r="A403" s="24" t="s">
        <v>2953</v>
      </c>
      <c r="B403" s="9">
        <v>45574</v>
      </c>
      <c r="C403" s="6" t="s">
        <v>1538</v>
      </c>
      <c r="D403" s="13">
        <v>20</v>
      </c>
    </row>
    <row r="404" spans="1:4" x14ac:dyDescent="0.25">
      <c r="A404" s="24" t="s">
        <v>2954</v>
      </c>
      <c r="B404" s="9">
        <v>45757</v>
      </c>
      <c r="C404" s="6" t="s">
        <v>1437</v>
      </c>
      <c r="D404" s="13">
        <v>8</v>
      </c>
    </row>
    <row r="405" spans="1:4" x14ac:dyDescent="0.25">
      <c r="A405" s="24" t="s">
        <v>2955</v>
      </c>
      <c r="B405" s="9">
        <v>45949</v>
      </c>
      <c r="C405" s="6" t="s">
        <v>1365</v>
      </c>
      <c r="D405" s="13">
        <v>1</v>
      </c>
    </row>
    <row r="406" spans="1:4" x14ac:dyDescent="0.25">
      <c r="A406" s="24" t="s">
        <v>2956</v>
      </c>
      <c r="B406" s="9">
        <v>45633</v>
      </c>
      <c r="C406" s="6" t="s">
        <v>1593</v>
      </c>
      <c r="D406" s="13">
        <v>40</v>
      </c>
    </row>
    <row r="407" spans="1:4" x14ac:dyDescent="0.25">
      <c r="A407" s="24" t="s">
        <v>2957</v>
      </c>
      <c r="B407" s="9">
        <v>46097</v>
      </c>
      <c r="C407" s="6" t="s">
        <v>1922</v>
      </c>
      <c r="D407" s="13">
        <v>2</v>
      </c>
    </row>
    <row r="408" spans="1:4" x14ac:dyDescent="0.25">
      <c r="A408" s="24" t="s">
        <v>2958</v>
      </c>
      <c r="B408" s="9">
        <v>46075</v>
      </c>
      <c r="C408" s="6" t="s">
        <v>1911</v>
      </c>
      <c r="D408" s="13">
        <v>2</v>
      </c>
    </row>
    <row r="409" spans="1:4" x14ac:dyDescent="0.25">
      <c r="A409" s="24" t="s">
        <v>2959</v>
      </c>
      <c r="B409" s="9">
        <v>45513</v>
      </c>
      <c r="C409" s="6" t="s">
        <v>1582</v>
      </c>
      <c r="D409" s="13">
        <v>3</v>
      </c>
    </row>
    <row r="410" spans="1:4" x14ac:dyDescent="0.25">
      <c r="A410" s="24" t="s">
        <v>2960</v>
      </c>
      <c r="B410" s="9">
        <v>45443</v>
      </c>
      <c r="C410" s="6" t="s">
        <v>1346</v>
      </c>
      <c r="D410" s="13">
        <v>3</v>
      </c>
    </row>
    <row r="411" spans="1:4" x14ac:dyDescent="0.25">
      <c r="A411" s="24" t="s">
        <v>2961</v>
      </c>
      <c r="B411" s="9">
        <v>45440</v>
      </c>
      <c r="C411" s="6" t="s">
        <v>1477</v>
      </c>
      <c r="D411" s="13">
        <v>6</v>
      </c>
    </row>
    <row r="412" spans="1:4" x14ac:dyDescent="0.25">
      <c r="A412" s="24" t="s">
        <v>2962</v>
      </c>
      <c r="B412" s="9">
        <v>46109</v>
      </c>
      <c r="C412" s="6" t="s">
        <v>1522</v>
      </c>
      <c r="D412" s="13">
        <v>1</v>
      </c>
    </row>
    <row r="413" spans="1:4" x14ac:dyDescent="0.25">
      <c r="A413" s="24" t="s">
        <v>2963</v>
      </c>
      <c r="B413" s="9">
        <v>45318</v>
      </c>
      <c r="C413" s="6" t="s">
        <v>1478</v>
      </c>
      <c r="D413" s="13">
        <v>1</v>
      </c>
    </row>
    <row r="414" spans="1:4" x14ac:dyDescent="0.25">
      <c r="A414" s="24" t="s">
        <v>2964</v>
      </c>
      <c r="B414" s="9">
        <v>46100</v>
      </c>
      <c r="C414" s="6" t="s">
        <v>1587</v>
      </c>
      <c r="D414" s="13">
        <v>7</v>
      </c>
    </row>
    <row r="415" spans="1:4" x14ac:dyDescent="0.25">
      <c r="A415" s="24" t="s">
        <v>2965</v>
      </c>
      <c r="B415" s="9">
        <v>45308</v>
      </c>
      <c r="C415" s="6" t="s">
        <v>1522</v>
      </c>
      <c r="D415" s="13">
        <v>3</v>
      </c>
    </row>
    <row r="416" spans="1:4" x14ac:dyDescent="0.25">
      <c r="A416" s="24" t="s">
        <v>2966</v>
      </c>
      <c r="B416" s="9">
        <v>45421</v>
      </c>
      <c r="C416" s="6" t="s">
        <v>1775</v>
      </c>
      <c r="D416" s="13">
        <v>6</v>
      </c>
    </row>
    <row r="417" spans="1:4" x14ac:dyDescent="0.25">
      <c r="A417" s="24" t="s">
        <v>2967</v>
      </c>
      <c r="B417" s="9">
        <v>46055</v>
      </c>
      <c r="C417" s="6" t="s">
        <v>1409</v>
      </c>
      <c r="D417" s="13">
        <v>5</v>
      </c>
    </row>
    <row r="418" spans="1:4" x14ac:dyDescent="0.25">
      <c r="A418" s="24" t="s">
        <v>2968</v>
      </c>
      <c r="B418" s="9">
        <v>46088</v>
      </c>
      <c r="C418" s="6" t="s">
        <v>1714</v>
      </c>
      <c r="D418" s="13">
        <v>5</v>
      </c>
    </row>
    <row r="419" spans="1:4" x14ac:dyDescent="0.25">
      <c r="A419" s="24" t="s">
        <v>2969</v>
      </c>
      <c r="B419" s="9">
        <v>45403</v>
      </c>
      <c r="C419" s="6" t="s">
        <v>1806</v>
      </c>
      <c r="D419" s="13">
        <v>5</v>
      </c>
    </row>
    <row r="420" spans="1:4" x14ac:dyDescent="0.25">
      <c r="A420" s="24" t="s">
        <v>2970</v>
      </c>
      <c r="B420" s="9">
        <v>45921</v>
      </c>
      <c r="C420" s="6" t="s">
        <v>1388</v>
      </c>
      <c r="D420" s="13">
        <v>9</v>
      </c>
    </row>
    <row r="421" spans="1:4" x14ac:dyDescent="0.25">
      <c r="A421" s="24" t="s">
        <v>2971</v>
      </c>
      <c r="B421" s="9">
        <v>45966</v>
      </c>
      <c r="C421" s="6" t="s">
        <v>1877</v>
      </c>
      <c r="D421" s="13">
        <v>3</v>
      </c>
    </row>
    <row r="422" spans="1:4" x14ac:dyDescent="0.25">
      <c r="A422" s="24" t="s">
        <v>2972</v>
      </c>
      <c r="B422" s="9">
        <v>45950</v>
      </c>
      <c r="C422" s="6" t="s">
        <v>1375</v>
      </c>
      <c r="D422" s="13">
        <v>1</v>
      </c>
    </row>
    <row r="423" spans="1:4" x14ac:dyDescent="0.25">
      <c r="A423" s="24" t="s">
        <v>2973</v>
      </c>
      <c r="B423" s="9">
        <v>45782</v>
      </c>
      <c r="C423" s="6" t="s">
        <v>1755</v>
      </c>
      <c r="D423" s="13">
        <v>4</v>
      </c>
    </row>
    <row r="424" spans="1:4" x14ac:dyDescent="0.25">
      <c r="A424" s="24" t="s">
        <v>2974</v>
      </c>
      <c r="B424" s="9">
        <v>45402</v>
      </c>
      <c r="C424" s="6" t="s">
        <v>1846</v>
      </c>
      <c r="D424" s="13">
        <v>9</v>
      </c>
    </row>
    <row r="425" spans="1:4" x14ac:dyDescent="0.25">
      <c r="A425" s="24" t="s">
        <v>2975</v>
      </c>
      <c r="B425" s="9">
        <v>45746</v>
      </c>
      <c r="C425" s="6" t="s">
        <v>1419</v>
      </c>
      <c r="D425" s="13">
        <v>15</v>
      </c>
    </row>
    <row r="426" spans="1:4" x14ac:dyDescent="0.25">
      <c r="A426" s="24" t="s">
        <v>2976</v>
      </c>
      <c r="B426" s="9">
        <v>45621</v>
      </c>
      <c r="C426" s="6" t="s">
        <v>1495</v>
      </c>
      <c r="D426" s="13">
        <v>1</v>
      </c>
    </row>
    <row r="427" spans="1:4" x14ac:dyDescent="0.25">
      <c r="A427" s="24" t="s">
        <v>2977</v>
      </c>
      <c r="B427" s="9">
        <v>45573</v>
      </c>
      <c r="C427" s="6" t="s">
        <v>1943</v>
      </c>
      <c r="D427" s="13">
        <v>6</v>
      </c>
    </row>
    <row r="428" spans="1:4" x14ac:dyDescent="0.25">
      <c r="A428" s="24" t="s">
        <v>2978</v>
      </c>
      <c r="B428" s="9">
        <v>45624</v>
      </c>
      <c r="C428" s="6" t="s">
        <v>1734</v>
      </c>
      <c r="D428" s="13">
        <v>50</v>
      </c>
    </row>
    <row r="429" spans="1:4" x14ac:dyDescent="0.25">
      <c r="A429" s="24" t="s">
        <v>2979</v>
      </c>
      <c r="B429" s="9">
        <v>45835</v>
      </c>
      <c r="C429" s="6" t="s">
        <v>1645</v>
      </c>
      <c r="D429" s="13">
        <v>5</v>
      </c>
    </row>
    <row r="430" spans="1:4" x14ac:dyDescent="0.25">
      <c r="A430" s="24" t="s">
        <v>2980</v>
      </c>
      <c r="B430" s="9">
        <v>45911</v>
      </c>
      <c r="C430" s="6" t="s">
        <v>1784</v>
      </c>
      <c r="D430" s="13">
        <v>1</v>
      </c>
    </row>
    <row r="431" spans="1:4" x14ac:dyDescent="0.25">
      <c r="A431" s="24" t="s">
        <v>2981</v>
      </c>
      <c r="B431" s="9">
        <v>46010</v>
      </c>
      <c r="C431" s="6" t="s">
        <v>1461</v>
      </c>
      <c r="D431" s="13">
        <v>13</v>
      </c>
    </row>
    <row r="432" spans="1:4" x14ac:dyDescent="0.25">
      <c r="A432" s="24" t="s">
        <v>2982</v>
      </c>
      <c r="B432" s="9">
        <v>45958</v>
      </c>
      <c r="C432" s="6" t="s">
        <v>1908</v>
      </c>
      <c r="D432" s="13">
        <v>9</v>
      </c>
    </row>
    <row r="433" spans="1:4" x14ac:dyDescent="0.25">
      <c r="A433" s="24" t="s">
        <v>2983</v>
      </c>
      <c r="B433" s="9">
        <v>45512</v>
      </c>
      <c r="C433" s="6" t="s">
        <v>1784</v>
      </c>
      <c r="D433" s="13">
        <v>5</v>
      </c>
    </row>
    <row r="434" spans="1:4" x14ac:dyDescent="0.25">
      <c r="A434" s="24" t="s">
        <v>2984</v>
      </c>
      <c r="B434" s="9">
        <v>45525</v>
      </c>
      <c r="C434" s="6" t="s">
        <v>1767</v>
      </c>
      <c r="D434" s="13">
        <v>3</v>
      </c>
    </row>
    <row r="435" spans="1:4" x14ac:dyDescent="0.25">
      <c r="A435" s="24" t="s">
        <v>2985</v>
      </c>
      <c r="B435" s="9">
        <v>45756</v>
      </c>
      <c r="C435" s="6" t="s">
        <v>1752</v>
      </c>
      <c r="D435" s="13">
        <v>4</v>
      </c>
    </row>
    <row r="436" spans="1:4" x14ac:dyDescent="0.25">
      <c r="A436" s="24" t="s">
        <v>2986</v>
      </c>
      <c r="B436" s="9">
        <v>45389</v>
      </c>
      <c r="C436" s="6" t="s">
        <v>1664</v>
      </c>
      <c r="D436" s="13">
        <v>4</v>
      </c>
    </row>
    <row r="437" spans="1:4" x14ac:dyDescent="0.25">
      <c r="A437" s="24" t="s">
        <v>2987</v>
      </c>
      <c r="B437" s="9">
        <v>45973</v>
      </c>
      <c r="C437" s="6" t="s">
        <v>1605</v>
      </c>
      <c r="D437" s="13">
        <v>4</v>
      </c>
    </row>
    <row r="438" spans="1:4" x14ac:dyDescent="0.25">
      <c r="A438" s="24" t="s">
        <v>2988</v>
      </c>
      <c r="B438" s="9">
        <v>45448</v>
      </c>
      <c r="C438" s="6" t="s">
        <v>1829</v>
      </c>
      <c r="D438" s="13">
        <v>1</v>
      </c>
    </row>
    <row r="439" spans="1:4" x14ac:dyDescent="0.25">
      <c r="A439" s="24" t="s">
        <v>2989</v>
      </c>
      <c r="B439" s="9">
        <v>45379</v>
      </c>
      <c r="C439" s="6" t="s">
        <v>1439</v>
      </c>
      <c r="D439" s="13">
        <v>4</v>
      </c>
    </row>
    <row r="440" spans="1:4" x14ac:dyDescent="0.25">
      <c r="A440" s="24" t="s">
        <v>2990</v>
      </c>
      <c r="B440" s="9">
        <v>46054</v>
      </c>
      <c r="C440" s="6" t="s">
        <v>1725</v>
      </c>
      <c r="D440" s="13">
        <v>12</v>
      </c>
    </row>
    <row r="441" spans="1:4" x14ac:dyDescent="0.25">
      <c r="A441" s="24" t="s">
        <v>2991</v>
      </c>
      <c r="B441" s="9">
        <v>45861</v>
      </c>
      <c r="C441" s="6" t="s">
        <v>1405</v>
      </c>
      <c r="D441" s="13">
        <v>7</v>
      </c>
    </row>
    <row r="442" spans="1:4" x14ac:dyDescent="0.25">
      <c r="A442" s="24" t="s">
        <v>2992</v>
      </c>
      <c r="B442" s="9">
        <v>45867</v>
      </c>
      <c r="C442" s="6" t="s">
        <v>1919</v>
      </c>
      <c r="D442" s="13">
        <v>3</v>
      </c>
    </row>
    <row r="443" spans="1:4" x14ac:dyDescent="0.25">
      <c r="A443" s="24" t="s">
        <v>2993</v>
      </c>
      <c r="B443" s="9">
        <v>45417</v>
      </c>
      <c r="C443" s="6" t="s">
        <v>1764</v>
      </c>
      <c r="D443" s="13">
        <v>4</v>
      </c>
    </row>
    <row r="444" spans="1:4" x14ac:dyDescent="0.25">
      <c r="A444" s="24" t="s">
        <v>2994</v>
      </c>
      <c r="B444" s="9">
        <v>45973</v>
      </c>
      <c r="C444" s="6" t="s">
        <v>1777</v>
      </c>
      <c r="D444" s="13">
        <v>14</v>
      </c>
    </row>
    <row r="445" spans="1:4" x14ac:dyDescent="0.25">
      <c r="A445" s="24" t="s">
        <v>2995</v>
      </c>
      <c r="B445" s="9">
        <v>46030</v>
      </c>
      <c r="C445" s="6" t="s">
        <v>1396</v>
      </c>
      <c r="D445" s="13">
        <v>20</v>
      </c>
    </row>
    <row r="446" spans="1:4" x14ac:dyDescent="0.25">
      <c r="A446" s="24" t="s">
        <v>2996</v>
      </c>
      <c r="B446" s="9">
        <v>45906</v>
      </c>
      <c r="C446" s="6" t="s">
        <v>1663</v>
      </c>
      <c r="D446" s="13">
        <v>4</v>
      </c>
    </row>
    <row r="447" spans="1:4" x14ac:dyDescent="0.25">
      <c r="A447" s="24" t="s">
        <v>2997</v>
      </c>
      <c r="B447" s="9">
        <v>45883</v>
      </c>
      <c r="C447" s="6" t="s">
        <v>1863</v>
      </c>
      <c r="D447" s="13">
        <v>2</v>
      </c>
    </row>
    <row r="448" spans="1:4" x14ac:dyDescent="0.25">
      <c r="A448" s="24" t="s">
        <v>2998</v>
      </c>
      <c r="B448" s="9">
        <v>45964</v>
      </c>
      <c r="C448" s="6" t="s">
        <v>1837</v>
      </c>
      <c r="D448" s="13">
        <v>2</v>
      </c>
    </row>
    <row r="449" spans="1:4" x14ac:dyDescent="0.25">
      <c r="A449" s="24" t="s">
        <v>2999</v>
      </c>
      <c r="B449" s="9">
        <v>45402</v>
      </c>
      <c r="C449" s="6" t="s">
        <v>1702</v>
      </c>
      <c r="D449" s="13">
        <v>13</v>
      </c>
    </row>
    <row r="450" spans="1:4" x14ac:dyDescent="0.25">
      <c r="A450" s="24" t="s">
        <v>3000</v>
      </c>
      <c r="B450" s="9">
        <v>45668</v>
      </c>
      <c r="C450" s="6" t="s">
        <v>1461</v>
      </c>
      <c r="D450" s="13">
        <v>10</v>
      </c>
    </row>
    <row r="451" spans="1:4" x14ac:dyDescent="0.25">
      <c r="A451" s="24" t="s">
        <v>3001</v>
      </c>
      <c r="B451" s="9">
        <v>45879</v>
      </c>
      <c r="C451" s="6" t="s">
        <v>1575</v>
      </c>
      <c r="D451" s="13">
        <v>11</v>
      </c>
    </row>
    <row r="452" spans="1:4" x14ac:dyDescent="0.25">
      <c r="A452" s="24" t="s">
        <v>3002</v>
      </c>
      <c r="B452" s="9">
        <v>45866</v>
      </c>
      <c r="C452" s="6" t="s">
        <v>1914</v>
      </c>
      <c r="D452" s="13">
        <v>1</v>
      </c>
    </row>
    <row r="453" spans="1:4" x14ac:dyDescent="0.25">
      <c r="A453" s="24" t="s">
        <v>3003</v>
      </c>
      <c r="B453" s="9">
        <v>45965</v>
      </c>
      <c r="C453" s="6" t="s">
        <v>1617</v>
      </c>
      <c r="D453" s="13">
        <v>1</v>
      </c>
    </row>
    <row r="454" spans="1:4" x14ac:dyDescent="0.25">
      <c r="A454" s="24" t="s">
        <v>3004</v>
      </c>
      <c r="B454" s="9">
        <v>45571</v>
      </c>
      <c r="C454" s="6" t="s">
        <v>1660</v>
      </c>
      <c r="D454" s="13">
        <v>16</v>
      </c>
    </row>
    <row r="455" spans="1:4" x14ac:dyDescent="0.25">
      <c r="A455" s="24" t="s">
        <v>3005</v>
      </c>
      <c r="B455" s="9">
        <v>45651</v>
      </c>
      <c r="C455" s="6" t="s">
        <v>1350</v>
      </c>
      <c r="D455" s="13">
        <v>2</v>
      </c>
    </row>
    <row r="456" spans="1:4" x14ac:dyDescent="0.25">
      <c r="A456" s="24" t="s">
        <v>3006</v>
      </c>
      <c r="B456" s="9">
        <v>45438</v>
      </c>
      <c r="C456" s="6" t="s">
        <v>1923</v>
      </c>
      <c r="D456" s="13">
        <v>8</v>
      </c>
    </row>
    <row r="457" spans="1:4" x14ac:dyDescent="0.25">
      <c r="A457" s="24" t="s">
        <v>3007</v>
      </c>
      <c r="B457" s="9">
        <v>45363</v>
      </c>
      <c r="C457" s="6" t="s">
        <v>1489</v>
      </c>
      <c r="D457" s="13">
        <v>10</v>
      </c>
    </row>
    <row r="458" spans="1:4" x14ac:dyDescent="0.25">
      <c r="A458" s="24" t="s">
        <v>3008</v>
      </c>
      <c r="B458" s="9">
        <v>45323</v>
      </c>
      <c r="C458" s="6" t="s">
        <v>1437</v>
      </c>
      <c r="D458" s="13">
        <v>10</v>
      </c>
    </row>
    <row r="459" spans="1:4" x14ac:dyDescent="0.25">
      <c r="A459" s="24" t="s">
        <v>3009</v>
      </c>
      <c r="B459" s="9">
        <v>45512</v>
      </c>
      <c r="C459" s="6" t="s">
        <v>1729</v>
      </c>
      <c r="D459" s="13">
        <v>4</v>
      </c>
    </row>
    <row r="460" spans="1:4" x14ac:dyDescent="0.25">
      <c r="A460" s="24" t="s">
        <v>3010</v>
      </c>
      <c r="B460" s="9">
        <v>45641</v>
      </c>
      <c r="C460" s="6" t="s">
        <v>1505</v>
      </c>
      <c r="D460" s="13">
        <v>4</v>
      </c>
    </row>
    <row r="461" spans="1:4" x14ac:dyDescent="0.25">
      <c r="A461" s="24" t="s">
        <v>3011</v>
      </c>
      <c r="B461" s="9">
        <v>46030</v>
      </c>
      <c r="C461" s="6" t="s">
        <v>1676</v>
      </c>
      <c r="D461" s="13">
        <v>10</v>
      </c>
    </row>
    <row r="462" spans="1:4" x14ac:dyDescent="0.25">
      <c r="A462" s="24" t="s">
        <v>3012</v>
      </c>
      <c r="B462" s="9">
        <v>45873</v>
      </c>
      <c r="C462" s="6" t="s">
        <v>1430</v>
      </c>
      <c r="D462" s="13">
        <v>15</v>
      </c>
    </row>
    <row r="463" spans="1:4" x14ac:dyDescent="0.25">
      <c r="A463" s="24" t="s">
        <v>3013</v>
      </c>
      <c r="B463" s="9">
        <v>45451</v>
      </c>
      <c r="C463" s="6" t="s">
        <v>1505</v>
      </c>
      <c r="D463" s="13">
        <v>10</v>
      </c>
    </row>
    <row r="464" spans="1:4" x14ac:dyDescent="0.25">
      <c r="A464" s="24" t="s">
        <v>3014</v>
      </c>
      <c r="B464" s="9">
        <v>45342</v>
      </c>
      <c r="C464" s="6" t="s">
        <v>1427</v>
      </c>
      <c r="D464" s="13">
        <v>3</v>
      </c>
    </row>
    <row r="465" spans="1:4" x14ac:dyDescent="0.25">
      <c r="A465" s="24" t="s">
        <v>3015</v>
      </c>
      <c r="B465" s="9">
        <v>45969</v>
      </c>
      <c r="C465" s="6" t="s">
        <v>1778</v>
      </c>
      <c r="D465" s="13">
        <v>5</v>
      </c>
    </row>
    <row r="466" spans="1:4" x14ac:dyDescent="0.25">
      <c r="A466" s="24" t="s">
        <v>3016</v>
      </c>
      <c r="B466" s="9">
        <v>45744</v>
      </c>
      <c r="C466" s="6" t="s">
        <v>1768</v>
      </c>
      <c r="D466" s="13">
        <v>3</v>
      </c>
    </row>
    <row r="467" spans="1:4" x14ac:dyDescent="0.25">
      <c r="A467" s="24" t="s">
        <v>3017</v>
      </c>
      <c r="B467" s="9">
        <v>46065</v>
      </c>
      <c r="C467" s="6" t="s">
        <v>1868</v>
      </c>
      <c r="D467" s="13">
        <v>1</v>
      </c>
    </row>
    <row r="468" spans="1:4" x14ac:dyDescent="0.25">
      <c r="A468" s="24" t="s">
        <v>3018</v>
      </c>
      <c r="B468" s="9">
        <v>45732</v>
      </c>
      <c r="C468" s="6" t="s">
        <v>1457</v>
      </c>
      <c r="D468" s="13">
        <v>3</v>
      </c>
    </row>
    <row r="469" spans="1:4" x14ac:dyDescent="0.25">
      <c r="A469" s="24" t="s">
        <v>3019</v>
      </c>
      <c r="B469" s="9">
        <v>45986</v>
      </c>
      <c r="C469" s="6" t="s">
        <v>1842</v>
      </c>
      <c r="D469" s="13">
        <v>6</v>
      </c>
    </row>
    <row r="470" spans="1:4" x14ac:dyDescent="0.25">
      <c r="A470" s="24" t="s">
        <v>3020</v>
      </c>
      <c r="B470" s="9">
        <v>45607</v>
      </c>
      <c r="C470" s="6" t="s">
        <v>1390</v>
      </c>
      <c r="D470" s="13">
        <v>2</v>
      </c>
    </row>
    <row r="471" spans="1:4" x14ac:dyDescent="0.25">
      <c r="A471" s="24" t="s">
        <v>3021</v>
      </c>
      <c r="B471" s="9">
        <v>45905</v>
      </c>
      <c r="C471" s="6" t="s">
        <v>1400</v>
      </c>
      <c r="D471" s="13">
        <v>1</v>
      </c>
    </row>
    <row r="472" spans="1:4" x14ac:dyDescent="0.25">
      <c r="A472" s="24" t="s">
        <v>3022</v>
      </c>
      <c r="B472" s="9">
        <v>45600</v>
      </c>
      <c r="C472" s="6" t="s">
        <v>1560</v>
      </c>
      <c r="D472" s="13">
        <v>10</v>
      </c>
    </row>
    <row r="473" spans="1:4" x14ac:dyDescent="0.25">
      <c r="A473" s="24" t="s">
        <v>3023</v>
      </c>
      <c r="B473" s="9">
        <v>46074</v>
      </c>
      <c r="C473" s="6" t="s">
        <v>1605</v>
      </c>
      <c r="D473" s="13">
        <v>3</v>
      </c>
    </row>
    <row r="474" spans="1:4" x14ac:dyDescent="0.25">
      <c r="A474" s="24" t="s">
        <v>3024</v>
      </c>
      <c r="B474" s="9">
        <v>45414</v>
      </c>
      <c r="C474" s="6" t="s">
        <v>1351</v>
      </c>
      <c r="D474" s="13">
        <v>5</v>
      </c>
    </row>
    <row r="475" spans="1:4" x14ac:dyDescent="0.25">
      <c r="A475" s="24" t="s">
        <v>3025</v>
      </c>
      <c r="B475" s="9">
        <v>45732</v>
      </c>
      <c r="C475" s="6" t="s">
        <v>1523</v>
      </c>
      <c r="D475" s="13">
        <v>1</v>
      </c>
    </row>
    <row r="476" spans="1:4" x14ac:dyDescent="0.25">
      <c r="A476" s="24" t="s">
        <v>3026</v>
      </c>
      <c r="B476" s="9">
        <v>45837</v>
      </c>
      <c r="C476" s="6" t="s">
        <v>1579</v>
      </c>
      <c r="D476" s="13">
        <v>5</v>
      </c>
    </row>
    <row r="477" spans="1:4" x14ac:dyDescent="0.25">
      <c r="A477" s="24" t="s">
        <v>3027</v>
      </c>
      <c r="B477" s="9">
        <v>45976</v>
      </c>
      <c r="C477" s="6" t="s">
        <v>1706</v>
      </c>
      <c r="D477" s="13">
        <v>1</v>
      </c>
    </row>
    <row r="478" spans="1:4" x14ac:dyDescent="0.25">
      <c r="A478" s="24" t="s">
        <v>3028</v>
      </c>
      <c r="B478" s="9">
        <v>46051</v>
      </c>
      <c r="C478" s="6" t="s">
        <v>1387</v>
      </c>
      <c r="D478" s="13">
        <v>4</v>
      </c>
    </row>
    <row r="479" spans="1:4" x14ac:dyDescent="0.25">
      <c r="A479" s="24" t="s">
        <v>3029</v>
      </c>
      <c r="B479" s="9">
        <v>45762</v>
      </c>
      <c r="C479" s="6" t="s">
        <v>1423</v>
      </c>
      <c r="D479" s="13">
        <v>13</v>
      </c>
    </row>
    <row r="480" spans="1:4" x14ac:dyDescent="0.25">
      <c r="A480" s="24" t="s">
        <v>3030</v>
      </c>
      <c r="B480" s="9">
        <v>45881</v>
      </c>
      <c r="C480" s="6" t="s">
        <v>1783</v>
      </c>
      <c r="D480" s="13">
        <v>6</v>
      </c>
    </row>
    <row r="481" spans="1:4" x14ac:dyDescent="0.25">
      <c r="A481" s="24" t="s">
        <v>3031</v>
      </c>
      <c r="B481" s="9">
        <v>46018</v>
      </c>
      <c r="C481" s="6" t="s">
        <v>1771</v>
      </c>
      <c r="D481" s="13">
        <v>3</v>
      </c>
    </row>
    <row r="482" spans="1:4" x14ac:dyDescent="0.25">
      <c r="A482" s="24" t="s">
        <v>3032</v>
      </c>
      <c r="B482" s="9">
        <v>45706</v>
      </c>
      <c r="C482" s="6" t="s">
        <v>1365</v>
      </c>
      <c r="D482" s="13">
        <v>20</v>
      </c>
    </row>
    <row r="483" spans="1:4" x14ac:dyDescent="0.25">
      <c r="A483" s="24" t="s">
        <v>3033</v>
      </c>
      <c r="B483" s="9">
        <v>45467</v>
      </c>
      <c r="C483" s="6" t="s">
        <v>1815</v>
      </c>
      <c r="D483" s="13">
        <v>12</v>
      </c>
    </row>
    <row r="484" spans="1:4" x14ac:dyDescent="0.25">
      <c r="A484" s="24" t="s">
        <v>3034</v>
      </c>
      <c r="B484" s="9">
        <v>45662</v>
      </c>
      <c r="C484" s="6" t="s">
        <v>1434</v>
      </c>
      <c r="D484" s="13">
        <v>4</v>
      </c>
    </row>
    <row r="485" spans="1:4" x14ac:dyDescent="0.25">
      <c r="A485" s="24" t="s">
        <v>3035</v>
      </c>
      <c r="B485" s="9">
        <v>45400</v>
      </c>
      <c r="C485" s="6" t="s">
        <v>1593</v>
      </c>
      <c r="D485" s="13">
        <v>4</v>
      </c>
    </row>
    <row r="486" spans="1:4" x14ac:dyDescent="0.25">
      <c r="A486" s="24" t="s">
        <v>3036</v>
      </c>
      <c r="B486" s="9">
        <v>45702</v>
      </c>
      <c r="C486" s="6" t="s">
        <v>1880</v>
      </c>
      <c r="D486" s="13">
        <v>1</v>
      </c>
    </row>
    <row r="487" spans="1:4" x14ac:dyDescent="0.25">
      <c r="A487" s="24" t="s">
        <v>3037</v>
      </c>
      <c r="B487" s="9">
        <v>45609</v>
      </c>
      <c r="C487" s="6" t="s">
        <v>1691</v>
      </c>
      <c r="D487" s="13">
        <v>2</v>
      </c>
    </row>
    <row r="488" spans="1:4" x14ac:dyDescent="0.25">
      <c r="A488" s="24" t="s">
        <v>3038</v>
      </c>
      <c r="B488" s="9">
        <v>46089</v>
      </c>
      <c r="C488" s="6" t="s">
        <v>1516</v>
      </c>
      <c r="D488" s="13">
        <v>1</v>
      </c>
    </row>
    <row r="489" spans="1:4" x14ac:dyDescent="0.25">
      <c r="A489" s="24" t="s">
        <v>3039</v>
      </c>
      <c r="B489" s="9">
        <v>45940</v>
      </c>
      <c r="C489" s="6" t="s">
        <v>1460</v>
      </c>
      <c r="D489" s="13">
        <v>6</v>
      </c>
    </row>
    <row r="490" spans="1:4" x14ac:dyDescent="0.25">
      <c r="A490" s="24" t="s">
        <v>3040</v>
      </c>
      <c r="B490" s="9">
        <v>45490</v>
      </c>
      <c r="C490" s="6" t="s">
        <v>1701</v>
      </c>
      <c r="D490" s="13">
        <v>4</v>
      </c>
    </row>
    <row r="491" spans="1:4" x14ac:dyDescent="0.25">
      <c r="A491" s="24" t="s">
        <v>3041</v>
      </c>
      <c r="B491" s="9">
        <v>45952</v>
      </c>
      <c r="C491" s="6" t="s">
        <v>1495</v>
      </c>
      <c r="D491" s="13">
        <v>2</v>
      </c>
    </row>
    <row r="492" spans="1:4" x14ac:dyDescent="0.25">
      <c r="A492" s="24" t="s">
        <v>3042</v>
      </c>
      <c r="B492" s="9">
        <v>45441</v>
      </c>
      <c r="C492" s="6" t="s">
        <v>1606</v>
      </c>
      <c r="D492" s="13">
        <v>2</v>
      </c>
    </row>
    <row r="493" spans="1:4" x14ac:dyDescent="0.25">
      <c r="A493" s="24" t="s">
        <v>3043</v>
      </c>
      <c r="B493" s="9">
        <v>45908</v>
      </c>
      <c r="C493" s="6" t="s">
        <v>1500</v>
      </c>
      <c r="D493" s="13">
        <v>10</v>
      </c>
    </row>
    <row r="494" spans="1:4" x14ac:dyDescent="0.25">
      <c r="A494" s="24" t="s">
        <v>3044</v>
      </c>
      <c r="B494" s="9">
        <v>45963</v>
      </c>
      <c r="C494" s="6" t="s">
        <v>1421</v>
      </c>
      <c r="D494" s="13">
        <v>2</v>
      </c>
    </row>
    <row r="495" spans="1:4" x14ac:dyDescent="0.25">
      <c r="A495" s="24" t="s">
        <v>3045</v>
      </c>
      <c r="B495" s="9">
        <v>46083</v>
      </c>
      <c r="C495" s="6" t="s">
        <v>1849</v>
      </c>
      <c r="D495" s="13">
        <v>5</v>
      </c>
    </row>
    <row r="496" spans="1:4" x14ac:dyDescent="0.25">
      <c r="A496" s="24" t="s">
        <v>3046</v>
      </c>
      <c r="B496" s="9">
        <v>45869</v>
      </c>
      <c r="C496" s="6" t="s">
        <v>1937</v>
      </c>
      <c r="D496" s="13">
        <v>5</v>
      </c>
    </row>
    <row r="497" spans="1:4" x14ac:dyDescent="0.25">
      <c r="A497" s="24" t="s">
        <v>3047</v>
      </c>
      <c r="B497" s="9">
        <v>45870</v>
      </c>
      <c r="C497" s="6" t="s">
        <v>1674</v>
      </c>
      <c r="D497" s="13">
        <v>14</v>
      </c>
    </row>
    <row r="498" spans="1:4" x14ac:dyDescent="0.25">
      <c r="A498" s="24" t="s">
        <v>3048</v>
      </c>
      <c r="B498" s="9">
        <v>45934</v>
      </c>
      <c r="C498" s="6" t="s">
        <v>1667</v>
      </c>
      <c r="D498" s="13">
        <v>2</v>
      </c>
    </row>
    <row r="499" spans="1:4" x14ac:dyDescent="0.25">
      <c r="A499" s="24" t="s">
        <v>3049</v>
      </c>
      <c r="B499" s="9">
        <v>45361</v>
      </c>
      <c r="C499" s="6" t="s">
        <v>1824</v>
      </c>
      <c r="D499" s="13">
        <v>5</v>
      </c>
    </row>
    <row r="500" spans="1:4" x14ac:dyDescent="0.25">
      <c r="A500" s="24" t="s">
        <v>3050</v>
      </c>
      <c r="B500" s="9">
        <v>45602</v>
      </c>
      <c r="C500" s="6" t="s">
        <v>1625</v>
      </c>
      <c r="D500" s="13">
        <v>7</v>
      </c>
    </row>
    <row r="501" spans="1:4" x14ac:dyDescent="0.25">
      <c r="A501" s="24" t="s">
        <v>3051</v>
      </c>
      <c r="B501" s="9">
        <v>45652</v>
      </c>
      <c r="C501" s="6" t="s">
        <v>1863</v>
      </c>
      <c r="D501" s="13">
        <v>1</v>
      </c>
    </row>
    <row r="502" spans="1:4" x14ac:dyDescent="0.25">
      <c r="A502" s="24" t="s">
        <v>3052</v>
      </c>
      <c r="B502" s="9">
        <v>45764</v>
      </c>
      <c r="C502" s="6" t="s">
        <v>1806</v>
      </c>
      <c r="D502" s="13">
        <v>1</v>
      </c>
    </row>
    <row r="503" spans="1:4" x14ac:dyDescent="0.25">
      <c r="A503" s="24" t="s">
        <v>3053</v>
      </c>
      <c r="B503" s="9">
        <v>45669</v>
      </c>
      <c r="C503" s="6" t="s">
        <v>1637</v>
      </c>
      <c r="D503" s="13">
        <v>1</v>
      </c>
    </row>
    <row r="504" spans="1:4" x14ac:dyDescent="0.25">
      <c r="A504" s="24" t="s">
        <v>3054</v>
      </c>
      <c r="B504" s="9">
        <v>45384</v>
      </c>
      <c r="C504" s="6" t="s">
        <v>1863</v>
      </c>
      <c r="D504" s="13">
        <v>4</v>
      </c>
    </row>
    <row r="505" spans="1:4" x14ac:dyDescent="0.25">
      <c r="A505" s="24" t="s">
        <v>3055</v>
      </c>
      <c r="B505" s="9">
        <v>45886</v>
      </c>
      <c r="C505" s="6" t="s">
        <v>1911</v>
      </c>
      <c r="D505" s="13">
        <v>19</v>
      </c>
    </row>
    <row r="506" spans="1:4" x14ac:dyDescent="0.25">
      <c r="A506" s="24" t="s">
        <v>3056</v>
      </c>
      <c r="B506" s="9">
        <v>46048</v>
      </c>
      <c r="C506" s="6" t="s">
        <v>1386</v>
      </c>
      <c r="D506" s="13">
        <v>5</v>
      </c>
    </row>
    <row r="507" spans="1:4" x14ac:dyDescent="0.25">
      <c r="A507" s="24" t="s">
        <v>3057</v>
      </c>
      <c r="B507" s="9">
        <v>45877</v>
      </c>
      <c r="C507" s="6" t="s">
        <v>1536</v>
      </c>
      <c r="D507" s="13">
        <v>3</v>
      </c>
    </row>
    <row r="508" spans="1:4" x14ac:dyDescent="0.25">
      <c r="A508" s="24" t="s">
        <v>3058</v>
      </c>
      <c r="B508" s="9">
        <v>45779</v>
      </c>
      <c r="C508" s="6" t="s">
        <v>1857</v>
      </c>
      <c r="D508" s="13">
        <v>2</v>
      </c>
    </row>
    <row r="509" spans="1:4" x14ac:dyDescent="0.25">
      <c r="A509" s="24" t="s">
        <v>3059</v>
      </c>
      <c r="B509" s="9">
        <v>45355</v>
      </c>
      <c r="C509" s="6" t="s">
        <v>1805</v>
      </c>
      <c r="D509" s="13">
        <v>1</v>
      </c>
    </row>
    <row r="510" spans="1:4" x14ac:dyDescent="0.25">
      <c r="A510" s="24" t="s">
        <v>3060</v>
      </c>
      <c r="B510" s="9">
        <v>45643</v>
      </c>
      <c r="C510" s="6" t="s">
        <v>1430</v>
      </c>
      <c r="D510" s="13">
        <v>5</v>
      </c>
    </row>
    <row r="511" spans="1:4" x14ac:dyDescent="0.25">
      <c r="A511" s="24" t="s">
        <v>3061</v>
      </c>
      <c r="B511" s="9">
        <v>45468</v>
      </c>
      <c r="C511" s="6" t="s">
        <v>1384</v>
      </c>
      <c r="D511" s="13">
        <v>3</v>
      </c>
    </row>
    <row r="512" spans="1:4" x14ac:dyDescent="0.25">
      <c r="A512" s="24" t="s">
        <v>3062</v>
      </c>
      <c r="B512" s="9">
        <v>45740</v>
      </c>
      <c r="C512" s="6" t="s">
        <v>1793</v>
      </c>
      <c r="D512" s="13">
        <v>6</v>
      </c>
    </row>
    <row r="513" spans="1:4" x14ac:dyDescent="0.25">
      <c r="A513" s="24" t="s">
        <v>3063</v>
      </c>
      <c r="B513" s="9">
        <v>45916</v>
      </c>
      <c r="C513" s="6" t="s">
        <v>1506</v>
      </c>
      <c r="D513" s="13">
        <v>4</v>
      </c>
    </row>
    <row r="514" spans="1:4" x14ac:dyDescent="0.25">
      <c r="A514" s="24" t="s">
        <v>3064</v>
      </c>
      <c r="B514" s="9">
        <v>45581</v>
      </c>
      <c r="C514" s="6" t="s">
        <v>1740</v>
      </c>
      <c r="D514" s="13">
        <v>4</v>
      </c>
    </row>
    <row r="515" spans="1:4" x14ac:dyDescent="0.25">
      <c r="A515" s="24" t="s">
        <v>3065</v>
      </c>
      <c r="B515" s="9">
        <v>45638</v>
      </c>
      <c r="C515" s="6" t="s">
        <v>1397</v>
      </c>
      <c r="D515" s="13">
        <v>11</v>
      </c>
    </row>
    <row r="516" spans="1:4" x14ac:dyDescent="0.25">
      <c r="A516" s="24" t="s">
        <v>3066</v>
      </c>
      <c r="B516" s="9">
        <v>45954</v>
      </c>
      <c r="C516" s="6" t="s">
        <v>1686</v>
      </c>
      <c r="D516" s="13">
        <v>1</v>
      </c>
    </row>
    <row r="517" spans="1:4" x14ac:dyDescent="0.25">
      <c r="A517" s="24" t="s">
        <v>3067</v>
      </c>
      <c r="B517" s="9">
        <v>45388</v>
      </c>
      <c r="C517" s="6" t="s">
        <v>1915</v>
      </c>
      <c r="D517" s="13">
        <v>8</v>
      </c>
    </row>
    <row r="518" spans="1:4" x14ac:dyDescent="0.25">
      <c r="A518" s="24" t="s">
        <v>3068</v>
      </c>
      <c r="B518" s="9">
        <v>45582</v>
      </c>
      <c r="C518" s="6" t="s">
        <v>1602</v>
      </c>
      <c r="D518" s="13">
        <v>9</v>
      </c>
    </row>
    <row r="519" spans="1:4" x14ac:dyDescent="0.25">
      <c r="A519" s="24" t="s">
        <v>3069</v>
      </c>
      <c r="B519" s="9">
        <v>45964</v>
      </c>
      <c r="C519" s="6" t="s">
        <v>1497</v>
      </c>
      <c r="D519" s="13">
        <v>3</v>
      </c>
    </row>
    <row r="520" spans="1:4" x14ac:dyDescent="0.25">
      <c r="A520" s="24" t="s">
        <v>3070</v>
      </c>
      <c r="B520" s="9">
        <v>45888</v>
      </c>
      <c r="C520" s="6" t="s">
        <v>1488</v>
      </c>
      <c r="D520" s="13">
        <v>16</v>
      </c>
    </row>
    <row r="521" spans="1:4" x14ac:dyDescent="0.25">
      <c r="A521" s="24" t="s">
        <v>3071</v>
      </c>
      <c r="B521" s="9">
        <v>45609</v>
      </c>
      <c r="C521" s="6" t="s">
        <v>1745</v>
      </c>
      <c r="D521" s="13">
        <v>1</v>
      </c>
    </row>
    <row r="522" spans="1:4" x14ac:dyDescent="0.25">
      <c r="A522" s="24" t="s">
        <v>3072</v>
      </c>
      <c r="B522" s="9">
        <v>46017</v>
      </c>
      <c r="C522" s="6" t="s">
        <v>1430</v>
      </c>
      <c r="D522" s="13">
        <v>3</v>
      </c>
    </row>
    <row r="523" spans="1:4" x14ac:dyDescent="0.25">
      <c r="A523" s="24" t="s">
        <v>3073</v>
      </c>
      <c r="B523" s="9">
        <v>45677</v>
      </c>
      <c r="C523" s="6" t="s">
        <v>1680</v>
      </c>
      <c r="D523" s="13">
        <v>12</v>
      </c>
    </row>
    <row r="524" spans="1:4" x14ac:dyDescent="0.25">
      <c r="A524" s="24" t="s">
        <v>3074</v>
      </c>
      <c r="B524" s="9">
        <v>45978</v>
      </c>
      <c r="C524" s="6" t="s">
        <v>1883</v>
      </c>
      <c r="D524" s="13">
        <v>1</v>
      </c>
    </row>
    <row r="525" spans="1:4" x14ac:dyDescent="0.25">
      <c r="A525" s="24" t="s">
        <v>3075</v>
      </c>
      <c r="B525" s="9">
        <v>45978</v>
      </c>
      <c r="C525" s="6" t="s">
        <v>1777</v>
      </c>
      <c r="D525" s="13">
        <v>5</v>
      </c>
    </row>
    <row r="526" spans="1:4" x14ac:dyDescent="0.25">
      <c r="A526" s="24" t="s">
        <v>3076</v>
      </c>
      <c r="B526" s="9">
        <v>45310</v>
      </c>
      <c r="C526" s="6" t="s">
        <v>1715</v>
      </c>
      <c r="D526" s="13">
        <v>3</v>
      </c>
    </row>
    <row r="527" spans="1:4" x14ac:dyDescent="0.25">
      <c r="A527" s="24" t="s">
        <v>3077</v>
      </c>
      <c r="B527" s="9">
        <v>45511</v>
      </c>
      <c r="C527" s="6" t="s">
        <v>1693</v>
      </c>
      <c r="D527" s="13">
        <v>18</v>
      </c>
    </row>
    <row r="528" spans="1:4" x14ac:dyDescent="0.25">
      <c r="A528" s="24" t="s">
        <v>3078</v>
      </c>
      <c r="B528" s="9">
        <v>45789</v>
      </c>
      <c r="C528" s="6" t="s">
        <v>1540</v>
      </c>
      <c r="D528" s="13">
        <v>2</v>
      </c>
    </row>
    <row r="529" spans="1:4" x14ac:dyDescent="0.25">
      <c r="A529" s="24" t="s">
        <v>3079</v>
      </c>
      <c r="B529" s="9">
        <v>45432</v>
      </c>
      <c r="C529" s="6" t="s">
        <v>1502</v>
      </c>
      <c r="D529" s="13">
        <v>1</v>
      </c>
    </row>
    <row r="530" spans="1:4" x14ac:dyDescent="0.25">
      <c r="A530" s="24" t="s">
        <v>3080</v>
      </c>
      <c r="B530" s="9">
        <v>46099</v>
      </c>
      <c r="C530" s="6" t="s">
        <v>1447</v>
      </c>
      <c r="D530" s="13">
        <v>5</v>
      </c>
    </row>
    <row r="531" spans="1:4" x14ac:dyDescent="0.25">
      <c r="A531" s="24" t="s">
        <v>3081</v>
      </c>
      <c r="B531" s="9">
        <v>45844</v>
      </c>
      <c r="C531" s="6" t="s">
        <v>1883</v>
      </c>
      <c r="D531" s="13">
        <v>1</v>
      </c>
    </row>
    <row r="532" spans="1:4" x14ac:dyDescent="0.25">
      <c r="A532" s="24" t="s">
        <v>3082</v>
      </c>
      <c r="B532" s="9">
        <v>45636</v>
      </c>
      <c r="C532" s="6" t="s">
        <v>1478</v>
      </c>
      <c r="D532" s="13">
        <v>7</v>
      </c>
    </row>
    <row r="533" spans="1:4" x14ac:dyDescent="0.25">
      <c r="A533" s="24" t="s">
        <v>3083</v>
      </c>
      <c r="B533" s="9">
        <v>45449</v>
      </c>
      <c r="C533" s="6" t="s">
        <v>1510</v>
      </c>
      <c r="D533" s="13">
        <v>2</v>
      </c>
    </row>
    <row r="534" spans="1:4" x14ac:dyDescent="0.25">
      <c r="A534" s="24" t="s">
        <v>3084</v>
      </c>
      <c r="B534" s="9">
        <v>46001</v>
      </c>
      <c r="C534" s="6" t="s">
        <v>1513</v>
      </c>
      <c r="D534" s="13">
        <v>9</v>
      </c>
    </row>
    <row r="535" spans="1:4" x14ac:dyDescent="0.25">
      <c r="A535" s="24" t="s">
        <v>3085</v>
      </c>
      <c r="B535" s="9">
        <v>45336</v>
      </c>
      <c r="C535" s="6" t="s">
        <v>1764</v>
      </c>
      <c r="D535" s="13">
        <v>4</v>
      </c>
    </row>
    <row r="536" spans="1:4" x14ac:dyDescent="0.25">
      <c r="A536" s="24" t="s">
        <v>3086</v>
      </c>
      <c r="B536" s="9">
        <v>46028</v>
      </c>
      <c r="C536" s="6" t="s">
        <v>1587</v>
      </c>
      <c r="D536" s="13">
        <v>20</v>
      </c>
    </row>
    <row r="537" spans="1:4" x14ac:dyDescent="0.25">
      <c r="A537" s="24" t="s">
        <v>3087</v>
      </c>
      <c r="B537" s="9">
        <v>45917</v>
      </c>
      <c r="C537" s="6" t="s">
        <v>1635</v>
      </c>
      <c r="D537" s="13">
        <v>10</v>
      </c>
    </row>
    <row r="538" spans="1:4" x14ac:dyDescent="0.25">
      <c r="A538" s="24" t="s">
        <v>3088</v>
      </c>
      <c r="B538" s="9">
        <v>46094</v>
      </c>
      <c r="C538" s="6" t="s">
        <v>1803</v>
      </c>
      <c r="D538" s="13">
        <v>2</v>
      </c>
    </row>
    <row r="539" spans="1:4" x14ac:dyDescent="0.25">
      <c r="A539" s="24" t="s">
        <v>3089</v>
      </c>
      <c r="B539" s="9">
        <v>45536</v>
      </c>
      <c r="C539" s="6" t="s">
        <v>1660</v>
      </c>
      <c r="D539" s="13">
        <v>20</v>
      </c>
    </row>
    <row r="540" spans="1:4" x14ac:dyDescent="0.25">
      <c r="A540" s="24" t="s">
        <v>3090</v>
      </c>
      <c r="B540" s="9">
        <v>46095</v>
      </c>
      <c r="C540" s="6" t="s">
        <v>1824</v>
      </c>
      <c r="D540" s="13">
        <v>16</v>
      </c>
    </row>
    <row r="541" spans="1:4" x14ac:dyDescent="0.25">
      <c r="A541" s="24" t="s">
        <v>3091</v>
      </c>
      <c r="B541" s="9">
        <v>45490</v>
      </c>
      <c r="C541" s="6" t="s">
        <v>1720</v>
      </c>
      <c r="D541" s="13">
        <v>8</v>
      </c>
    </row>
    <row r="542" spans="1:4" x14ac:dyDescent="0.25">
      <c r="A542" s="24" t="s">
        <v>3092</v>
      </c>
      <c r="B542" s="9">
        <v>45876</v>
      </c>
      <c r="C542" s="6" t="s">
        <v>1795</v>
      </c>
      <c r="D542" s="13">
        <v>5</v>
      </c>
    </row>
    <row r="543" spans="1:4" x14ac:dyDescent="0.25">
      <c r="A543" s="24" t="s">
        <v>3093</v>
      </c>
      <c r="B543" s="9">
        <v>45580</v>
      </c>
      <c r="C543" s="6" t="s">
        <v>1735</v>
      </c>
      <c r="D543" s="13">
        <v>5</v>
      </c>
    </row>
    <row r="544" spans="1:4" x14ac:dyDescent="0.25">
      <c r="A544" s="24" t="s">
        <v>3094</v>
      </c>
      <c r="B544" s="9">
        <v>45720</v>
      </c>
      <c r="C544" s="6" t="s">
        <v>1509</v>
      </c>
      <c r="D544" s="13">
        <v>12</v>
      </c>
    </row>
    <row r="545" spans="1:4" x14ac:dyDescent="0.25">
      <c r="A545" s="24" t="s">
        <v>3095</v>
      </c>
      <c r="B545" s="9">
        <v>46112</v>
      </c>
      <c r="C545" s="6" t="s">
        <v>1485</v>
      </c>
      <c r="D545" s="13">
        <v>14</v>
      </c>
    </row>
    <row r="546" spans="1:4" x14ac:dyDescent="0.25">
      <c r="A546" s="24" t="s">
        <v>3096</v>
      </c>
      <c r="B546" s="9">
        <v>45345</v>
      </c>
      <c r="C546" s="6" t="s">
        <v>1836</v>
      </c>
      <c r="D546" s="13">
        <v>14</v>
      </c>
    </row>
    <row r="547" spans="1:4" x14ac:dyDescent="0.25">
      <c r="A547" s="24" t="s">
        <v>3097</v>
      </c>
      <c r="B547" s="9">
        <v>45859</v>
      </c>
      <c r="C547" s="6" t="s">
        <v>1449</v>
      </c>
      <c r="D547" s="13">
        <v>9</v>
      </c>
    </row>
    <row r="548" spans="1:4" x14ac:dyDescent="0.25">
      <c r="A548" s="24" t="s">
        <v>3098</v>
      </c>
      <c r="B548" s="9">
        <v>45820</v>
      </c>
      <c r="C548" s="6" t="s">
        <v>1471</v>
      </c>
      <c r="D548" s="13">
        <v>3</v>
      </c>
    </row>
    <row r="549" spans="1:4" x14ac:dyDescent="0.25">
      <c r="A549" s="24" t="s">
        <v>3099</v>
      </c>
      <c r="B549" s="9">
        <v>46073</v>
      </c>
      <c r="C549" s="6" t="s">
        <v>1508</v>
      </c>
      <c r="D549" s="13">
        <v>3</v>
      </c>
    </row>
    <row r="550" spans="1:4" x14ac:dyDescent="0.25">
      <c r="A550" s="24" t="s">
        <v>3100</v>
      </c>
      <c r="B550" s="9">
        <v>45817</v>
      </c>
      <c r="C550" s="6" t="s">
        <v>1494</v>
      </c>
      <c r="D550" s="13">
        <v>12</v>
      </c>
    </row>
    <row r="551" spans="1:4" x14ac:dyDescent="0.25">
      <c r="A551" s="24" t="s">
        <v>3101</v>
      </c>
      <c r="B551" s="9">
        <v>45385</v>
      </c>
      <c r="C551" s="6" t="s">
        <v>1571</v>
      </c>
      <c r="D551" s="13">
        <v>12</v>
      </c>
    </row>
    <row r="552" spans="1:4" x14ac:dyDescent="0.25">
      <c r="A552" s="24" t="s">
        <v>3102</v>
      </c>
      <c r="B552" s="9">
        <v>45649</v>
      </c>
      <c r="C552" s="6" t="s">
        <v>1371</v>
      </c>
      <c r="D552" s="13">
        <v>4</v>
      </c>
    </row>
    <row r="553" spans="1:4" x14ac:dyDescent="0.25">
      <c r="A553" s="24" t="s">
        <v>3103</v>
      </c>
      <c r="B553" s="9">
        <v>45697</v>
      </c>
      <c r="C553" s="6" t="s">
        <v>1858</v>
      </c>
      <c r="D553" s="13">
        <v>4</v>
      </c>
    </row>
    <row r="554" spans="1:4" x14ac:dyDescent="0.25">
      <c r="A554" s="24" t="s">
        <v>3104</v>
      </c>
      <c r="B554" s="9">
        <v>45687</v>
      </c>
      <c r="C554" s="6" t="s">
        <v>1427</v>
      </c>
      <c r="D554" s="13">
        <v>4</v>
      </c>
    </row>
    <row r="555" spans="1:4" x14ac:dyDescent="0.25">
      <c r="A555" s="24" t="s">
        <v>3105</v>
      </c>
      <c r="B555" s="9">
        <v>45320</v>
      </c>
      <c r="C555" s="6" t="s">
        <v>1670</v>
      </c>
      <c r="D555" s="13">
        <v>17</v>
      </c>
    </row>
    <row r="556" spans="1:4" x14ac:dyDescent="0.25">
      <c r="A556" s="24" t="s">
        <v>3106</v>
      </c>
      <c r="B556" s="9">
        <v>46023</v>
      </c>
      <c r="C556" s="6" t="s">
        <v>1687</v>
      </c>
      <c r="D556" s="13">
        <v>11</v>
      </c>
    </row>
    <row r="557" spans="1:4" x14ac:dyDescent="0.25">
      <c r="A557" s="24" t="s">
        <v>3107</v>
      </c>
      <c r="B557" s="9">
        <v>45432</v>
      </c>
      <c r="C557" s="6" t="s">
        <v>1383</v>
      </c>
      <c r="D557" s="13">
        <v>3</v>
      </c>
    </row>
    <row r="558" spans="1:4" x14ac:dyDescent="0.25">
      <c r="A558" s="24" t="s">
        <v>3108</v>
      </c>
      <c r="B558" s="9">
        <v>45775</v>
      </c>
      <c r="C558" s="6" t="s">
        <v>1486</v>
      </c>
      <c r="D558" s="13">
        <v>10</v>
      </c>
    </row>
    <row r="559" spans="1:4" x14ac:dyDescent="0.25">
      <c r="A559" s="24" t="s">
        <v>3109</v>
      </c>
      <c r="B559" s="9">
        <v>45772</v>
      </c>
      <c r="C559" s="6" t="s">
        <v>1803</v>
      </c>
      <c r="D559" s="13">
        <v>7</v>
      </c>
    </row>
    <row r="560" spans="1:4" x14ac:dyDescent="0.25">
      <c r="A560" s="24" t="s">
        <v>3110</v>
      </c>
      <c r="B560" s="9">
        <v>45373</v>
      </c>
      <c r="C560" s="6" t="s">
        <v>1363</v>
      </c>
      <c r="D560" s="13">
        <v>3</v>
      </c>
    </row>
    <row r="561" spans="1:4" x14ac:dyDescent="0.25">
      <c r="A561" s="24" t="s">
        <v>3111</v>
      </c>
      <c r="B561" s="9">
        <v>45445</v>
      </c>
      <c r="C561" s="6" t="s">
        <v>1905</v>
      </c>
      <c r="D561" s="13">
        <v>18</v>
      </c>
    </row>
    <row r="562" spans="1:4" x14ac:dyDescent="0.25">
      <c r="A562" s="24" t="s">
        <v>3112</v>
      </c>
      <c r="B562" s="9">
        <v>45915</v>
      </c>
      <c r="C562" s="6" t="s">
        <v>1884</v>
      </c>
      <c r="D562" s="13">
        <v>4</v>
      </c>
    </row>
    <row r="563" spans="1:4" x14ac:dyDescent="0.25">
      <c r="A563" s="24" t="s">
        <v>3113</v>
      </c>
      <c r="B563" s="9">
        <v>46086</v>
      </c>
      <c r="C563" s="6" t="s">
        <v>1639</v>
      </c>
      <c r="D563" s="13">
        <v>2</v>
      </c>
    </row>
    <row r="564" spans="1:4" x14ac:dyDescent="0.25">
      <c r="A564" s="24" t="s">
        <v>3114</v>
      </c>
      <c r="B564" s="9">
        <v>45416</v>
      </c>
      <c r="C564" s="6" t="s">
        <v>1392</v>
      </c>
      <c r="D564" s="13">
        <v>2</v>
      </c>
    </row>
    <row r="565" spans="1:4" x14ac:dyDescent="0.25">
      <c r="A565" s="24" t="s">
        <v>3115</v>
      </c>
      <c r="B565" s="9">
        <v>45946</v>
      </c>
      <c r="C565" s="6" t="s">
        <v>1812</v>
      </c>
      <c r="D565" s="13">
        <v>1</v>
      </c>
    </row>
    <row r="566" spans="1:4" x14ac:dyDescent="0.25">
      <c r="A566" s="24" t="s">
        <v>3116</v>
      </c>
      <c r="B566" s="9">
        <v>45803</v>
      </c>
      <c r="C566" s="6" t="s">
        <v>1892</v>
      </c>
      <c r="D566" s="13">
        <v>1</v>
      </c>
    </row>
    <row r="567" spans="1:4" x14ac:dyDescent="0.25">
      <c r="A567" s="24" t="s">
        <v>3117</v>
      </c>
      <c r="B567" s="9">
        <v>45819</v>
      </c>
      <c r="C567" s="6" t="s">
        <v>1932</v>
      </c>
      <c r="D567" s="13">
        <v>2</v>
      </c>
    </row>
    <row r="568" spans="1:4" x14ac:dyDescent="0.25">
      <c r="A568" s="24" t="s">
        <v>3118</v>
      </c>
      <c r="B568" s="9">
        <v>45439</v>
      </c>
      <c r="C568" s="6" t="s">
        <v>1642</v>
      </c>
      <c r="D568" s="13">
        <v>4</v>
      </c>
    </row>
    <row r="569" spans="1:4" x14ac:dyDescent="0.25">
      <c r="A569" s="24" t="s">
        <v>3119</v>
      </c>
      <c r="B569" s="9">
        <v>45921</v>
      </c>
      <c r="C569" s="6" t="s">
        <v>1705</v>
      </c>
      <c r="D569" s="13">
        <v>2</v>
      </c>
    </row>
    <row r="570" spans="1:4" x14ac:dyDescent="0.25">
      <c r="A570" s="24" t="s">
        <v>3120</v>
      </c>
      <c r="B570" s="9">
        <v>45718</v>
      </c>
      <c r="C570" s="6" t="s">
        <v>1535</v>
      </c>
      <c r="D570" s="13">
        <v>8</v>
      </c>
    </row>
    <row r="571" spans="1:4" x14ac:dyDescent="0.25">
      <c r="A571" s="24" t="s">
        <v>3121</v>
      </c>
      <c r="B571" s="9">
        <v>45379</v>
      </c>
      <c r="C571" s="6" t="s">
        <v>1880</v>
      </c>
      <c r="D571" s="13">
        <v>25</v>
      </c>
    </row>
    <row r="572" spans="1:4" x14ac:dyDescent="0.25">
      <c r="A572" s="24" t="s">
        <v>3122</v>
      </c>
      <c r="B572" s="9">
        <v>45361</v>
      </c>
      <c r="C572" s="6" t="s">
        <v>1882</v>
      </c>
      <c r="D572" s="13">
        <v>6</v>
      </c>
    </row>
    <row r="573" spans="1:4" x14ac:dyDescent="0.25">
      <c r="A573" s="24" t="s">
        <v>3123</v>
      </c>
      <c r="B573" s="9">
        <v>46097</v>
      </c>
      <c r="C573" s="6" t="s">
        <v>1863</v>
      </c>
      <c r="D573" s="13">
        <v>6</v>
      </c>
    </row>
    <row r="574" spans="1:4" x14ac:dyDescent="0.25">
      <c r="A574" s="24" t="s">
        <v>3124</v>
      </c>
      <c r="B574" s="9">
        <v>45691</v>
      </c>
      <c r="C574" s="6" t="s">
        <v>1825</v>
      </c>
      <c r="D574" s="13">
        <v>1</v>
      </c>
    </row>
    <row r="575" spans="1:4" x14ac:dyDescent="0.25">
      <c r="A575" s="24" t="s">
        <v>3125</v>
      </c>
      <c r="B575" s="9">
        <v>45688</v>
      </c>
      <c r="C575" s="6" t="s">
        <v>1726</v>
      </c>
      <c r="D575" s="13">
        <v>3</v>
      </c>
    </row>
    <row r="576" spans="1:4" x14ac:dyDescent="0.25">
      <c r="A576" s="24" t="s">
        <v>3126</v>
      </c>
      <c r="B576" s="9">
        <v>45308</v>
      </c>
      <c r="C576" s="6" t="s">
        <v>1709</v>
      </c>
      <c r="D576" s="13">
        <v>11</v>
      </c>
    </row>
    <row r="577" spans="1:4" x14ac:dyDescent="0.25">
      <c r="A577" s="24" t="s">
        <v>3127</v>
      </c>
      <c r="B577" s="9">
        <v>45645</v>
      </c>
      <c r="C577" s="6" t="s">
        <v>1590</v>
      </c>
      <c r="D577" s="13">
        <v>9</v>
      </c>
    </row>
    <row r="578" spans="1:4" x14ac:dyDescent="0.25">
      <c r="A578" s="24" t="s">
        <v>3128</v>
      </c>
      <c r="B578" s="9">
        <v>45935</v>
      </c>
      <c r="C578" s="6" t="s">
        <v>1450</v>
      </c>
      <c r="D578" s="13">
        <v>10</v>
      </c>
    </row>
    <row r="579" spans="1:4" x14ac:dyDescent="0.25">
      <c r="A579" s="24" t="s">
        <v>3129</v>
      </c>
      <c r="B579" s="9">
        <v>46044</v>
      </c>
      <c r="C579" s="6" t="s">
        <v>1684</v>
      </c>
      <c r="D579" s="13">
        <v>2</v>
      </c>
    </row>
    <row r="580" spans="1:4" x14ac:dyDescent="0.25">
      <c r="A580" s="24" t="s">
        <v>3130</v>
      </c>
      <c r="B580" s="9">
        <v>45652</v>
      </c>
      <c r="C580" s="6" t="s">
        <v>1903</v>
      </c>
      <c r="D580" s="13">
        <v>3</v>
      </c>
    </row>
    <row r="581" spans="1:4" x14ac:dyDescent="0.25">
      <c r="A581" s="24" t="s">
        <v>3131</v>
      </c>
      <c r="B581" s="9">
        <v>45950</v>
      </c>
      <c r="C581" s="6" t="s">
        <v>1523</v>
      </c>
      <c r="D581" s="13">
        <v>12</v>
      </c>
    </row>
    <row r="582" spans="1:4" x14ac:dyDescent="0.25">
      <c r="A582" s="24" t="s">
        <v>3132</v>
      </c>
      <c r="B582" s="9">
        <v>45993</v>
      </c>
      <c r="C582" s="6" t="s">
        <v>1819</v>
      </c>
      <c r="D582" s="13">
        <v>30</v>
      </c>
    </row>
    <row r="583" spans="1:4" x14ac:dyDescent="0.25">
      <c r="A583" s="24" t="s">
        <v>3133</v>
      </c>
      <c r="B583" s="9">
        <v>45782</v>
      </c>
      <c r="C583" s="6" t="s">
        <v>1530</v>
      </c>
      <c r="D583" s="13">
        <v>11</v>
      </c>
    </row>
    <row r="584" spans="1:4" x14ac:dyDescent="0.25">
      <c r="A584" s="24" t="s">
        <v>3134</v>
      </c>
      <c r="B584" s="9">
        <v>45356</v>
      </c>
      <c r="C584" s="6" t="s">
        <v>1812</v>
      </c>
      <c r="D584" s="13">
        <v>1</v>
      </c>
    </row>
    <row r="585" spans="1:4" x14ac:dyDescent="0.25">
      <c r="A585" s="24" t="s">
        <v>3135</v>
      </c>
      <c r="B585" s="9">
        <v>45498</v>
      </c>
      <c r="C585" s="6" t="s">
        <v>1388</v>
      </c>
      <c r="D585" s="13">
        <v>11</v>
      </c>
    </row>
    <row r="586" spans="1:4" x14ac:dyDescent="0.25">
      <c r="A586" s="24" t="s">
        <v>3136</v>
      </c>
      <c r="B586" s="9">
        <v>45334</v>
      </c>
      <c r="C586" s="6" t="s">
        <v>1667</v>
      </c>
      <c r="D586" s="13">
        <v>17</v>
      </c>
    </row>
    <row r="587" spans="1:4" x14ac:dyDescent="0.25">
      <c r="A587" s="24" t="s">
        <v>3137</v>
      </c>
      <c r="B587" s="9">
        <v>45819</v>
      </c>
      <c r="C587" s="6" t="s">
        <v>1751</v>
      </c>
      <c r="D587" s="13">
        <v>40</v>
      </c>
    </row>
    <row r="588" spans="1:4" x14ac:dyDescent="0.25">
      <c r="A588" s="24" t="s">
        <v>3138</v>
      </c>
      <c r="B588" s="9">
        <v>45848</v>
      </c>
      <c r="C588" s="6" t="s">
        <v>1828</v>
      </c>
      <c r="D588" s="13">
        <v>3</v>
      </c>
    </row>
    <row r="589" spans="1:4" x14ac:dyDescent="0.25">
      <c r="A589" s="24" t="s">
        <v>3139</v>
      </c>
      <c r="B589" s="9">
        <v>46063</v>
      </c>
      <c r="C589" s="6" t="s">
        <v>1539</v>
      </c>
      <c r="D589" s="13">
        <v>3</v>
      </c>
    </row>
    <row r="590" spans="1:4" x14ac:dyDescent="0.25">
      <c r="A590" s="24" t="s">
        <v>3140</v>
      </c>
      <c r="B590" s="9">
        <v>46091</v>
      </c>
      <c r="C590" s="6" t="s">
        <v>1392</v>
      </c>
      <c r="D590" s="13">
        <v>14</v>
      </c>
    </row>
    <row r="591" spans="1:4" x14ac:dyDescent="0.25">
      <c r="A591" s="24" t="s">
        <v>3141</v>
      </c>
      <c r="B591" s="9">
        <v>45631</v>
      </c>
      <c r="C591" s="6" t="s">
        <v>1623</v>
      </c>
      <c r="D591" s="13">
        <v>1</v>
      </c>
    </row>
    <row r="592" spans="1:4" x14ac:dyDescent="0.25">
      <c r="A592" s="24" t="s">
        <v>3142</v>
      </c>
      <c r="B592" s="9">
        <v>45668</v>
      </c>
      <c r="C592" s="6" t="s">
        <v>1791</v>
      </c>
      <c r="D592" s="13">
        <v>15</v>
      </c>
    </row>
    <row r="593" spans="1:4" x14ac:dyDescent="0.25">
      <c r="A593" s="24" t="s">
        <v>3143</v>
      </c>
      <c r="B593" s="9">
        <v>46053</v>
      </c>
      <c r="C593" s="6" t="s">
        <v>1794</v>
      </c>
      <c r="D593" s="13">
        <v>15</v>
      </c>
    </row>
    <row r="594" spans="1:4" x14ac:dyDescent="0.25">
      <c r="A594" s="24" t="s">
        <v>3144</v>
      </c>
      <c r="B594" s="9">
        <v>45687</v>
      </c>
      <c r="C594" s="6" t="s">
        <v>1691</v>
      </c>
      <c r="D594" s="13">
        <v>20</v>
      </c>
    </row>
    <row r="595" spans="1:4" x14ac:dyDescent="0.25">
      <c r="A595" s="24" t="s">
        <v>3145</v>
      </c>
      <c r="B595" s="9">
        <v>45800</v>
      </c>
      <c r="C595" s="6" t="s">
        <v>1853</v>
      </c>
      <c r="D595" s="13">
        <v>4</v>
      </c>
    </row>
    <row r="596" spans="1:4" x14ac:dyDescent="0.25">
      <c r="A596" s="24" t="s">
        <v>3146</v>
      </c>
      <c r="B596" s="9">
        <v>46108</v>
      </c>
      <c r="C596" s="6" t="s">
        <v>1875</v>
      </c>
      <c r="D596" s="13">
        <v>3</v>
      </c>
    </row>
    <row r="597" spans="1:4" x14ac:dyDescent="0.25">
      <c r="A597" s="24" t="s">
        <v>3147</v>
      </c>
      <c r="B597" s="9">
        <v>45376</v>
      </c>
      <c r="C597" s="6" t="s">
        <v>1778</v>
      </c>
      <c r="D597" s="13">
        <v>1</v>
      </c>
    </row>
    <row r="598" spans="1:4" x14ac:dyDescent="0.25">
      <c r="A598" s="24" t="s">
        <v>3148</v>
      </c>
      <c r="B598" s="9">
        <v>45908</v>
      </c>
      <c r="C598" s="6" t="s">
        <v>1528</v>
      </c>
      <c r="D598" s="13">
        <v>6</v>
      </c>
    </row>
    <row r="599" spans="1:4" x14ac:dyDescent="0.25">
      <c r="A599" s="24" t="s">
        <v>3149</v>
      </c>
      <c r="B599" s="9">
        <v>45620</v>
      </c>
      <c r="C599" s="6" t="s">
        <v>1449</v>
      </c>
      <c r="D599" s="13">
        <v>1</v>
      </c>
    </row>
    <row r="600" spans="1:4" x14ac:dyDescent="0.25">
      <c r="A600" s="24" t="s">
        <v>3150</v>
      </c>
      <c r="B600" s="9">
        <v>45968</v>
      </c>
      <c r="C600" s="6" t="s">
        <v>1646</v>
      </c>
      <c r="D600" s="13">
        <v>3</v>
      </c>
    </row>
    <row r="601" spans="1:4" x14ac:dyDescent="0.25">
      <c r="A601" s="26" t="s">
        <v>3151</v>
      </c>
      <c r="B601" s="31">
        <v>45909</v>
      </c>
      <c r="C601" s="15" t="s">
        <v>1780</v>
      </c>
      <c r="D601" s="18">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0994-F626-4A86-A3FD-13BB2BA36E05}">
  <dimension ref="A1:S601"/>
  <sheetViews>
    <sheetView workbookViewId="0">
      <pane xSplit="2" ySplit="1" topLeftCell="C2" activePane="bottomRight" state="frozen"/>
      <selection pane="topRight" activeCell="C1" sqref="C1"/>
      <selection pane="bottomLeft" activeCell="A2" sqref="A2"/>
      <selection pane="bottomRight" activeCell="N2" sqref="N2"/>
    </sheetView>
  </sheetViews>
  <sheetFormatPr defaultRowHeight="10.5" x14ac:dyDescent="0.25"/>
  <cols>
    <col min="1" max="1" width="8.7265625" style="5"/>
    <col min="2" max="2" width="18.81640625" style="5" bestFit="1" customWidth="1"/>
    <col min="3" max="3" width="11.453125" style="5" bestFit="1" customWidth="1"/>
    <col min="4" max="4" width="10.7265625" style="5" bestFit="1" customWidth="1"/>
    <col min="5" max="5" width="8.7265625" style="5"/>
    <col min="6" max="6" width="8.90625" style="5" customWidth="1"/>
    <col min="7" max="7" width="8.81640625" style="5" customWidth="1"/>
    <col min="8" max="8" width="12.81640625" style="4" customWidth="1"/>
    <col min="9" max="9" width="12.6328125" style="4" customWidth="1"/>
    <col min="10" max="10" width="7.6328125" style="4" customWidth="1"/>
    <col min="11" max="11" width="11.1796875" style="5" customWidth="1"/>
    <col min="12" max="12" width="10.453125" style="5" customWidth="1"/>
    <col min="13" max="13" width="10.36328125" style="5" customWidth="1"/>
    <col min="14" max="14" width="11.81640625" style="4" bestFit="1" customWidth="1"/>
    <col min="15" max="15" width="8.7265625" style="5"/>
    <col min="16" max="16" width="8.7265625" style="41"/>
    <col min="17" max="17" width="13.7265625" style="5" bestFit="1" customWidth="1"/>
    <col min="18" max="18" width="8.7265625" style="5"/>
    <col min="19" max="19" width="8.7265625" style="4"/>
    <col min="20" max="16384" width="8.7265625" style="5"/>
  </cols>
  <sheetData>
    <row r="1" spans="1:19" s="11" customFormat="1" ht="22" customHeight="1" x14ac:dyDescent="0.25">
      <c r="A1" s="44" t="s">
        <v>0</v>
      </c>
      <c r="B1" s="38" t="s">
        <v>1</v>
      </c>
      <c r="C1" s="38" t="s">
        <v>2</v>
      </c>
      <c r="D1" s="38" t="s">
        <v>3</v>
      </c>
      <c r="E1" s="38" t="s">
        <v>3152</v>
      </c>
      <c r="F1" s="38" t="s">
        <v>5</v>
      </c>
      <c r="G1" s="38" t="s">
        <v>6</v>
      </c>
      <c r="H1" s="37" t="s">
        <v>3158</v>
      </c>
      <c r="I1" s="37" t="s">
        <v>3153</v>
      </c>
      <c r="J1" s="37" t="s">
        <v>3154</v>
      </c>
      <c r="K1" s="38" t="s">
        <v>3155</v>
      </c>
      <c r="L1" s="38" t="s">
        <v>3159</v>
      </c>
      <c r="M1" s="45" t="s">
        <v>3160</v>
      </c>
      <c r="N1" s="37" t="s">
        <v>3165</v>
      </c>
      <c r="O1" s="42" t="s">
        <v>3167</v>
      </c>
      <c r="P1" s="39" t="s">
        <v>3168</v>
      </c>
      <c r="Q1" s="38" t="s">
        <v>3169</v>
      </c>
      <c r="R1" s="42" t="s">
        <v>3170</v>
      </c>
      <c r="S1" s="43" t="s">
        <v>3171</v>
      </c>
    </row>
    <row r="2" spans="1:19" x14ac:dyDescent="0.25">
      <c r="A2" s="24" t="str">
        <f>'Inventory master'!A2</f>
        <v>ITEM001-A</v>
      </c>
      <c r="B2" s="6" t="str">
        <f>'Inventory master'!B2</f>
        <v>1x16 PLC Splitter</v>
      </c>
      <c r="C2" s="6" t="str">
        <f>'Inventory master'!C2</f>
        <v>Splitters</v>
      </c>
      <c r="D2" s="6" t="str">
        <f>'Inventory master'!D2</f>
        <v>Amphenol</v>
      </c>
      <c r="E2" s="10">
        <f>'Inventory master'!E2</f>
        <v>1186.19</v>
      </c>
      <c r="F2" s="10" t="str">
        <f>'Inventory master'!F2</f>
        <v>1600.45</v>
      </c>
      <c r="G2" s="10" t="str">
        <f>'Inventory master'!G2</f>
        <v>36</v>
      </c>
      <c r="H2" s="8">
        <f>IFERROR(_xlfn.XLOOKUP(A2, 'Opening stock'!A2:A601, 'Opening stock'!E2:E601), "")</f>
        <v>540</v>
      </c>
      <c r="I2" s="8">
        <f>IFERROR(SUMIF(Table3[Item ID],'Inventory calculations'!A2,Table3[Quantity]),0)</f>
        <v>400</v>
      </c>
      <c r="J2" s="8">
        <f>IFERROR(SUMIF(Table4[Item ID],'Inventory calculations'!A2,Table4[Quantity Purchased]),0)</f>
        <v>3</v>
      </c>
      <c r="K2" s="10">
        <f>H2+J2-I2</f>
        <v>143</v>
      </c>
      <c r="L2" s="6" t="str">
        <f>IF(K2&lt;0,"STOCK ISSUE","OK")</f>
        <v>OK</v>
      </c>
      <c r="M2" s="13">
        <f t="shared" ref="M2:M65" si="0">K2*E2</f>
        <v>169625.17</v>
      </c>
      <c r="N2" s="8">
        <f>Table5[[#This Row],[Total Qty Sold]]*Table5[[#This Row],[Unit Price]]</f>
        <v>640180</v>
      </c>
      <c r="O2" s="9">
        <f>IFERROR(_xlfn.MAXIFS(Table3[Date],Table3[Item ID],Table5[[#This Row],[Item ID]]),"")</f>
        <v>45891</v>
      </c>
      <c r="P2" s="40">
        <f ca="1">IF(Table5[[#This Row],[Last sale Date]]="","Never Sold",TODAY()-Table5[[#This Row],[Last sale Date]])</f>
        <v>161</v>
      </c>
      <c r="Q2" s="6" t="str">
        <f>IF(Table5[[#This Row],[Re order Level]]&lt;=Table5[[#This Row],[Current stock]],"ORDERASAP","OK BUT BE CHECKING")</f>
        <v>OK BUT BE CHECKING</v>
      </c>
      <c r="R2" s="6" t="str">
        <f t="shared" ref="R2:R65" si="1">IF(AND(ISNUMBER(B2), B2 &gt; 60), "DEAD", "ACTIVE")</f>
        <v>ACTIVE</v>
      </c>
      <c r="S2" s="8">
        <f>IF(Table5[[#This Row],[DEADSTOCK FLAG]]="DEAD",Table5[[#This Row],[Inventory Value]],0)</f>
        <v>0</v>
      </c>
    </row>
    <row r="3" spans="1:19" x14ac:dyDescent="0.25">
      <c r="A3" s="24" t="str">
        <f>'Inventory master'!A3</f>
        <v>ITEM002-A</v>
      </c>
      <c r="B3" s="6" t="str">
        <f>'Inventory master'!B3</f>
        <v>Mechanical Splicer</v>
      </c>
      <c r="C3" s="6" t="str">
        <f>'Inventory master'!C3</f>
        <v>Splicers</v>
      </c>
      <c r="D3" s="6" t="str">
        <f>'Inventory master'!D3</f>
        <v>CommScope</v>
      </c>
      <c r="E3" s="10">
        <f>'Inventory master'!E3</f>
        <v>808.73</v>
      </c>
      <c r="F3" s="10" t="str">
        <f>'Inventory master'!F3</f>
        <v>1190.93</v>
      </c>
      <c r="G3" s="10" t="str">
        <f>'Inventory master'!G3</f>
        <v>48</v>
      </c>
      <c r="H3" s="8">
        <f>IFERROR(_xlfn.XLOOKUP(A3, 'Opening stock'!A3:A602, 'Opening stock'!E3:E602), "")</f>
        <v>720</v>
      </c>
      <c r="I3" s="8">
        <f>IFERROR(SUMIF(Table3[Item ID],'Inventory calculations'!A3,Table3[Quantity]),0)</f>
        <v>100</v>
      </c>
      <c r="J3" s="8">
        <f>IFERROR(SUMIF(Table4[Item ID],'Inventory calculations'!A3,Table4[Quantity Purchased]),0)</f>
        <v>0</v>
      </c>
      <c r="K3" s="10">
        <f>H3+J3-I3</f>
        <v>620</v>
      </c>
      <c r="L3" s="6" t="str">
        <f t="shared" ref="L3:L66" si="2">IF(K3&lt;0,"STOCK ISSUE","OK")</f>
        <v>OK</v>
      </c>
      <c r="M3" s="13">
        <f t="shared" si="0"/>
        <v>501412.60000000003</v>
      </c>
      <c r="N3" s="8">
        <f>Table5[[#This Row],[Total Qty Sold]]*Table5[[#This Row],[Unit Price]]</f>
        <v>119093</v>
      </c>
      <c r="O3" s="9">
        <f>IFERROR(_xlfn.MAXIFS(Table3[Date],Table3[Item ID],Table5[[#This Row],[Item ID]]),"")</f>
        <v>45832</v>
      </c>
      <c r="P3" s="40">
        <f ca="1">IF(Table5[[#This Row],[Last sale Date]]="","Never Sold",TODAY()-Table5[[#This Row],[Last sale Date]])</f>
        <v>220</v>
      </c>
      <c r="Q3" s="6" t="str">
        <f>IF(Table5[[#This Row],[Re order Level]]&lt;=Table5[[#This Row],[Current stock]],"ORDERASAP","OK BUT BE CHECKING")</f>
        <v>OK BUT BE CHECKING</v>
      </c>
      <c r="R3" s="6" t="str">
        <f t="shared" si="1"/>
        <v>ACTIVE</v>
      </c>
      <c r="S3" s="8">
        <f>IF(Table5[[#This Row],[DEADSTOCK FLAG]]="DEAD",Table5[[#This Row],[Inventory Value]],0)</f>
        <v>0</v>
      </c>
    </row>
    <row r="4" spans="1:19" x14ac:dyDescent="0.25">
      <c r="A4" s="24" t="str">
        <f>'Inventory master'!A4</f>
        <v>ITEM003-A</v>
      </c>
      <c r="B4" s="6" t="str">
        <f>'Inventory master'!B4</f>
        <v>Single-Mode Fiber Cable 200m</v>
      </c>
      <c r="C4" s="6" t="str">
        <f>'Inventory master'!C4</f>
        <v>Fiber Optic Cables</v>
      </c>
      <c r="D4" s="6" t="str">
        <f>'Inventory master'!D4</f>
        <v>Belden</v>
      </c>
      <c r="E4" s="10">
        <f>'Inventory master'!E4</f>
        <v>1199.96</v>
      </c>
      <c r="F4" s="10" t="str">
        <f>'Inventory master'!F4</f>
        <v>2088.64</v>
      </c>
      <c r="G4" s="10" t="str">
        <f>'Inventory master'!G4</f>
        <v>88</v>
      </c>
      <c r="H4" s="8">
        <f>IFERROR(_xlfn.XLOOKUP(A4, 'Opening stock'!A4:A603, 'Opening stock'!E4:E603), "")</f>
        <v>1320</v>
      </c>
      <c r="I4" s="8">
        <f>IFERROR(SUMIF(Table3[Item ID],'Inventory calculations'!A4,Table3[Quantity]),0)</f>
        <v>100</v>
      </c>
      <c r="J4" s="8">
        <f>IFERROR(SUMIF(Table4[Item ID],'Inventory calculations'!A4,Table4[Quantity Purchased]),0)</f>
        <v>3</v>
      </c>
      <c r="K4" s="10">
        <f t="shared" ref="K4:K66" si="3">H4+J4-I4</f>
        <v>1223</v>
      </c>
      <c r="L4" s="6" t="str">
        <f t="shared" si="2"/>
        <v>OK</v>
      </c>
      <c r="M4" s="13">
        <f t="shared" si="0"/>
        <v>1467551.08</v>
      </c>
      <c r="N4" s="8">
        <f>Table5[[#This Row],[Total Qty Sold]]*Table5[[#This Row],[Unit Price]]</f>
        <v>208864</v>
      </c>
      <c r="O4" s="9">
        <f>IFERROR(_xlfn.MAXIFS(Table3[Date],Table3[Item ID],Table5[[#This Row],[Item ID]]),"")</f>
        <v>45833</v>
      </c>
      <c r="P4" s="40">
        <f ca="1">IF(Table5[[#This Row],[Last sale Date]]="","Never Sold",TODAY()-Table5[[#This Row],[Last sale Date]])</f>
        <v>219</v>
      </c>
      <c r="Q4" s="6" t="str">
        <f>IF(Table5[[#This Row],[Re order Level]]&lt;=Table5[[#This Row],[Current stock]],"ORDERASAP","OK BUT BE CHECKING")</f>
        <v>OK BUT BE CHECKING</v>
      </c>
      <c r="R4" s="6" t="str">
        <f t="shared" si="1"/>
        <v>ACTIVE</v>
      </c>
      <c r="S4" s="8">
        <f>IF(Table5[[#This Row],[DEADSTOCK FLAG]]="DEAD",Table5[[#This Row],[Inventory Value]],0)</f>
        <v>0</v>
      </c>
    </row>
    <row r="5" spans="1:19" x14ac:dyDescent="0.25">
      <c r="A5" s="24" t="str">
        <f>'Inventory master'!A5</f>
        <v>ITEM004-A</v>
      </c>
      <c r="B5" s="6" t="str">
        <f>'Inventory master'!B5</f>
        <v>1x8 PLC Splitter</v>
      </c>
      <c r="C5" s="6" t="str">
        <f>'Inventory master'!C5</f>
        <v>Splitters</v>
      </c>
      <c r="D5" s="6" t="str">
        <f>'Inventory master'!D5</f>
        <v>AFL</v>
      </c>
      <c r="E5" s="10">
        <f>'Inventory master'!E5</f>
        <v>9.4600000000000009</v>
      </c>
      <c r="F5" s="10" t="str">
        <f>'Inventory master'!F5</f>
        <v>17.25</v>
      </c>
      <c r="G5" s="10" t="str">
        <f>'Inventory master'!G5</f>
        <v>49</v>
      </c>
      <c r="H5" s="8">
        <f>IFERROR(_xlfn.XLOOKUP(A5, 'Opening stock'!A5:A604, 'Opening stock'!E5:E604), "")</f>
        <v>735</v>
      </c>
      <c r="I5" s="8">
        <f>IFERROR(SUMIF(Table3[Item ID],'Inventory calculations'!A5,Table3[Quantity]),0)</f>
        <v>0</v>
      </c>
      <c r="J5" s="8">
        <f>IFERROR(SUMIF(Table4[Item ID],'Inventory calculations'!A5,Table4[Quantity Purchased]),0)</f>
        <v>0</v>
      </c>
      <c r="K5" s="10">
        <f t="shared" si="3"/>
        <v>735</v>
      </c>
      <c r="L5" s="6" t="str">
        <f t="shared" si="2"/>
        <v>OK</v>
      </c>
      <c r="M5" s="13">
        <f t="shared" si="0"/>
        <v>6953.1</v>
      </c>
      <c r="N5" s="8">
        <f>Table5[[#This Row],[Total Qty Sold]]*Table5[[#This Row],[Unit Price]]</f>
        <v>0</v>
      </c>
      <c r="O5" s="9"/>
      <c r="P5" s="40" t="str">
        <f ca="1">IF(Table5[[#This Row],[Last sale Date]]="","Never Sold",TODAY()-Table5[[#This Row],[Last sale Date]])</f>
        <v>Never Sold</v>
      </c>
      <c r="Q5" s="6" t="str">
        <f>IF(Table5[[#This Row],[Re order Level]]&lt;=Table5[[#This Row],[Current stock]],"ORDERASAP","OK BUT BE CHECKING")</f>
        <v>OK BUT BE CHECKING</v>
      </c>
      <c r="R5" s="6" t="str">
        <f t="shared" si="1"/>
        <v>ACTIVE</v>
      </c>
      <c r="S5" s="8">
        <f>IF(Table5[[#This Row],[DEADSTOCK FLAG]]="DEAD",Table5[[#This Row],[Inventory Value]],0)</f>
        <v>0</v>
      </c>
    </row>
    <row r="6" spans="1:19" x14ac:dyDescent="0.25">
      <c r="A6" s="24" t="str">
        <f>'Inventory master'!A6</f>
        <v>ITEM005-A</v>
      </c>
      <c r="B6" s="6" t="str">
        <f>'Inventory master'!B6</f>
        <v>Fiber Adapter</v>
      </c>
      <c r="C6" s="6" t="str">
        <f>'Inventory master'!C6</f>
        <v>Accessories</v>
      </c>
      <c r="D6" s="6" t="str">
        <f>'Inventory master'!D6</f>
        <v>Corning Inc.</v>
      </c>
      <c r="E6" s="10">
        <f>'Inventory master'!E6</f>
        <v>1844.49</v>
      </c>
      <c r="F6" s="10" t="str">
        <f>'Inventory master'!F6</f>
        <v>3404.2</v>
      </c>
      <c r="G6" s="10" t="str">
        <f>'Inventory master'!G6</f>
        <v>81</v>
      </c>
      <c r="H6" s="8">
        <f>IFERROR(_xlfn.XLOOKUP(A6, 'Opening stock'!A6:A605, 'Opening stock'!E6:E605), "")</f>
        <v>1215</v>
      </c>
      <c r="I6" s="8">
        <f>IFERROR(SUMIF(Table3[Item ID],'Inventory calculations'!A6,Table3[Quantity]),0)</f>
        <v>0</v>
      </c>
      <c r="J6" s="8">
        <f>IFERROR(SUMIF(Table4[Item ID],'Inventory calculations'!A6,Table4[Quantity Purchased]),0)</f>
        <v>0</v>
      </c>
      <c r="K6" s="10">
        <f t="shared" si="3"/>
        <v>1215</v>
      </c>
      <c r="L6" s="6" t="str">
        <f t="shared" si="2"/>
        <v>OK</v>
      </c>
      <c r="M6" s="13">
        <f t="shared" si="0"/>
        <v>2241055.35</v>
      </c>
      <c r="N6" s="8">
        <f>Table5[[#This Row],[Total Qty Sold]]*Table5[[#This Row],[Unit Price]]</f>
        <v>0</v>
      </c>
      <c r="O6" s="9"/>
      <c r="P6" s="40" t="str">
        <f ca="1">IF(Table5[[#This Row],[Last sale Date]]="","Never Sold",TODAY()-Table5[[#This Row],[Last sale Date]])</f>
        <v>Never Sold</v>
      </c>
      <c r="Q6" s="6" t="str">
        <f>IF(Table5[[#This Row],[Re order Level]]&lt;=Table5[[#This Row],[Current stock]],"ORDERASAP","OK BUT BE CHECKING")</f>
        <v>OK BUT BE CHECKING</v>
      </c>
      <c r="R6" s="6" t="str">
        <f t="shared" si="1"/>
        <v>ACTIVE</v>
      </c>
      <c r="S6" s="8">
        <f>IF(Table5[[#This Row],[DEADSTOCK FLAG]]="DEAD",Table5[[#This Row],[Inventory Value]],0)</f>
        <v>0</v>
      </c>
    </row>
    <row r="7" spans="1:19" x14ac:dyDescent="0.25">
      <c r="A7" s="24" t="str">
        <f>'Inventory master'!A7</f>
        <v>ITEM006-A</v>
      </c>
      <c r="B7" s="6" t="str">
        <f>'Inventory master'!B7</f>
        <v>Fixed Attenuator 20dB</v>
      </c>
      <c r="C7" s="6" t="str">
        <f>'Inventory master'!C7</f>
        <v>Attenuators</v>
      </c>
      <c r="D7" s="6" t="str">
        <f>'Inventory master'!D7</f>
        <v>Corning Inc.</v>
      </c>
      <c r="E7" s="10">
        <f>'Inventory master'!E7</f>
        <v>876.82</v>
      </c>
      <c r="F7" s="10" t="str">
        <f>'Inventory master'!F7</f>
        <v>1454.17</v>
      </c>
      <c r="G7" s="10" t="str">
        <f>'Inventory master'!G7</f>
        <v>93</v>
      </c>
      <c r="H7" s="8">
        <f>IFERROR(_xlfn.XLOOKUP(A7, 'Opening stock'!A7:A606, 'Opening stock'!E7:E606), "")</f>
        <v>1395</v>
      </c>
      <c r="I7" s="8">
        <f>IFERROR(SUMIF(Table3[Item ID],'Inventory calculations'!A7,Table3[Quantity]),0)</f>
        <v>0</v>
      </c>
      <c r="J7" s="8">
        <f>IFERROR(SUMIF(Table4[Item ID],'Inventory calculations'!A7,Table4[Quantity Purchased]),0)</f>
        <v>0</v>
      </c>
      <c r="K7" s="10">
        <f t="shared" si="3"/>
        <v>1395</v>
      </c>
      <c r="L7" s="6" t="str">
        <f t="shared" si="2"/>
        <v>OK</v>
      </c>
      <c r="M7" s="13">
        <f t="shared" si="0"/>
        <v>1223163.9000000001</v>
      </c>
      <c r="N7" s="8">
        <f>Table5[[#This Row],[Total Qty Sold]]*Table5[[#This Row],[Unit Price]]</f>
        <v>0</v>
      </c>
      <c r="O7" s="9"/>
      <c r="P7" s="40" t="str">
        <f ca="1">IF(Table5[[#This Row],[Last sale Date]]="","Never Sold",TODAY()-Table5[[#This Row],[Last sale Date]])</f>
        <v>Never Sold</v>
      </c>
      <c r="Q7" s="6" t="str">
        <f>IF(Table5[[#This Row],[Re order Level]]&lt;=Table5[[#This Row],[Current stock]],"ORDERASAP","OK BUT BE CHECKING")</f>
        <v>OK BUT BE CHECKING</v>
      </c>
      <c r="R7" s="6" t="str">
        <f t="shared" si="1"/>
        <v>ACTIVE</v>
      </c>
      <c r="S7" s="8">
        <f>IF(Table5[[#This Row],[DEADSTOCK FLAG]]="DEAD",Table5[[#This Row],[Inventory Value]],0)</f>
        <v>0</v>
      </c>
    </row>
    <row r="8" spans="1:19" x14ac:dyDescent="0.25">
      <c r="A8" s="24" t="str">
        <f>'Inventory master'!A8</f>
        <v>ITEM007-A</v>
      </c>
      <c r="B8" s="6" t="str">
        <f>'Inventory master'!B8</f>
        <v>Fusion Splicer</v>
      </c>
      <c r="C8" s="6" t="str">
        <f>'Inventory master'!C8</f>
        <v>Splicers</v>
      </c>
      <c r="D8" s="6" t="str">
        <f>'Inventory master'!D8</f>
        <v>Siemon</v>
      </c>
      <c r="E8" s="10">
        <f>'Inventory master'!E8</f>
        <v>435.21</v>
      </c>
      <c r="F8" s="10" t="str">
        <f>'Inventory master'!F8</f>
        <v>846.51</v>
      </c>
      <c r="G8" s="10" t="str">
        <f>'Inventory master'!G8</f>
        <v>52</v>
      </c>
      <c r="H8" s="8">
        <f>IFERROR(_xlfn.XLOOKUP(A8, 'Opening stock'!A8:A607, 'Opening stock'!E8:E607), "")</f>
        <v>780</v>
      </c>
      <c r="I8" s="8">
        <f>IFERROR(SUMIF(Table3[Item ID],'Inventory calculations'!A8,Table3[Quantity]),0)</f>
        <v>0</v>
      </c>
      <c r="J8" s="8">
        <f>IFERROR(SUMIF(Table4[Item ID],'Inventory calculations'!A8,Table4[Quantity Purchased]),0)</f>
        <v>2</v>
      </c>
      <c r="K8" s="10">
        <f t="shared" si="3"/>
        <v>782</v>
      </c>
      <c r="L8" s="6" t="str">
        <f t="shared" si="2"/>
        <v>OK</v>
      </c>
      <c r="M8" s="13">
        <f t="shared" si="0"/>
        <v>340334.22</v>
      </c>
      <c r="N8" s="8">
        <f>Table5[[#This Row],[Total Qty Sold]]*Table5[[#This Row],[Unit Price]]</f>
        <v>0</v>
      </c>
      <c r="O8" s="9"/>
      <c r="P8" s="40" t="str">
        <f ca="1">IF(Table5[[#This Row],[Last sale Date]]="","Never Sold",TODAY()-Table5[[#This Row],[Last sale Date]])</f>
        <v>Never Sold</v>
      </c>
      <c r="Q8" s="6" t="str">
        <f>IF(Table5[[#This Row],[Re order Level]]&lt;=Table5[[#This Row],[Current stock]],"ORDERASAP","OK BUT BE CHECKING")</f>
        <v>OK BUT BE CHECKING</v>
      </c>
      <c r="R8" s="6" t="str">
        <f t="shared" si="1"/>
        <v>ACTIVE</v>
      </c>
      <c r="S8" s="8">
        <f>IF(Table5[[#This Row],[DEADSTOCK FLAG]]="DEAD",Table5[[#This Row],[Inventory Value]],0)</f>
        <v>0</v>
      </c>
    </row>
    <row r="9" spans="1:19" x14ac:dyDescent="0.25">
      <c r="A9" s="24" t="str">
        <f>'Inventory master'!A9</f>
        <v>ITEM008-A</v>
      </c>
      <c r="B9" s="6" t="str">
        <f>'Inventory master'!B9</f>
        <v>Mechanical Splicer</v>
      </c>
      <c r="C9" s="6" t="str">
        <f>'Inventory master'!C9</f>
        <v>Splicers</v>
      </c>
      <c r="D9" s="6" t="str">
        <f>'Inventory master'!D9</f>
        <v>CommScope</v>
      </c>
      <c r="E9" s="10">
        <f>'Inventory master'!E9</f>
        <v>839.56</v>
      </c>
      <c r="F9" s="10" t="str">
        <f>'Inventory master'!F9</f>
        <v>1141.41</v>
      </c>
      <c r="G9" s="10" t="str">
        <f>'Inventory master'!G9</f>
        <v>54</v>
      </c>
      <c r="H9" s="8">
        <f>IFERROR(_xlfn.XLOOKUP(A9, 'Opening stock'!A9:A608, 'Opening stock'!E9:E608), "")</f>
        <v>810</v>
      </c>
      <c r="I9" s="8">
        <f>IFERROR(SUMIF(Table3[Item ID],'Inventory calculations'!A9,Table3[Quantity]),0)</f>
        <v>0</v>
      </c>
      <c r="J9" s="8">
        <f>IFERROR(SUMIF(Table4[Item ID],'Inventory calculations'!A9,Table4[Quantity Purchased]),0)</f>
        <v>6</v>
      </c>
      <c r="K9" s="10">
        <f t="shared" si="3"/>
        <v>816</v>
      </c>
      <c r="L9" s="6" t="str">
        <f t="shared" si="2"/>
        <v>OK</v>
      </c>
      <c r="M9" s="13">
        <f t="shared" si="0"/>
        <v>685080.96</v>
      </c>
      <c r="N9" s="8">
        <f>Table5[[#This Row],[Total Qty Sold]]*Table5[[#This Row],[Unit Price]]</f>
        <v>0</v>
      </c>
      <c r="O9" s="9"/>
      <c r="P9" s="40" t="str">
        <f ca="1">IF(Table5[[#This Row],[Last sale Date]]="","Never Sold",TODAY()-Table5[[#This Row],[Last sale Date]])</f>
        <v>Never Sold</v>
      </c>
      <c r="Q9" s="6" t="str">
        <f>IF(Table5[[#This Row],[Re order Level]]&lt;=Table5[[#This Row],[Current stock]],"ORDERASAP","OK BUT BE CHECKING")</f>
        <v>OK BUT BE CHECKING</v>
      </c>
      <c r="R9" s="6" t="str">
        <f t="shared" si="1"/>
        <v>ACTIVE</v>
      </c>
      <c r="S9" s="8">
        <f>IF(Table5[[#This Row],[DEADSTOCK FLAG]]="DEAD",Table5[[#This Row],[Inventory Value]],0)</f>
        <v>0</v>
      </c>
    </row>
    <row r="10" spans="1:19" x14ac:dyDescent="0.25">
      <c r="A10" s="24" t="str">
        <f>'Inventory master'!A10</f>
        <v>ITEM009-A</v>
      </c>
      <c r="B10" s="6" t="str">
        <f>'Inventory master'!B10</f>
        <v>48-Port Fiber Patch Panel</v>
      </c>
      <c r="C10" s="6" t="str">
        <f>'Inventory master'!C10</f>
        <v>Patch Panels</v>
      </c>
      <c r="D10" s="6" t="str">
        <f>'Inventory master'!D10</f>
        <v>CommScope</v>
      </c>
      <c r="E10" s="10">
        <f>'Inventory master'!E10</f>
        <v>494.2</v>
      </c>
      <c r="F10" s="10" t="str">
        <f>'Inventory master'!F10</f>
        <v>865.62</v>
      </c>
      <c r="G10" s="10" t="str">
        <f>'Inventory master'!G10</f>
        <v>43</v>
      </c>
      <c r="H10" s="8">
        <f>IFERROR(_xlfn.XLOOKUP(A10, 'Opening stock'!A10:A609, 'Opening stock'!E10:E609), "")</f>
        <v>645</v>
      </c>
      <c r="I10" s="8">
        <f>IFERROR(SUMIF(Table3[Item ID],'Inventory calculations'!A10,Table3[Quantity]),0)</f>
        <v>0</v>
      </c>
      <c r="J10" s="8">
        <f>IFERROR(SUMIF(Table4[Item ID],'Inventory calculations'!A10,Table4[Quantity Purchased]),0)</f>
        <v>0</v>
      </c>
      <c r="K10" s="10">
        <f t="shared" si="3"/>
        <v>645</v>
      </c>
      <c r="L10" s="6" t="str">
        <f t="shared" si="2"/>
        <v>OK</v>
      </c>
      <c r="M10" s="13">
        <f t="shared" si="0"/>
        <v>318759</v>
      </c>
      <c r="N10" s="8">
        <f>Table5[[#This Row],[Total Qty Sold]]*Table5[[#This Row],[Unit Price]]</f>
        <v>0</v>
      </c>
      <c r="O10" s="9"/>
      <c r="P10" s="40" t="str">
        <f ca="1">IF(Table5[[#This Row],[Last sale Date]]="","Never Sold",TODAY()-Table5[[#This Row],[Last sale Date]])</f>
        <v>Never Sold</v>
      </c>
      <c r="Q10" s="6" t="str">
        <f>IF(Table5[[#This Row],[Re order Level]]&lt;=Table5[[#This Row],[Current stock]],"ORDERASAP","OK BUT BE CHECKING")</f>
        <v>OK BUT BE CHECKING</v>
      </c>
      <c r="R10" s="6" t="str">
        <f t="shared" si="1"/>
        <v>ACTIVE</v>
      </c>
      <c r="S10" s="8">
        <f>IF(Table5[[#This Row],[DEADSTOCK FLAG]]="DEAD",Table5[[#This Row],[Inventory Value]],0)</f>
        <v>0</v>
      </c>
    </row>
    <row r="11" spans="1:19" x14ac:dyDescent="0.25">
      <c r="A11" s="24" t="str">
        <f>'Inventory master'!A11</f>
        <v>ITEM010-A</v>
      </c>
      <c r="B11" s="6" t="str">
        <f>'Inventory master'!B11</f>
        <v>96-Port Fiber Patch Panel</v>
      </c>
      <c r="C11" s="6" t="str">
        <f>'Inventory master'!C11</f>
        <v>Patch Panels</v>
      </c>
      <c r="D11" s="6" t="str">
        <f>'Inventory master'!D11</f>
        <v>AFL</v>
      </c>
      <c r="E11" s="10">
        <f>'Inventory master'!E11</f>
        <v>197.97</v>
      </c>
      <c r="F11" s="10" t="str">
        <f>'Inventory master'!F11</f>
        <v>277.51</v>
      </c>
      <c r="G11" s="10" t="str">
        <f>'Inventory master'!G11</f>
        <v>79</v>
      </c>
      <c r="H11" s="8">
        <f>IFERROR(_xlfn.XLOOKUP(A11, 'Opening stock'!A11:A610, 'Opening stock'!E11:E610), "")</f>
        <v>1185</v>
      </c>
      <c r="I11" s="8">
        <f>IFERROR(SUMIF(Table3[Item ID],'Inventory calculations'!A11,Table3[Quantity]),0)</f>
        <v>0</v>
      </c>
      <c r="J11" s="8">
        <f>IFERROR(SUMIF(Table4[Item ID],'Inventory calculations'!A11,Table4[Quantity Purchased]),0)</f>
        <v>0</v>
      </c>
      <c r="K11" s="10">
        <f t="shared" si="3"/>
        <v>1185</v>
      </c>
      <c r="L11" s="6" t="str">
        <f t="shared" si="2"/>
        <v>OK</v>
      </c>
      <c r="M11" s="13">
        <f t="shared" si="0"/>
        <v>234594.45</v>
      </c>
      <c r="N11" s="8">
        <f>Table5[[#This Row],[Total Qty Sold]]*Table5[[#This Row],[Unit Price]]</f>
        <v>0</v>
      </c>
      <c r="O11" s="9"/>
      <c r="P11" s="40" t="str">
        <f ca="1">IF(Table5[[#This Row],[Last sale Date]]="","Never Sold",TODAY()-Table5[[#This Row],[Last sale Date]])</f>
        <v>Never Sold</v>
      </c>
      <c r="Q11" s="6" t="str">
        <f>IF(Table5[[#This Row],[Re order Level]]&lt;=Table5[[#This Row],[Current stock]],"ORDERASAP","OK BUT BE CHECKING")</f>
        <v>OK BUT BE CHECKING</v>
      </c>
      <c r="R11" s="6" t="str">
        <f t="shared" si="1"/>
        <v>ACTIVE</v>
      </c>
      <c r="S11" s="8">
        <f>IF(Table5[[#This Row],[DEADSTOCK FLAG]]="DEAD",Table5[[#This Row],[Inventory Value]],0)</f>
        <v>0</v>
      </c>
    </row>
    <row r="12" spans="1:19" x14ac:dyDescent="0.25">
      <c r="A12" s="24" t="str">
        <f>'Inventory master'!A12</f>
        <v>ITEM011-A</v>
      </c>
      <c r="B12" s="6" t="str">
        <f>'Inventory master'!B12</f>
        <v>QSFP28 Transceiver</v>
      </c>
      <c r="C12" s="6" t="str">
        <f>'Inventory master'!C12</f>
        <v>Transceivers</v>
      </c>
      <c r="D12" s="6" t="str">
        <f>'Inventory master'!D12</f>
        <v>HellermannTyton</v>
      </c>
      <c r="E12" s="10">
        <f>'Inventory master'!E12</f>
        <v>622.51</v>
      </c>
      <c r="F12" s="10" t="str">
        <f>'Inventory master'!F12</f>
        <v>852.41</v>
      </c>
      <c r="G12" s="10" t="str">
        <f>'Inventory master'!G12</f>
        <v>64</v>
      </c>
      <c r="H12" s="8">
        <f>IFERROR(_xlfn.XLOOKUP(A12, 'Opening stock'!A12:A611, 'Opening stock'!E12:E611), "")</f>
        <v>960</v>
      </c>
      <c r="I12" s="8">
        <f>IFERROR(SUMIF(Table3[Item ID],'Inventory calculations'!A12,Table3[Quantity]),0)</f>
        <v>0</v>
      </c>
      <c r="J12" s="8">
        <f>IFERROR(SUMIF(Table4[Item ID],'Inventory calculations'!A12,Table4[Quantity Purchased]),0)</f>
        <v>0</v>
      </c>
      <c r="K12" s="10">
        <f t="shared" si="3"/>
        <v>960</v>
      </c>
      <c r="L12" s="6" t="str">
        <f t="shared" si="2"/>
        <v>OK</v>
      </c>
      <c r="M12" s="13">
        <f t="shared" si="0"/>
        <v>597609.6</v>
      </c>
      <c r="N12" s="8">
        <f>Table5[[#This Row],[Total Qty Sold]]*Table5[[#This Row],[Unit Price]]</f>
        <v>0</v>
      </c>
      <c r="O12" s="9"/>
      <c r="P12" s="40" t="str">
        <f ca="1">IF(Table5[[#This Row],[Last sale Date]]="","Never Sold",TODAY()-Table5[[#This Row],[Last sale Date]])</f>
        <v>Never Sold</v>
      </c>
      <c r="Q12" s="6" t="str">
        <f>IF(Table5[[#This Row],[Re order Level]]&lt;=Table5[[#This Row],[Current stock]],"ORDERASAP","OK BUT BE CHECKING")</f>
        <v>OK BUT BE CHECKING</v>
      </c>
      <c r="R12" s="6" t="str">
        <f t="shared" si="1"/>
        <v>ACTIVE</v>
      </c>
      <c r="S12" s="8">
        <f>IF(Table5[[#This Row],[DEADSTOCK FLAG]]="DEAD",Table5[[#This Row],[Inventory Value]],0)</f>
        <v>0</v>
      </c>
    </row>
    <row r="13" spans="1:19" x14ac:dyDescent="0.25">
      <c r="A13" s="24" t="str">
        <f>'Inventory master'!A13</f>
        <v>ITEM012-A</v>
      </c>
      <c r="B13" s="6" t="str">
        <f>'Inventory master'!B13</f>
        <v>12-Port Fiber Patch Panel</v>
      </c>
      <c r="C13" s="6" t="str">
        <f>'Inventory master'!C13</f>
        <v>Patch Panels</v>
      </c>
      <c r="D13" s="6" t="str">
        <f>'Inventory master'!D13</f>
        <v>Huber+Suhner</v>
      </c>
      <c r="E13" s="10">
        <f>'Inventory master'!E13</f>
        <v>1245.47</v>
      </c>
      <c r="F13" s="10" t="str">
        <f>'Inventory master'!F13</f>
        <v>1515.52</v>
      </c>
      <c r="G13" s="10" t="str">
        <f>'Inventory master'!G13</f>
        <v>39</v>
      </c>
      <c r="H13" s="8">
        <f>IFERROR(_xlfn.XLOOKUP(A13, 'Opening stock'!A13:A612, 'Opening stock'!E13:E612), "")</f>
        <v>585</v>
      </c>
      <c r="I13" s="8">
        <f>IFERROR(SUMIF(Table3[Item ID],'Inventory calculations'!A13,Table3[Quantity]),0)</f>
        <v>0</v>
      </c>
      <c r="J13" s="8">
        <f>IFERROR(SUMIF(Table4[Item ID],'Inventory calculations'!A13,Table4[Quantity Purchased]),0)</f>
        <v>8</v>
      </c>
      <c r="K13" s="10">
        <f t="shared" si="3"/>
        <v>593</v>
      </c>
      <c r="L13" s="6" t="str">
        <f t="shared" si="2"/>
        <v>OK</v>
      </c>
      <c r="M13" s="13">
        <f t="shared" si="0"/>
        <v>738563.71</v>
      </c>
      <c r="N13" s="8">
        <f>Table5[[#This Row],[Total Qty Sold]]*Table5[[#This Row],[Unit Price]]</f>
        <v>0</v>
      </c>
      <c r="O13" s="9"/>
      <c r="P13" s="40" t="str">
        <f ca="1">IF(Table5[[#This Row],[Last sale Date]]="","Never Sold",TODAY()-Table5[[#This Row],[Last sale Date]])</f>
        <v>Never Sold</v>
      </c>
      <c r="Q13" s="6" t="str">
        <f>IF(Table5[[#This Row],[Re order Level]]&lt;=Table5[[#This Row],[Current stock]],"ORDERASAP","OK BUT BE CHECKING")</f>
        <v>OK BUT BE CHECKING</v>
      </c>
      <c r="R13" s="6" t="str">
        <f t="shared" si="1"/>
        <v>ACTIVE</v>
      </c>
      <c r="S13" s="8">
        <f>IF(Table5[[#This Row],[DEADSTOCK FLAG]]="DEAD",Table5[[#This Row],[Inventory Value]],0)</f>
        <v>0</v>
      </c>
    </row>
    <row r="14" spans="1:19" x14ac:dyDescent="0.25">
      <c r="A14" s="24" t="str">
        <f>'Inventory master'!A14</f>
        <v>ITEM013-A</v>
      </c>
      <c r="B14" s="6" t="str">
        <f>'Inventory master'!B14</f>
        <v>LC APC Connector</v>
      </c>
      <c r="C14" s="6" t="str">
        <f>'Inventory master'!C14</f>
        <v>Connectors</v>
      </c>
      <c r="D14" s="6" t="str">
        <f>'Inventory master'!D14</f>
        <v>Siemon</v>
      </c>
      <c r="E14" s="10">
        <f>'Inventory master'!E14</f>
        <v>332.17</v>
      </c>
      <c r="F14" s="10" t="str">
        <f>'Inventory master'!F14</f>
        <v>567.28</v>
      </c>
      <c r="G14" s="10" t="str">
        <f>'Inventory master'!G14</f>
        <v>84</v>
      </c>
      <c r="H14" s="8">
        <f>IFERROR(_xlfn.XLOOKUP(A14, 'Opening stock'!A14:A613, 'Opening stock'!E14:E613), "")</f>
        <v>1260</v>
      </c>
      <c r="I14" s="8">
        <f>IFERROR(SUMIF(Table3[Item ID],'Inventory calculations'!A14,Table3[Quantity]),0)</f>
        <v>0</v>
      </c>
      <c r="J14" s="8">
        <f>IFERROR(SUMIF(Table4[Item ID],'Inventory calculations'!A14,Table4[Quantity Purchased]),0)</f>
        <v>0</v>
      </c>
      <c r="K14" s="10">
        <f t="shared" si="3"/>
        <v>1260</v>
      </c>
      <c r="L14" s="6" t="str">
        <f t="shared" si="2"/>
        <v>OK</v>
      </c>
      <c r="M14" s="13">
        <f t="shared" si="0"/>
        <v>418534.2</v>
      </c>
      <c r="N14" s="8">
        <f>Table5[[#This Row],[Total Qty Sold]]*Table5[[#This Row],[Unit Price]]</f>
        <v>0</v>
      </c>
      <c r="O14" s="9"/>
      <c r="P14" s="40" t="str">
        <f ca="1">IF(Table5[[#This Row],[Last sale Date]]="","Never Sold",TODAY()-Table5[[#This Row],[Last sale Date]])</f>
        <v>Never Sold</v>
      </c>
      <c r="Q14" s="6" t="str">
        <f>IF(Table5[[#This Row],[Re order Level]]&lt;=Table5[[#This Row],[Current stock]],"ORDERASAP","OK BUT BE CHECKING")</f>
        <v>OK BUT BE CHECKING</v>
      </c>
      <c r="R14" s="6" t="str">
        <f t="shared" si="1"/>
        <v>ACTIVE</v>
      </c>
      <c r="S14" s="8">
        <f>IF(Table5[[#This Row],[DEADSTOCK FLAG]]="DEAD",Table5[[#This Row],[Inventory Value]],0)</f>
        <v>0</v>
      </c>
    </row>
    <row r="15" spans="1:19" x14ac:dyDescent="0.25">
      <c r="A15" s="24" t="str">
        <f>'Inventory master'!A15</f>
        <v>ITEM014-A</v>
      </c>
      <c r="B15" s="6" t="str">
        <f>'Inventory master'!B15</f>
        <v>1x16 PLC Splitter</v>
      </c>
      <c r="C15" s="6" t="str">
        <f>'Inventory master'!C15</f>
        <v>Splitters</v>
      </c>
      <c r="D15" s="6" t="str">
        <f>'Inventory master'!D15</f>
        <v>HellermannTyton</v>
      </c>
      <c r="E15" s="10">
        <f>'Inventory master'!E15</f>
        <v>1172.0899999999999</v>
      </c>
      <c r="F15" s="10" t="str">
        <f>'Inventory master'!F15</f>
        <v>1796.09</v>
      </c>
      <c r="G15" s="10" t="str">
        <f>'Inventory master'!G15</f>
        <v>30</v>
      </c>
      <c r="H15" s="8">
        <f>IFERROR(_xlfn.XLOOKUP(A15, 'Opening stock'!A15:A614, 'Opening stock'!E15:E614), "")</f>
        <v>450</v>
      </c>
      <c r="I15" s="8">
        <f>IFERROR(SUMIF(Table3[Item ID],'Inventory calculations'!A15,Table3[Quantity]),0)</f>
        <v>0</v>
      </c>
      <c r="J15" s="8">
        <f>IFERROR(SUMIF(Table4[Item ID],'Inventory calculations'!A15,Table4[Quantity Purchased]),0)</f>
        <v>0</v>
      </c>
      <c r="K15" s="10">
        <f t="shared" si="3"/>
        <v>450</v>
      </c>
      <c r="L15" s="6" t="str">
        <f t="shared" si="2"/>
        <v>OK</v>
      </c>
      <c r="M15" s="13">
        <f t="shared" si="0"/>
        <v>527440.5</v>
      </c>
      <c r="N15" s="8">
        <f>Table5[[#This Row],[Total Qty Sold]]*Table5[[#This Row],[Unit Price]]</f>
        <v>0</v>
      </c>
      <c r="O15" s="9"/>
      <c r="P15" s="40" t="str">
        <f ca="1">IF(Table5[[#This Row],[Last sale Date]]="","Never Sold",TODAY()-Table5[[#This Row],[Last sale Date]])</f>
        <v>Never Sold</v>
      </c>
      <c r="Q15" s="6" t="str">
        <f>IF(Table5[[#This Row],[Re order Level]]&lt;=Table5[[#This Row],[Current stock]],"ORDERASAP","OK BUT BE CHECKING")</f>
        <v>OK BUT BE CHECKING</v>
      </c>
      <c r="R15" s="6" t="str">
        <f t="shared" si="1"/>
        <v>ACTIVE</v>
      </c>
      <c r="S15" s="8">
        <f>IF(Table5[[#This Row],[DEADSTOCK FLAG]]="DEAD",Table5[[#This Row],[Inventory Value]],0)</f>
        <v>0</v>
      </c>
    </row>
    <row r="16" spans="1:19" x14ac:dyDescent="0.25">
      <c r="A16" s="24" t="str">
        <f>'Inventory master'!A16</f>
        <v>ITEM015-A</v>
      </c>
      <c r="B16" s="6" t="str">
        <f>'Inventory master'!B16</f>
        <v>Fixed Attenuator 5dB</v>
      </c>
      <c r="C16" s="6" t="str">
        <f>'Inventory master'!C16</f>
        <v>Attenuators</v>
      </c>
      <c r="D16" s="6" t="str">
        <f>'Inventory master'!D16</f>
        <v>Belden</v>
      </c>
      <c r="E16" s="10">
        <f>'Inventory master'!E16</f>
        <v>612.21</v>
      </c>
      <c r="F16" s="10" t="str">
        <f>'Inventory master'!F16</f>
        <v>798.2</v>
      </c>
      <c r="G16" s="10" t="str">
        <f>'Inventory master'!G16</f>
        <v>83</v>
      </c>
      <c r="H16" s="8">
        <f>IFERROR(_xlfn.XLOOKUP(A16, 'Opening stock'!A16:A615, 'Opening stock'!E16:E615), "")</f>
        <v>1245</v>
      </c>
      <c r="I16" s="8">
        <f>IFERROR(SUMIF(Table3[Item ID],'Inventory calculations'!A16,Table3[Quantity]),0)</f>
        <v>0</v>
      </c>
      <c r="J16" s="8">
        <f>IFERROR(SUMIF(Table4[Item ID],'Inventory calculations'!A16,Table4[Quantity Purchased]),0)</f>
        <v>3</v>
      </c>
      <c r="K16" s="10">
        <f t="shared" si="3"/>
        <v>1248</v>
      </c>
      <c r="L16" s="6" t="str">
        <f t="shared" si="2"/>
        <v>OK</v>
      </c>
      <c r="M16" s="13">
        <f t="shared" si="0"/>
        <v>764038.08000000007</v>
      </c>
      <c r="N16" s="8">
        <f>Table5[[#This Row],[Total Qty Sold]]*Table5[[#This Row],[Unit Price]]</f>
        <v>0</v>
      </c>
      <c r="O16" s="9"/>
      <c r="P16" s="40" t="str">
        <f ca="1">IF(Table5[[#This Row],[Last sale Date]]="","Never Sold",TODAY()-Table5[[#This Row],[Last sale Date]])</f>
        <v>Never Sold</v>
      </c>
      <c r="Q16" s="6" t="str">
        <f>IF(Table5[[#This Row],[Re order Level]]&lt;=Table5[[#This Row],[Current stock]],"ORDERASAP","OK BUT BE CHECKING")</f>
        <v>OK BUT BE CHECKING</v>
      </c>
      <c r="R16" s="6" t="str">
        <f t="shared" si="1"/>
        <v>ACTIVE</v>
      </c>
      <c r="S16" s="8">
        <f>IF(Table5[[#This Row],[DEADSTOCK FLAG]]="DEAD",Table5[[#This Row],[Inventory Value]],0)</f>
        <v>0</v>
      </c>
    </row>
    <row r="17" spans="1:19" x14ac:dyDescent="0.25">
      <c r="A17" s="24" t="str">
        <f>'Inventory master'!A17</f>
        <v>ITEM016-A</v>
      </c>
      <c r="B17" s="6" t="str">
        <f>'Inventory master'!B17</f>
        <v>1x2 PLC Splitter</v>
      </c>
      <c r="C17" s="6" t="str">
        <f>'Inventory master'!C17</f>
        <v>Splitters</v>
      </c>
      <c r="D17" s="6" t="str">
        <f>'Inventory master'!D17</f>
        <v>Belden</v>
      </c>
      <c r="E17" s="10">
        <f>'Inventory master'!E17</f>
        <v>205.86</v>
      </c>
      <c r="F17" s="10" t="str">
        <f>'Inventory master'!F17</f>
        <v>256.58</v>
      </c>
      <c r="G17" s="10" t="str">
        <f>'Inventory master'!G17</f>
        <v>55</v>
      </c>
      <c r="H17" s="8">
        <f>IFERROR(_xlfn.XLOOKUP(A17, 'Opening stock'!A17:A616, 'Opening stock'!E17:E616), "")</f>
        <v>825</v>
      </c>
      <c r="I17" s="8">
        <f>IFERROR(SUMIF(Table3[Item ID],'Inventory calculations'!A17,Table3[Quantity]),0)</f>
        <v>0</v>
      </c>
      <c r="J17" s="8">
        <f>IFERROR(SUMIF(Table4[Item ID],'Inventory calculations'!A17,Table4[Quantity Purchased]),0)</f>
        <v>29</v>
      </c>
      <c r="K17" s="10">
        <f t="shared" si="3"/>
        <v>854</v>
      </c>
      <c r="L17" s="6" t="str">
        <f t="shared" si="2"/>
        <v>OK</v>
      </c>
      <c r="M17" s="13">
        <f t="shared" si="0"/>
        <v>175804.44</v>
      </c>
      <c r="N17" s="8">
        <f>Table5[[#This Row],[Total Qty Sold]]*Table5[[#This Row],[Unit Price]]</f>
        <v>0</v>
      </c>
      <c r="O17" s="9"/>
      <c r="P17" s="40" t="str">
        <f ca="1">IF(Table5[[#This Row],[Last sale Date]]="","Never Sold",TODAY()-Table5[[#This Row],[Last sale Date]])</f>
        <v>Never Sold</v>
      </c>
      <c r="Q17" s="6" t="str">
        <f>IF(Table5[[#This Row],[Re order Level]]&lt;=Table5[[#This Row],[Current stock]],"ORDERASAP","OK BUT BE CHECKING")</f>
        <v>OK BUT BE CHECKING</v>
      </c>
      <c r="R17" s="6" t="str">
        <f t="shared" si="1"/>
        <v>ACTIVE</v>
      </c>
      <c r="S17" s="8">
        <f>IF(Table5[[#This Row],[DEADSTOCK FLAG]]="DEAD",Table5[[#This Row],[Inventory Value]],0)</f>
        <v>0</v>
      </c>
    </row>
    <row r="18" spans="1:19" x14ac:dyDescent="0.25">
      <c r="A18" s="24" t="str">
        <f>'Inventory master'!A18</f>
        <v>ITEM017-A</v>
      </c>
      <c r="B18" s="6" t="str">
        <f>'Inventory master'!B18</f>
        <v>Mechanical Splicer</v>
      </c>
      <c r="C18" s="6" t="str">
        <f>'Inventory master'!C18</f>
        <v>Splicers</v>
      </c>
      <c r="D18" s="6" t="str">
        <f>'Inventory master'!D18</f>
        <v>TE Connectivity</v>
      </c>
      <c r="E18" s="10" t="str">
        <f>'Inventory master'!E18</f>
        <v>1484.52</v>
      </c>
      <c r="F18" s="10" t="str">
        <f>'Inventory master'!F18</f>
        <v>2666.95</v>
      </c>
      <c r="G18" s="10" t="str">
        <f>'Inventory master'!G18</f>
        <v>14</v>
      </c>
      <c r="H18" s="8">
        <f>IFERROR(_xlfn.XLOOKUP(A18, 'Opening stock'!A18:A617, 'Opening stock'!E18:E617), "")</f>
        <v>210</v>
      </c>
      <c r="I18" s="8">
        <f>IFERROR(SUMIF(Table3[Item ID],'Inventory calculations'!A18,Table3[Quantity]),0)</f>
        <v>0</v>
      </c>
      <c r="J18" s="8">
        <f>IFERROR(SUMIF(Table4[Item ID],'Inventory calculations'!A18,Table4[Quantity Purchased]),0)</f>
        <v>0</v>
      </c>
      <c r="K18" s="10">
        <f t="shared" si="3"/>
        <v>210</v>
      </c>
      <c r="L18" s="6" t="str">
        <f t="shared" si="2"/>
        <v>OK</v>
      </c>
      <c r="M18" s="13">
        <f t="shared" si="0"/>
        <v>311749.2</v>
      </c>
      <c r="N18" s="8">
        <f>Table5[[#This Row],[Total Qty Sold]]*Table5[[#This Row],[Unit Price]]</f>
        <v>0</v>
      </c>
      <c r="O18" s="9"/>
      <c r="P18" s="40" t="str">
        <f ca="1">IF(Table5[[#This Row],[Last sale Date]]="","Never Sold",TODAY()-Table5[[#This Row],[Last sale Date]])</f>
        <v>Never Sold</v>
      </c>
      <c r="Q18" s="6" t="str">
        <f>IF(Table5[[#This Row],[Re order Level]]&lt;=Table5[[#This Row],[Current stock]],"ORDERASAP","OK BUT BE CHECKING")</f>
        <v>OK BUT BE CHECKING</v>
      </c>
      <c r="R18" s="6" t="str">
        <f t="shared" si="1"/>
        <v>ACTIVE</v>
      </c>
      <c r="S18" s="8">
        <f>IF(Table5[[#This Row],[DEADSTOCK FLAG]]="DEAD",Table5[[#This Row],[Inventory Value]],0)</f>
        <v>0</v>
      </c>
    </row>
    <row r="19" spans="1:19" x14ac:dyDescent="0.25">
      <c r="A19" s="24" t="str">
        <f>'Inventory master'!A19</f>
        <v>ITEM018-A</v>
      </c>
      <c r="B19" s="6" t="str">
        <f>'Inventory master'!B19</f>
        <v>MTP UPC Connector</v>
      </c>
      <c r="C19" s="6" t="str">
        <f>'Inventory master'!C19</f>
        <v>Connectors</v>
      </c>
      <c r="D19" s="6" t="str">
        <f>'Inventory master'!D19</f>
        <v>AFL</v>
      </c>
      <c r="E19" s="10" t="str">
        <f>'Inventory master'!E19</f>
        <v>1714.17</v>
      </c>
      <c r="F19" s="10" t="str">
        <f>'Inventory master'!F19</f>
        <v>2046.34</v>
      </c>
      <c r="G19" s="10" t="str">
        <f>'Inventory master'!G19</f>
        <v>45</v>
      </c>
      <c r="H19" s="8">
        <f>IFERROR(_xlfn.XLOOKUP(A19, 'Opening stock'!A19:A618, 'Opening stock'!E19:E618), "")</f>
        <v>675</v>
      </c>
      <c r="I19" s="8">
        <f>IFERROR(SUMIF(Table3[Item ID],'Inventory calculations'!A19,Table3[Quantity]),0)</f>
        <v>0</v>
      </c>
      <c r="J19" s="8">
        <f>IFERROR(SUMIF(Table4[Item ID],'Inventory calculations'!A19,Table4[Quantity Purchased]),0)</f>
        <v>0</v>
      </c>
      <c r="K19" s="10">
        <f t="shared" si="3"/>
        <v>675</v>
      </c>
      <c r="L19" s="6" t="str">
        <f t="shared" si="2"/>
        <v>OK</v>
      </c>
      <c r="M19" s="13">
        <f t="shared" si="0"/>
        <v>1157064.75</v>
      </c>
      <c r="N19" s="8">
        <f>Table5[[#This Row],[Total Qty Sold]]*Table5[[#This Row],[Unit Price]]</f>
        <v>0</v>
      </c>
      <c r="O19" s="9"/>
      <c r="P19" s="40" t="str">
        <f ca="1">IF(Table5[[#This Row],[Last sale Date]]="","Never Sold",TODAY()-Table5[[#This Row],[Last sale Date]])</f>
        <v>Never Sold</v>
      </c>
      <c r="Q19" s="6" t="str">
        <f>IF(Table5[[#This Row],[Re order Level]]&lt;=Table5[[#This Row],[Current stock]],"ORDERASAP","OK BUT BE CHECKING")</f>
        <v>OK BUT BE CHECKING</v>
      </c>
      <c r="R19" s="6" t="str">
        <f t="shared" si="1"/>
        <v>ACTIVE</v>
      </c>
      <c r="S19" s="8">
        <f>IF(Table5[[#This Row],[DEADSTOCK FLAG]]="DEAD",Table5[[#This Row],[Inventory Value]],0)</f>
        <v>0</v>
      </c>
    </row>
    <row r="20" spans="1:19" x14ac:dyDescent="0.25">
      <c r="A20" s="24" t="str">
        <f>'Inventory master'!A20</f>
        <v>ITEM019-A</v>
      </c>
      <c r="B20" s="6" t="str">
        <f>'Inventory master'!B20</f>
        <v>24-Port Fiber Patch Panel</v>
      </c>
      <c r="C20" s="6" t="str">
        <f>'Inventory master'!C20</f>
        <v>Patch Panels</v>
      </c>
      <c r="D20" s="6" t="str">
        <f>'Inventory master'!D20</f>
        <v>TE Connectivity</v>
      </c>
      <c r="E20" s="10" t="str">
        <f>'Inventory master'!E20</f>
        <v>1773.05</v>
      </c>
      <c r="F20" s="10" t="str">
        <f>'Inventory master'!F20</f>
        <v>3098.97</v>
      </c>
      <c r="G20" s="10" t="str">
        <f>'Inventory master'!G20</f>
        <v>45</v>
      </c>
      <c r="H20" s="8">
        <f>IFERROR(_xlfn.XLOOKUP(A20, 'Opening stock'!A20:A619, 'Opening stock'!E20:E619), "")</f>
        <v>675</v>
      </c>
      <c r="I20" s="8">
        <f>IFERROR(SUMIF(Table3[Item ID],'Inventory calculations'!A20,Table3[Quantity]),0)</f>
        <v>0</v>
      </c>
      <c r="J20" s="8">
        <f>IFERROR(SUMIF(Table4[Item ID],'Inventory calculations'!A20,Table4[Quantity Purchased]),0)</f>
        <v>0</v>
      </c>
      <c r="K20" s="10">
        <f t="shared" si="3"/>
        <v>675</v>
      </c>
      <c r="L20" s="6" t="str">
        <f t="shared" si="2"/>
        <v>OK</v>
      </c>
      <c r="M20" s="13">
        <f t="shared" si="0"/>
        <v>1196808.75</v>
      </c>
      <c r="N20" s="8">
        <f>Table5[[#This Row],[Total Qty Sold]]*Table5[[#This Row],[Unit Price]]</f>
        <v>0</v>
      </c>
      <c r="O20" s="9"/>
      <c r="P20" s="40" t="str">
        <f ca="1">IF(Table5[[#This Row],[Last sale Date]]="","Never Sold",TODAY()-Table5[[#This Row],[Last sale Date]])</f>
        <v>Never Sold</v>
      </c>
      <c r="Q20" s="6" t="str">
        <f>IF(Table5[[#This Row],[Re order Level]]&lt;=Table5[[#This Row],[Current stock]],"ORDERASAP","OK BUT BE CHECKING")</f>
        <v>OK BUT BE CHECKING</v>
      </c>
      <c r="R20" s="6" t="str">
        <f t="shared" si="1"/>
        <v>ACTIVE</v>
      </c>
      <c r="S20" s="8">
        <f>IF(Table5[[#This Row],[DEADSTOCK FLAG]]="DEAD",Table5[[#This Row],[Inventory Value]],0)</f>
        <v>0</v>
      </c>
    </row>
    <row r="21" spans="1:19" x14ac:dyDescent="0.25">
      <c r="A21" s="24" t="str">
        <f>'Inventory master'!A21</f>
        <v>ITEM020-A</v>
      </c>
      <c r="B21" s="6" t="str">
        <f>'Inventory master'!B21</f>
        <v>96-Port Fiber Patch Panel</v>
      </c>
      <c r="C21" s="6" t="str">
        <f>'Inventory master'!C21</f>
        <v>Patch Panels</v>
      </c>
      <c r="D21" s="6" t="str">
        <f>'Inventory master'!D21</f>
        <v>Prysmian Group</v>
      </c>
      <c r="E21" s="10" t="str">
        <f>'Inventory master'!E21</f>
        <v>577.51</v>
      </c>
      <c r="F21" s="10" t="str">
        <f>'Inventory master'!F21</f>
        <v>1028.16</v>
      </c>
      <c r="G21" s="10" t="str">
        <f>'Inventory master'!G21</f>
        <v>47</v>
      </c>
      <c r="H21" s="8">
        <f>IFERROR(_xlfn.XLOOKUP(A21, 'Opening stock'!A21:A620, 'Opening stock'!E21:E620), "")</f>
        <v>705</v>
      </c>
      <c r="I21" s="8">
        <f>IFERROR(SUMIF(Table3[Item ID],'Inventory calculations'!A21,Table3[Quantity]),0)</f>
        <v>0</v>
      </c>
      <c r="J21" s="8">
        <f>IFERROR(SUMIF(Table4[Item ID],'Inventory calculations'!A21,Table4[Quantity Purchased]),0)</f>
        <v>13</v>
      </c>
      <c r="K21" s="10">
        <f t="shared" si="3"/>
        <v>718</v>
      </c>
      <c r="L21" s="6" t="str">
        <f t="shared" si="2"/>
        <v>OK</v>
      </c>
      <c r="M21" s="13">
        <f t="shared" si="0"/>
        <v>414652.18</v>
      </c>
      <c r="N21" s="8">
        <f>Table5[[#This Row],[Total Qty Sold]]*Table5[[#This Row],[Unit Price]]</f>
        <v>0</v>
      </c>
      <c r="O21" s="9"/>
      <c r="P21" s="40" t="str">
        <f ca="1">IF(Table5[[#This Row],[Last sale Date]]="","Never Sold",TODAY()-Table5[[#This Row],[Last sale Date]])</f>
        <v>Never Sold</v>
      </c>
      <c r="Q21" s="6" t="str">
        <f>IF(Table5[[#This Row],[Re order Level]]&lt;=Table5[[#This Row],[Current stock]],"ORDERASAP","OK BUT BE CHECKING")</f>
        <v>OK BUT BE CHECKING</v>
      </c>
      <c r="R21" s="6" t="str">
        <f t="shared" si="1"/>
        <v>ACTIVE</v>
      </c>
      <c r="S21" s="8">
        <f>IF(Table5[[#This Row],[DEADSTOCK FLAG]]="DEAD",Table5[[#This Row],[Inventory Value]],0)</f>
        <v>0</v>
      </c>
    </row>
    <row r="22" spans="1:19" x14ac:dyDescent="0.25">
      <c r="A22" s="24" t="str">
        <f>'Inventory master'!A22</f>
        <v>ITEM021-A</v>
      </c>
      <c r="B22" s="6" t="str">
        <f>'Inventory master'!B22</f>
        <v>Fusion Splicer</v>
      </c>
      <c r="C22" s="6" t="str">
        <f>'Inventory master'!C22</f>
        <v>Splicers</v>
      </c>
      <c r="D22" s="6" t="str">
        <f>'Inventory master'!D22</f>
        <v>Corning Inc.</v>
      </c>
      <c r="E22" s="10" t="str">
        <f>'Inventory master'!E22</f>
        <v>1448.33</v>
      </c>
      <c r="F22" s="10" t="str">
        <f>'Inventory master'!F22</f>
        <v>2578.14</v>
      </c>
      <c r="G22" s="10" t="str">
        <f>'Inventory master'!G22</f>
        <v>59</v>
      </c>
      <c r="H22" s="8">
        <f>IFERROR(_xlfn.XLOOKUP(A22, 'Opening stock'!A22:A621, 'Opening stock'!E22:E621), "")</f>
        <v>885</v>
      </c>
      <c r="I22" s="8">
        <f>IFERROR(SUMIF(Table3[Item ID],'Inventory calculations'!A22,Table3[Quantity]),0)</f>
        <v>0</v>
      </c>
      <c r="J22" s="8">
        <f>IFERROR(SUMIF(Table4[Item ID],'Inventory calculations'!A22,Table4[Quantity Purchased]),0)</f>
        <v>0</v>
      </c>
      <c r="K22" s="10">
        <f t="shared" si="3"/>
        <v>885</v>
      </c>
      <c r="L22" s="6" t="str">
        <f t="shared" si="2"/>
        <v>OK</v>
      </c>
      <c r="M22" s="13">
        <f t="shared" si="0"/>
        <v>1281772.05</v>
      </c>
      <c r="N22" s="8">
        <f>Table5[[#This Row],[Total Qty Sold]]*Table5[[#This Row],[Unit Price]]</f>
        <v>0</v>
      </c>
      <c r="O22" s="9"/>
      <c r="P22" s="40" t="str">
        <f ca="1">IF(Table5[[#This Row],[Last sale Date]]="","Never Sold",TODAY()-Table5[[#This Row],[Last sale Date]])</f>
        <v>Never Sold</v>
      </c>
      <c r="Q22" s="6" t="str">
        <f>IF(Table5[[#This Row],[Re order Level]]&lt;=Table5[[#This Row],[Current stock]],"ORDERASAP","OK BUT BE CHECKING")</f>
        <v>OK BUT BE CHECKING</v>
      </c>
      <c r="R22" s="6" t="str">
        <f t="shared" si="1"/>
        <v>ACTIVE</v>
      </c>
      <c r="S22" s="8">
        <f>IF(Table5[[#This Row],[DEADSTOCK FLAG]]="DEAD",Table5[[#This Row],[Inventory Value]],0)</f>
        <v>0</v>
      </c>
    </row>
    <row r="23" spans="1:19" x14ac:dyDescent="0.25">
      <c r="A23" s="24" t="str">
        <f>'Inventory master'!A23</f>
        <v>ITEM022-A</v>
      </c>
      <c r="B23" s="6" t="str">
        <f>'Inventory master'!B23</f>
        <v>CFP Transceiver</v>
      </c>
      <c r="C23" s="6" t="str">
        <f>'Inventory master'!C23</f>
        <v>Transceivers</v>
      </c>
      <c r="D23" s="6" t="str">
        <f>'Inventory master'!D23</f>
        <v>Panduit</v>
      </c>
      <c r="E23" s="10" t="str">
        <f>'Inventory master'!E23</f>
        <v>737.06</v>
      </c>
      <c r="F23" s="10" t="str">
        <f>'Inventory master'!F23</f>
        <v>844.2</v>
      </c>
      <c r="G23" s="10" t="str">
        <f>'Inventory master'!G23</f>
        <v>50</v>
      </c>
      <c r="H23" s="8">
        <f>IFERROR(_xlfn.XLOOKUP(A23, 'Opening stock'!A23:A622, 'Opening stock'!E23:E622), "")</f>
        <v>750</v>
      </c>
      <c r="I23" s="8">
        <f>IFERROR(SUMIF(Table3[Item ID],'Inventory calculations'!A23,Table3[Quantity]),0)</f>
        <v>0</v>
      </c>
      <c r="J23" s="8">
        <f>IFERROR(SUMIF(Table4[Item ID],'Inventory calculations'!A23,Table4[Quantity Purchased]),0)</f>
        <v>21</v>
      </c>
      <c r="K23" s="10">
        <f t="shared" si="3"/>
        <v>771</v>
      </c>
      <c r="L23" s="6" t="str">
        <f t="shared" si="2"/>
        <v>OK</v>
      </c>
      <c r="M23" s="13">
        <f t="shared" si="0"/>
        <v>568273.26</v>
      </c>
      <c r="N23" s="8">
        <f>Table5[[#This Row],[Total Qty Sold]]*Table5[[#This Row],[Unit Price]]</f>
        <v>0</v>
      </c>
      <c r="O23" s="9"/>
      <c r="P23" s="40" t="str">
        <f ca="1">IF(Table5[[#This Row],[Last sale Date]]="","Never Sold",TODAY()-Table5[[#This Row],[Last sale Date]])</f>
        <v>Never Sold</v>
      </c>
      <c r="Q23" s="6" t="str">
        <f>IF(Table5[[#This Row],[Re order Level]]&lt;=Table5[[#This Row],[Current stock]],"ORDERASAP","OK BUT BE CHECKING")</f>
        <v>OK BUT BE CHECKING</v>
      </c>
      <c r="R23" s="6" t="str">
        <f t="shared" si="1"/>
        <v>ACTIVE</v>
      </c>
      <c r="S23" s="8">
        <f>IF(Table5[[#This Row],[DEADSTOCK FLAG]]="DEAD",Table5[[#This Row],[Inventory Value]],0)</f>
        <v>0</v>
      </c>
    </row>
    <row r="24" spans="1:19" x14ac:dyDescent="0.25">
      <c r="A24" s="24" t="str">
        <f>'Inventory master'!A24</f>
        <v>ITEM023-A</v>
      </c>
      <c r="B24" s="6" t="str">
        <f>'Inventory master'!B24</f>
        <v>1x2 PLC Splitter</v>
      </c>
      <c r="C24" s="6" t="str">
        <f>'Inventory master'!C24</f>
        <v>Splitters</v>
      </c>
      <c r="D24" s="6" t="str">
        <f>'Inventory master'!D24</f>
        <v>Siemon</v>
      </c>
      <c r="E24" s="10" t="str">
        <f>'Inventory master'!E24</f>
        <v>839.54</v>
      </c>
      <c r="F24" s="10" t="str">
        <f>'Inventory master'!F24</f>
        <v>1239.65</v>
      </c>
      <c r="G24" s="10" t="str">
        <f>'Inventory master'!G24</f>
        <v>28</v>
      </c>
      <c r="H24" s="8">
        <f>IFERROR(_xlfn.XLOOKUP(A24, 'Opening stock'!A24:A623, 'Opening stock'!E24:E623), "")</f>
        <v>420</v>
      </c>
      <c r="I24" s="8">
        <f>IFERROR(SUMIF(Table3[Item ID],'Inventory calculations'!A24,Table3[Quantity]),0)</f>
        <v>0</v>
      </c>
      <c r="J24" s="8">
        <f>IFERROR(SUMIF(Table4[Item ID],'Inventory calculations'!A24,Table4[Quantity Purchased]),0)</f>
        <v>0</v>
      </c>
      <c r="K24" s="10">
        <f t="shared" si="3"/>
        <v>420</v>
      </c>
      <c r="L24" s="6" t="str">
        <f t="shared" si="2"/>
        <v>OK</v>
      </c>
      <c r="M24" s="13">
        <f t="shared" si="0"/>
        <v>352606.8</v>
      </c>
      <c r="N24" s="8">
        <f>Table5[[#This Row],[Total Qty Sold]]*Table5[[#This Row],[Unit Price]]</f>
        <v>0</v>
      </c>
      <c r="O24" s="9"/>
      <c r="P24" s="40" t="str">
        <f ca="1">IF(Table5[[#This Row],[Last sale Date]]="","Never Sold",TODAY()-Table5[[#This Row],[Last sale Date]])</f>
        <v>Never Sold</v>
      </c>
      <c r="Q24" s="6" t="str">
        <f>IF(Table5[[#This Row],[Re order Level]]&lt;=Table5[[#This Row],[Current stock]],"ORDERASAP","OK BUT BE CHECKING")</f>
        <v>OK BUT BE CHECKING</v>
      </c>
      <c r="R24" s="6" t="str">
        <f t="shared" si="1"/>
        <v>ACTIVE</v>
      </c>
      <c r="S24" s="8">
        <f>IF(Table5[[#This Row],[DEADSTOCK FLAG]]="DEAD",Table5[[#This Row],[Inventory Value]],0)</f>
        <v>0</v>
      </c>
    </row>
    <row r="25" spans="1:19" x14ac:dyDescent="0.25">
      <c r="A25" s="24" t="str">
        <f>'Inventory master'!A25</f>
        <v>ITEM024-A</v>
      </c>
      <c r="B25" s="6" t="str">
        <f>'Inventory master'!B25</f>
        <v>1x32 PLC Splitter</v>
      </c>
      <c r="C25" s="6" t="str">
        <f>'Inventory master'!C25</f>
        <v>Splitters</v>
      </c>
      <c r="D25" s="6" t="str">
        <f>'Inventory master'!D25</f>
        <v>TE Connectivity</v>
      </c>
      <c r="E25" s="10" t="str">
        <f>'Inventory master'!E25</f>
        <v>181.76</v>
      </c>
      <c r="F25" s="10" t="str">
        <f>'Inventory master'!F25</f>
        <v>301.07</v>
      </c>
      <c r="G25" s="10" t="str">
        <f>'Inventory master'!G25</f>
        <v>49</v>
      </c>
      <c r="H25" s="8">
        <f>IFERROR(_xlfn.XLOOKUP(A25, 'Opening stock'!A25:A624, 'Opening stock'!E25:E624), "")</f>
        <v>735</v>
      </c>
      <c r="I25" s="8">
        <f>IFERROR(SUMIF(Table3[Item ID],'Inventory calculations'!A25,Table3[Quantity]),0)</f>
        <v>0</v>
      </c>
      <c r="J25" s="8">
        <f>IFERROR(SUMIF(Table4[Item ID],'Inventory calculations'!A25,Table4[Quantity Purchased]),0)</f>
        <v>0</v>
      </c>
      <c r="K25" s="10">
        <f t="shared" si="3"/>
        <v>735</v>
      </c>
      <c r="L25" s="6" t="str">
        <f t="shared" si="2"/>
        <v>OK</v>
      </c>
      <c r="M25" s="13">
        <f t="shared" si="0"/>
        <v>133593.60000000001</v>
      </c>
      <c r="N25" s="8">
        <f>Table5[[#This Row],[Total Qty Sold]]*Table5[[#This Row],[Unit Price]]</f>
        <v>0</v>
      </c>
      <c r="O25" s="9"/>
      <c r="P25" s="40" t="str">
        <f ca="1">IF(Table5[[#This Row],[Last sale Date]]="","Never Sold",TODAY()-Table5[[#This Row],[Last sale Date]])</f>
        <v>Never Sold</v>
      </c>
      <c r="Q25" s="6" t="str">
        <f>IF(Table5[[#This Row],[Re order Level]]&lt;=Table5[[#This Row],[Current stock]],"ORDERASAP","OK BUT BE CHECKING")</f>
        <v>OK BUT BE CHECKING</v>
      </c>
      <c r="R25" s="6" t="str">
        <f t="shared" si="1"/>
        <v>ACTIVE</v>
      </c>
      <c r="S25" s="8">
        <f>IF(Table5[[#This Row],[DEADSTOCK FLAG]]="DEAD",Table5[[#This Row],[Inventory Value]],0)</f>
        <v>0</v>
      </c>
    </row>
    <row r="26" spans="1:19" x14ac:dyDescent="0.25">
      <c r="A26" s="24" t="str">
        <f>'Inventory master'!A26</f>
        <v>ITEM025-A</v>
      </c>
      <c r="B26" s="6" t="str">
        <f>'Inventory master'!B26</f>
        <v>48-Port Fiber Patch Panel</v>
      </c>
      <c r="C26" s="6" t="str">
        <f>'Inventory master'!C26</f>
        <v>Patch Panels</v>
      </c>
      <c r="D26" s="6" t="str">
        <f>'Inventory master'!D26</f>
        <v>Prysmian Group</v>
      </c>
      <c r="E26" s="10" t="str">
        <f>'Inventory master'!E26</f>
        <v>996.3</v>
      </c>
      <c r="F26" s="10" t="str">
        <f>'Inventory master'!F26</f>
        <v>1436.94</v>
      </c>
      <c r="G26" s="10" t="str">
        <f>'Inventory master'!G26</f>
        <v>33</v>
      </c>
      <c r="H26" s="8">
        <f>IFERROR(_xlfn.XLOOKUP(A26, 'Opening stock'!A26:A625, 'Opening stock'!E26:E625), "")</f>
        <v>495</v>
      </c>
      <c r="I26" s="8">
        <f>IFERROR(SUMIF(Table3[Item ID],'Inventory calculations'!A26,Table3[Quantity]),0)</f>
        <v>20</v>
      </c>
      <c r="J26" s="8">
        <f>IFERROR(SUMIF(Table4[Item ID],'Inventory calculations'!A26,Table4[Quantity Purchased]),0)</f>
        <v>0</v>
      </c>
      <c r="K26" s="10">
        <f t="shared" si="3"/>
        <v>475</v>
      </c>
      <c r="L26" s="6" t="str">
        <f t="shared" si="2"/>
        <v>OK</v>
      </c>
      <c r="M26" s="13">
        <f t="shared" si="0"/>
        <v>473242.5</v>
      </c>
      <c r="N26" s="8">
        <f>Table5[[#This Row],[Total Qty Sold]]*Table5[[#This Row],[Unit Price]]</f>
        <v>28738.800000000003</v>
      </c>
      <c r="O26" s="9">
        <f>IFERROR(_xlfn.MAXIFS(Table3[Date],Table3[Item ID],Table5[[#This Row],[Item ID]]),"")</f>
        <v>45333</v>
      </c>
      <c r="P26" s="40">
        <f ca="1">IF(Table5[[#This Row],[Last sale Date]]="","Never Sold",TODAY()-Table5[[#This Row],[Last sale Date]])</f>
        <v>719</v>
      </c>
      <c r="Q26" s="6" t="str">
        <f>IF(Table5[[#This Row],[Re order Level]]&lt;=Table5[[#This Row],[Current stock]],"ORDERASAP","OK BUT BE CHECKING")</f>
        <v>OK BUT BE CHECKING</v>
      </c>
      <c r="R26" s="6" t="str">
        <f t="shared" si="1"/>
        <v>ACTIVE</v>
      </c>
      <c r="S26" s="8">
        <f>IF(Table5[[#This Row],[DEADSTOCK FLAG]]="DEAD",Table5[[#This Row],[Inventory Value]],0)</f>
        <v>0</v>
      </c>
    </row>
    <row r="27" spans="1:19" x14ac:dyDescent="0.25">
      <c r="A27" s="24" t="str">
        <f>'Inventory master'!A27</f>
        <v>ITEM026-A</v>
      </c>
      <c r="B27" s="6" t="str">
        <f>'Inventory master'!B27</f>
        <v>FC APC Connector</v>
      </c>
      <c r="C27" s="6" t="str">
        <f>'Inventory master'!C27</f>
        <v>Connectors</v>
      </c>
      <c r="D27" s="6" t="str">
        <f>'Inventory master'!D27</f>
        <v>AFL</v>
      </c>
      <c r="E27" s="10" t="str">
        <f>'Inventory master'!E27</f>
        <v>630.68</v>
      </c>
      <c r="F27" s="10" t="str">
        <f>'Inventory master'!F27</f>
        <v>1168.53</v>
      </c>
      <c r="G27" s="10" t="str">
        <f>'Inventory master'!G27</f>
        <v>16</v>
      </c>
      <c r="H27" s="8">
        <f>IFERROR(_xlfn.XLOOKUP(A27, 'Opening stock'!A27:A626, 'Opening stock'!E27:E626), "")</f>
        <v>240</v>
      </c>
      <c r="I27" s="8">
        <f>IFERROR(SUMIF(Table3[Item ID],'Inventory calculations'!A27,Table3[Quantity]),0)</f>
        <v>0</v>
      </c>
      <c r="J27" s="8">
        <f>IFERROR(SUMIF(Table4[Item ID],'Inventory calculations'!A27,Table4[Quantity Purchased]),0)</f>
        <v>0</v>
      </c>
      <c r="K27" s="10">
        <f t="shared" si="3"/>
        <v>240</v>
      </c>
      <c r="L27" s="6" t="str">
        <f t="shared" si="2"/>
        <v>OK</v>
      </c>
      <c r="M27" s="13">
        <f t="shared" si="0"/>
        <v>151363.19999999998</v>
      </c>
      <c r="N27" s="8">
        <f>Table5[[#This Row],[Total Qty Sold]]*Table5[[#This Row],[Unit Price]]</f>
        <v>0</v>
      </c>
      <c r="O27" s="9"/>
      <c r="P27" s="40" t="str">
        <f ca="1">IF(Table5[[#This Row],[Last sale Date]]="","Never Sold",TODAY()-Table5[[#This Row],[Last sale Date]])</f>
        <v>Never Sold</v>
      </c>
      <c r="Q27" s="6" t="str">
        <f>IF(Table5[[#This Row],[Re order Level]]&lt;=Table5[[#This Row],[Current stock]],"ORDERASAP","OK BUT BE CHECKING")</f>
        <v>OK BUT BE CHECKING</v>
      </c>
      <c r="R27" s="6" t="str">
        <f t="shared" si="1"/>
        <v>ACTIVE</v>
      </c>
      <c r="S27" s="8">
        <f>IF(Table5[[#This Row],[DEADSTOCK FLAG]]="DEAD",Table5[[#This Row],[Inventory Value]],0)</f>
        <v>0</v>
      </c>
    </row>
    <row r="28" spans="1:19" x14ac:dyDescent="0.25">
      <c r="A28" s="24" t="str">
        <f>'Inventory master'!A28</f>
        <v>ITEM027-A</v>
      </c>
      <c r="B28" s="6" t="str">
        <f>'Inventory master'!B28</f>
        <v>Armored Fiber Cable 200m</v>
      </c>
      <c r="C28" s="6" t="str">
        <f>'Inventory master'!C28</f>
        <v>Fiber Optic Cables</v>
      </c>
      <c r="D28" s="6" t="str">
        <f>'Inventory master'!D28</f>
        <v>Leviton</v>
      </c>
      <c r="E28" s="10" t="str">
        <f>'Inventory master'!E28</f>
        <v>1075.74</v>
      </c>
      <c r="F28" s="10" t="str">
        <f>'Inventory master'!F28</f>
        <v>1742.62</v>
      </c>
      <c r="G28" s="10" t="str">
        <f>'Inventory master'!G28</f>
        <v>15</v>
      </c>
      <c r="H28" s="8">
        <f>IFERROR(_xlfn.XLOOKUP(A28, 'Opening stock'!A28:A627, 'Opening stock'!E28:E627), "")</f>
        <v>225</v>
      </c>
      <c r="I28" s="8">
        <f>IFERROR(SUMIF(Table3[Item ID],'Inventory calculations'!A28,Table3[Quantity]),0)</f>
        <v>0</v>
      </c>
      <c r="J28" s="8">
        <f>IFERROR(SUMIF(Table4[Item ID],'Inventory calculations'!A28,Table4[Quantity Purchased]),0)</f>
        <v>0</v>
      </c>
      <c r="K28" s="10">
        <f t="shared" si="3"/>
        <v>225</v>
      </c>
      <c r="L28" s="6" t="str">
        <f t="shared" si="2"/>
        <v>OK</v>
      </c>
      <c r="M28" s="13">
        <f t="shared" si="0"/>
        <v>242041.5</v>
      </c>
      <c r="N28" s="8">
        <f>Table5[[#This Row],[Total Qty Sold]]*Table5[[#This Row],[Unit Price]]</f>
        <v>0</v>
      </c>
      <c r="O28" s="9"/>
      <c r="P28" s="40" t="str">
        <f ca="1">IF(Table5[[#This Row],[Last sale Date]]="","Never Sold",TODAY()-Table5[[#This Row],[Last sale Date]])</f>
        <v>Never Sold</v>
      </c>
      <c r="Q28" s="6" t="str">
        <f>IF(Table5[[#This Row],[Re order Level]]&lt;=Table5[[#This Row],[Current stock]],"ORDERASAP","OK BUT BE CHECKING")</f>
        <v>OK BUT BE CHECKING</v>
      </c>
      <c r="R28" s="6" t="str">
        <f t="shared" si="1"/>
        <v>ACTIVE</v>
      </c>
      <c r="S28" s="8">
        <f>IF(Table5[[#This Row],[DEADSTOCK FLAG]]="DEAD",Table5[[#This Row],[Inventory Value]],0)</f>
        <v>0</v>
      </c>
    </row>
    <row r="29" spans="1:19" x14ac:dyDescent="0.25">
      <c r="A29" s="24" t="str">
        <f>'Inventory master'!A29</f>
        <v>ITEM028-A</v>
      </c>
      <c r="B29" s="6" t="str">
        <f>'Inventory master'!B29</f>
        <v>ST UPC Connector</v>
      </c>
      <c r="C29" s="6" t="str">
        <f>'Inventory master'!C29</f>
        <v>Connectors</v>
      </c>
      <c r="D29" s="6" t="str">
        <f>'Inventory master'!D29</f>
        <v>Prysmian Group</v>
      </c>
      <c r="E29" s="10" t="str">
        <f>'Inventory master'!E29</f>
        <v>1249.66</v>
      </c>
      <c r="F29" s="10" t="str">
        <f>'Inventory master'!F29</f>
        <v>1832.34</v>
      </c>
      <c r="G29" s="10" t="str">
        <f>'Inventory master'!G29</f>
        <v>20</v>
      </c>
      <c r="H29" s="8">
        <f>IFERROR(_xlfn.XLOOKUP(A29, 'Opening stock'!A29:A628, 'Opening stock'!E29:E628), "")</f>
        <v>300</v>
      </c>
      <c r="I29" s="8">
        <f>IFERROR(SUMIF(Table3[Item ID],'Inventory calculations'!A29,Table3[Quantity]),0)</f>
        <v>18</v>
      </c>
      <c r="J29" s="8">
        <f>IFERROR(SUMIF(Table4[Item ID],'Inventory calculations'!A29,Table4[Quantity Purchased]),0)</f>
        <v>20</v>
      </c>
      <c r="K29" s="10">
        <f t="shared" si="3"/>
        <v>302</v>
      </c>
      <c r="L29" s="6" t="str">
        <f t="shared" si="2"/>
        <v>OK</v>
      </c>
      <c r="M29" s="13">
        <f t="shared" si="0"/>
        <v>377397.32</v>
      </c>
      <c r="N29" s="8">
        <f>Table5[[#This Row],[Total Qty Sold]]*Table5[[#This Row],[Unit Price]]</f>
        <v>32982.119999999995</v>
      </c>
      <c r="O29" s="9">
        <f>IFERROR(_xlfn.MAXIFS(Table3[Date],Table3[Item ID],Table5[[#This Row],[Item ID]]),"")</f>
        <v>45809</v>
      </c>
      <c r="P29" s="40">
        <f ca="1">IF(Table5[[#This Row],[Last sale Date]]="","Never Sold",TODAY()-Table5[[#This Row],[Last sale Date]])</f>
        <v>243</v>
      </c>
      <c r="Q29" s="6" t="str">
        <f>IF(Table5[[#This Row],[Re order Level]]&lt;=Table5[[#This Row],[Current stock]],"ORDERASAP","OK BUT BE CHECKING")</f>
        <v>OK BUT BE CHECKING</v>
      </c>
      <c r="R29" s="6" t="str">
        <f t="shared" si="1"/>
        <v>ACTIVE</v>
      </c>
      <c r="S29" s="8">
        <f>IF(Table5[[#This Row],[DEADSTOCK FLAG]]="DEAD",Table5[[#This Row],[Inventory Value]],0)</f>
        <v>0</v>
      </c>
    </row>
    <row r="30" spans="1:19" x14ac:dyDescent="0.25">
      <c r="A30" s="24" t="str">
        <f>'Inventory master'!A30</f>
        <v>ITEM029-A</v>
      </c>
      <c r="B30" s="6" t="str">
        <f>'Inventory master'!B30</f>
        <v>12-Port Fiber Patch Panel</v>
      </c>
      <c r="C30" s="6" t="str">
        <f>'Inventory master'!C30</f>
        <v>Patch Panels</v>
      </c>
      <c r="D30" s="6" t="str">
        <f>'Inventory master'!D30</f>
        <v>Corning Inc.</v>
      </c>
      <c r="E30" s="10" t="str">
        <f>'Inventory master'!E30</f>
        <v>1997.37</v>
      </c>
      <c r="F30" s="10" t="str">
        <f>'Inventory master'!F30</f>
        <v>2857.07</v>
      </c>
      <c r="G30" s="10" t="str">
        <f>'Inventory master'!G30</f>
        <v>75</v>
      </c>
      <c r="H30" s="8">
        <f>IFERROR(_xlfn.XLOOKUP(A30, 'Opening stock'!A30:A629, 'Opening stock'!E30:E629), "")</f>
        <v>1125</v>
      </c>
      <c r="I30" s="8">
        <f>IFERROR(SUMIF(Table3[Item ID],'Inventory calculations'!A30,Table3[Quantity]),0)</f>
        <v>0</v>
      </c>
      <c r="J30" s="8">
        <f>IFERROR(SUMIF(Table4[Item ID],'Inventory calculations'!A30,Table4[Quantity Purchased]),0)</f>
        <v>0</v>
      </c>
      <c r="K30" s="10">
        <f t="shared" si="3"/>
        <v>1125</v>
      </c>
      <c r="L30" s="6" t="str">
        <f t="shared" si="2"/>
        <v>OK</v>
      </c>
      <c r="M30" s="13">
        <f t="shared" si="0"/>
        <v>2247041.25</v>
      </c>
      <c r="N30" s="8">
        <f>Table5[[#This Row],[Total Qty Sold]]*Table5[[#This Row],[Unit Price]]</f>
        <v>0</v>
      </c>
      <c r="O30" s="9"/>
      <c r="P30" s="40" t="str">
        <f ca="1">IF(Table5[[#This Row],[Last sale Date]]="","Never Sold",TODAY()-Table5[[#This Row],[Last sale Date]])</f>
        <v>Never Sold</v>
      </c>
      <c r="Q30" s="6" t="str">
        <f>IF(Table5[[#This Row],[Re order Level]]&lt;=Table5[[#This Row],[Current stock]],"ORDERASAP","OK BUT BE CHECKING")</f>
        <v>OK BUT BE CHECKING</v>
      </c>
      <c r="R30" s="6" t="str">
        <f t="shared" si="1"/>
        <v>ACTIVE</v>
      </c>
      <c r="S30" s="8">
        <f>IF(Table5[[#This Row],[DEADSTOCK FLAG]]="DEAD",Table5[[#This Row],[Inventory Value]],0)</f>
        <v>0</v>
      </c>
    </row>
    <row r="31" spans="1:19" x14ac:dyDescent="0.25">
      <c r="A31" s="24" t="str">
        <f>'Inventory master'!A31</f>
        <v>ITEM030-A</v>
      </c>
      <c r="B31" s="6" t="str">
        <f>'Inventory master'!B31</f>
        <v>QSFP Transceiver</v>
      </c>
      <c r="C31" s="6" t="str">
        <f>'Inventory master'!C31</f>
        <v>Transceivers</v>
      </c>
      <c r="D31" s="6" t="str">
        <f>'Inventory master'!D31</f>
        <v>AFL</v>
      </c>
      <c r="E31" s="10" t="str">
        <f>'Inventory master'!E31</f>
        <v>1197.56</v>
      </c>
      <c r="F31" s="10" t="str">
        <f>'Inventory master'!F31</f>
        <v>2143.3</v>
      </c>
      <c r="G31" s="10" t="str">
        <f>'Inventory master'!G31</f>
        <v>88</v>
      </c>
      <c r="H31" s="8">
        <f>IFERROR(_xlfn.XLOOKUP(A31, 'Opening stock'!A31:A630, 'Opening stock'!E31:E630), "")</f>
        <v>1320</v>
      </c>
      <c r="I31" s="8">
        <f>IFERROR(SUMIF(Table3[Item ID],'Inventory calculations'!A31,Table3[Quantity]),0)</f>
        <v>0</v>
      </c>
      <c r="J31" s="8">
        <f>IFERROR(SUMIF(Table4[Item ID],'Inventory calculations'!A31,Table4[Quantity Purchased]),0)</f>
        <v>0</v>
      </c>
      <c r="K31" s="10">
        <f t="shared" si="3"/>
        <v>1320</v>
      </c>
      <c r="L31" s="6" t="str">
        <f t="shared" si="2"/>
        <v>OK</v>
      </c>
      <c r="M31" s="13">
        <f t="shared" si="0"/>
        <v>1580779.2</v>
      </c>
      <c r="N31" s="8">
        <f>Table5[[#This Row],[Total Qty Sold]]*Table5[[#This Row],[Unit Price]]</f>
        <v>0</v>
      </c>
      <c r="O31" s="9"/>
      <c r="P31" s="40" t="str">
        <f ca="1">IF(Table5[[#This Row],[Last sale Date]]="","Never Sold",TODAY()-Table5[[#This Row],[Last sale Date]])</f>
        <v>Never Sold</v>
      </c>
      <c r="Q31" s="6" t="str">
        <f>IF(Table5[[#This Row],[Re order Level]]&lt;=Table5[[#This Row],[Current stock]],"ORDERASAP","OK BUT BE CHECKING")</f>
        <v>OK BUT BE CHECKING</v>
      </c>
      <c r="R31" s="6" t="str">
        <f t="shared" si="1"/>
        <v>ACTIVE</v>
      </c>
      <c r="S31" s="8">
        <f>IF(Table5[[#This Row],[DEADSTOCK FLAG]]="DEAD",Table5[[#This Row],[Inventory Value]],0)</f>
        <v>0</v>
      </c>
    </row>
    <row r="32" spans="1:19" x14ac:dyDescent="0.25">
      <c r="A32" s="24" t="str">
        <f>'Inventory master'!A32</f>
        <v>ITEM031-A</v>
      </c>
      <c r="B32" s="6" t="str">
        <f>'Inventory master'!B32</f>
        <v>1x8 PLC Splitter</v>
      </c>
      <c r="C32" s="6" t="str">
        <f>'Inventory master'!C32</f>
        <v>Splitters</v>
      </c>
      <c r="D32" s="6" t="str">
        <f>'Inventory master'!D32</f>
        <v>Belden</v>
      </c>
      <c r="E32" s="10" t="str">
        <f>'Inventory master'!E32</f>
        <v>1807.04</v>
      </c>
      <c r="F32" s="10" t="str">
        <f>'Inventory master'!F32</f>
        <v>3164.85</v>
      </c>
      <c r="G32" s="10" t="str">
        <f>'Inventory master'!G32</f>
        <v>21</v>
      </c>
      <c r="H32" s="8">
        <f>IFERROR(_xlfn.XLOOKUP(A32, 'Opening stock'!A32:A631, 'Opening stock'!E32:E631), "")</f>
        <v>315</v>
      </c>
      <c r="I32" s="8">
        <f>IFERROR(SUMIF(Table3[Item ID],'Inventory calculations'!A32,Table3[Quantity]),0)</f>
        <v>8</v>
      </c>
      <c r="J32" s="8">
        <f>IFERROR(SUMIF(Table4[Item ID],'Inventory calculations'!A32,Table4[Quantity Purchased]),0)</f>
        <v>1</v>
      </c>
      <c r="K32" s="10">
        <f t="shared" si="3"/>
        <v>308</v>
      </c>
      <c r="L32" s="6" t="str">
        <f t="shared" si="2"/>
        <v>OK</v>
      </c>
      <c r="M32" s="13">
        <f t="shared" si="0"/>
        <v>556568.31999999995</v>
      </c>
      <c r="N32" s="8">
        <f>Table5[[#This Row],[Total Qty Sold]]*Table5[[#This Row],[Unit Price]]</f>
        <v>25318.799999999999</v>
      </c>
      <c r="O32" s="9">
        <f>IFERROR(_xlfn.MAXIFS(Table3[Date],Table3[Item ID],Table5[[#This Row],[Item ID]]),"")</f>
        <v>45324</v>
      </c>
      <c r="P32" s="40">
        <f ca="1">IF(Table5[[#This Row],[Last sale Date]]="","Never Sold",TODAY()-Table5[[#This Row],[Last sale Date]])</f>
        <v>728</v>
      </c>
      <c r="Q32" s="6" t="str">
        <f>IF(Table5[[#This Row],[Re order Level]]&lt;=Table5[[#This Row],[Current stock]],"ORDERASAP","OK BUT BE CHECKING")</f>
        <v>OK BUT BE CHECKING</v>
      </c>
      <c r="R32" s="6" t="str">
        <f t="shared" si="1"/>
        <v>ACTIVE</v>
      </c>
      <c r="S32" s="8">
        <f>IF(Table5[[#This Row],[DEADSTOCK FLAG]]="DEAD",Table5[[#This Row],[Inventory Value]],0)</f>
        <v>0</v>
      </c>
    </row>
    <row r="33" spans="1:19" x14ac:dyDescent="0.25">
      <c r="A33" s="24" t="str">
        <f>'Inventory master'!A33</f>
        <v>ITEM032-A</v>
      </c>
      <c r="B33" s="6" t="str">
        <f>'Inventory master'!B33</f>
        <v>MTP UPC Connector</v>
      </c>
      <c r="C33" s="6" t="str">
        <f>'Inventory master'!C33</f>
        <v>Connectors</v>
      </c>
      <c r="D33" s="6" t="str">
        <f>'Inventory master'!D33</f>
        <v>CommScope</v>
      </c>
      <c r="E33" s="10" t="str">
        <f>'Inventory master'!E33</f>
        <v>1782.7</v>
      </c>
      <c r="F33" s="10" t="str">
        <f>'Inventory master'!F33</f>
        <v>2157.31</v>
      </c>
      <c r="G33" s="10" t="str">
        <f>'Inventory master'!G33</f>
        <v>13</v>
      </c>
      <c r="H33" s="8">
        <f>IFERROR(_xlfn.XLOOKUP(A33, 'Opening stock'!A33:A632, 'Opening stock'!E33:E632), "")</f>
        <v>195</v>
      </c>
      <c r="I33" s="8">
        <f>IFERROR(SUMIF(Table3[Item ID],'Inventory calculations'!A33,Table3[Quantity]),0)</f>
        <v>0</v>
      </c>
      <c r="J33" s="8">
        <f>IFERROR(SUMIF(Table4[Item ID],'Inventory calculations'!A33,Table4[Quantity Purchased]),0)</f>
        <v>1</v>
      </c>
      <c r="K33" s="10">
        <f t="shared" si="3"/>
        <v>196</v>
      </c>
      <c r="L33" s="6" t="str">
        <f t="shared" si="2"/>
        <v>OK</v>
      </c>
      <c r="M33" s="13">
        <f t="shared" si="0"/>
        <v>349409.2</v>
      </c>
      <c r="N33" s="8">
        <f>Table5[[#This Row],[Total Qty Sold]]*Table5[[#This Row],[Unit Price]]</f>
        <v>0</v>
      </c>
      <c r="O33" s="9"/>
      <c r="P33" s="40" t="str">
        <f ca="1">IF(Table5[[#This Row],[Last sale Date]]="","Never Sold",TODAY()-Table5[[#This Row],[Last sale Date]])</f>
        <v>Never Sold</v>
      </c>
      <c r="Q33" s="6" t="str">
        <f>IF(Table5[[#This Row],[Re order Level]]&lt;=Table5[[#This Row],[Current stock]],"ORDERASAP","OK BUT BE CHECKING")</f>
        <v>OK BUT BE CHECKING</v>
      </c>
      <c r="R33" s="6" t="str">
        <f t="shared" si="1"/>
        <v>ACTIVE</v>
      </c>
      <c r="S33" s="8">
        <f>IF(Table5[[#This Row],[DEADSTOCK FLAG]]="DEAD",Table5[[#This Row],[Inventory Value]],0)</f>
        <v>0</v>
      </c>
    </row>
    <row r="34" spans="1:19" x14ac:dyDescent="0.25">
      <c r="A34" s="24" t="str">
        <f>'Inventory master'!A34</f>
        <v>ITEM033-A</v>
      </c>
      <c r="B34" s="6" t="str">
        <f>'Inventory master'!B34</f>
        <v>Fiber Cleaner</v>
      </c>
      <c r="C34" s="6" t="str">
        <f>'Inventory master'!C34</f>
        <v>Accessories</v>
      </c>
      <c r="D34" s="6" t="str">
        <f>'Inventory master'!D34</f>
        <v>Corning Inc.</v>
      </c>
      <c r="E34" s="10" t="str">
        <f>'Inventory master'!E34</f>
        <v>373.91</v>
      </c>
      <c r="F34" s="10" t="str">
        <f>'Inventory master'!F34</f>
        <v>532.56</v>
      </c>
      <c r="G34" s="10" t="str">
        <f>'Inventory master'!G34</f>
        <v>59</v>
      </c>
      <c r="H34" s="8">
        <f>IFERROR(_xlfn.XLOOKUP(A34, 'Opening stock'!A34:A633, 'Opening stock'!E34:E633), "")</f>
        <v>885</v>
      </c>
      <c r="I34" s="8">
        <f>IFERROR(SUMIF(Table3[Item ID],'Inventory calculations'!A34,Table3[Quantity]),0)</f>
        <v>0</v>
      </c>
      <c r="J34" s="8">
        <f>IFERROR(SUMIF(Table4[Item ID],'Inventory calculations'!A34,Table4[Quantity Purchased]),0)</f>
        <v>0</v>
      </c>
      <c r="K34" s="10">
        <f t="shared" si="3"/>
        <v>885</v>
      </c>
      <c r="L34" s="6" t="str">
        <f t="shared" si="2"/>
        <v>OK</v>
      </c>
      <c r="M34" s="13">
        <f t="shared" si="0"/>
        <v>330910.35000000003</v>
      </c>
      <c r="N34" s="8">
        <f>Table5[[#This Row],[Total Qty Sold]]*Table5[[#This Row],[Unit Price]]</f>
        <v>0</v>
      </c>
      <c r="O34" s="9"/>
      <c r="P34" s="40" t="str">
        <f ca="1">IF(Table5[[#This Row],[Last sale Date]]="","Never Sold",TODAY()-Table5[[#This Row],[Last sale Date]])</f>
        <v>Never Sold</v>
      </c>
      <c r="Q34" s="6" t="str">
        <f>IF(Table5[[#This Row],[Re order Level]]&lt;=Table5[[#This Row],[Current stock]],"ORDERASAP","OK BUT BE CHECKING")</f>
        <v>OK BUT BE CHECKING</v>
      </c>
      <c r="R34" s="6" t="str">
        <f t="shared" si="1"/>
        <v>ACTIVE</v>
      </c>
      <c r="S34" s="8">
        <f>IF(Table5[[#This Row],[DEADSTOCK FLAG]]="DEAD",Table5[[#This Row],[Inventory Value]],0)</f>
        <v>0</v>
      </c>
    </row>
    <row r="35" spans="1:19" x14ac:dyDescent="0.25">
      <c r="A35" s="24" t="str">
        <f>'Inventory master'!A35</f>
        <v>ITEM034-A</v>
      </c>
      <c r="B35" s="6" t="str">
        <f>'Inventory master'!B35</f>
        <v>MTP UPC Connector</v>
      </c>
      <c r="C35" s="6" t="str">
        <f>'Inventory master'!C35</f>
        <v>Connectors</v>
      </c>
      <c r="D35" s="6" t="str">
        <f>'Inventory master'!D35</f>
        <v>TE Connectivity</v>
      </c>
      <c r="E35" s="10" t="str">
        <f>'Inventory master'!E35</f>
        <v>553.01</v>
      </c>
      <c r="F35" s="10" t="str">
        <f>'Inventory master'!F35</f>
        <v>625.22</v>
      </c>
      <c r="G35" s="10" t="str">
        <f>'Inventory master'!G35</f>
        <v>77</v>
      </c>
      <c r="H35" s="8">
        <f>IFERROR(_xlfn.XLOOKUP(A35, 'Opening stock'!A35:A634, 'Opening stock'!E35:E634), "")</f>
        <v>1155</v>
      </c>
      <c r="I35" s="8">
        <f>IFERROR(SUMIF(Table3[Item ID],'Inventory calculations'!A35,Table3[Quantity]),0)</f>
        <v>0</v>
      </c>
      <c r="J35" s="8">
        <f>IFERROR(SUMIF(Table4[Item ID],'Inventory calculations'!A35,Table4[Quantity Purchased]),0)</f>
        <v>8</v>
      </c>
      <c r="K35" s="10">
        <f t="shared" si="3"/>
        <v>1163</v>
      </c>
      <c r="L35" s="6" t="str">
        <f t="shared" si="2"/>
        <v>OK</v>
      </c>
      <c r="M35" s="13">
        <f t="shared" si="0"/>
        <v>643150.63</v>
      </c>
      <c r="N35" s="8">
        <f>Table5[[#This Row],[Total Qty Sold]]*Table5[[#This Row],[Unit Price]]</f>
        <v>0</v>
      </c>
      <c r="O35" s="9"/>
      <c r="P35" s="40" t="str">
        <f ca="1">IF(Table5[[#This Row],[Last sale Date]]="","Never Sold",TODAY()-Table5[[#This Row],[Last sale Date]])</f>
        <v>Never Sold</v>
      </c>
      <c r="Q35" s="6" t="str">
        <f>IF(Table5[[#This Row],[Re order Level]]&lt;=Table5[[#This Row],[Current stock]],"ORDERASAP","OK BUT BE CHECKING")</f>
        <v>OK BUT BE CHECKING</v>
      </c>
      <c r="R35" s="6" t="str">
        <f t="shared" si="1"/>
        <v>ACTIVE</v>
      </c>
      <c r="S35" s="8">
        <f>IF(Table5[[#This Row],[DEADSTOCK FLAG]]="DEAD",Table5[[#This Row],[Inventory Value]],0)</f>
        <v>0</v>
      </c>
    </row>
    <row r="36" spans="1:19" x14ac:dyDescent="0.25">
      <c r="A36" s="24" t="str">
        <f>'Inventory master'!A36</f>
        <v>ITEM035-A</v>
      </c>
      <c r="B36" s="6" t="str">
        <f>'Inventory master'!B36</f>
        <v>Fixed Attenuator 15dB</v>
      </c>
      <c r="C36" s="6" t="str">
        <f>'Inventory master'!C36</f>
        <v>Attenuators</v>
      </c>
      <c r="D36" s="6" t="str">
        <f>'Inventory master'!D36</f>
        <v>Leviton</v>
      </c>
      <c r="E36" s="10" t="str">
        <f>'Inventory master'!E36</f>
        <v>1841.77</v>
      </c>
      <c r="F36" s="10" t="str">
        <f>'Inventory master'!F36</f>
        <v>3528.41</v>
      </c>
      <c r="G36" s="10" t="str">
        <f>'Inventory master'!G36</f>
        <v>82</v>
      </c>
      <c r="H36" s="8">
        <f>IFERROR(_xlfn.XLOOKUP(A36, 'Opening stock'!A36:A635, 'Opening stock'!E36:E635), "")</f>
        <v>1230</v>
      </c>
      <c r="I36" s="8">
        <f>IFERROR(SUMIF(Table3[Item ID],'Inventory calculations'!A36,Table3[Quantity]),0)</f>
        <v>0</v>
      </c>
      <c r="J36" s="8">
        <f>IFERROR(SUMIF(Table4[Item ID],'Inventory calculations'!A36,Table4[Quantity Purchased]),0)</f>
        <v>6</v>
      </c>
      <c r="K36" s="10">
        <f t="shared" si="3"/>
        <v>1236</v>
      </c>
      <c r="L36" s="6" t="str">
        <f t="shared" si="2"/>
        <v>OK</v>
      </c>
      <c r="M36" s="13">
        <f t="shared" si="0"/>
        <v>2276427.7200000002</v>
      </c>
      <c r="N36" s="8">
        <f>Table5[[#This Row],[Total Qty Sold]]*Table5[[#This Row],[Unit Price]]</f>
        <v>0</v>
      </c>
      <c r="O36" s="9"/>
      <c r="P36" s="40" t="str">
        <f ca="1">IF(Table5[[#This Row],[Last sale Date]]="","Never Sold",TODAY()-Table5[[#This Row],[Last sale Date]])</f>
        <v>Never Sold</v>
      </c>
      <c r="Q36" s="6" t="str">
        <f>IF(Table5[[#This Row],[Re order Level]]&lt;=Table5[[#This Row],[Current stock]],"ORDERASAP","OK BUT BE CHECKING")</f>
        <v>OK BUT BE CHECKING</v>
      </c>
      <c r="R36" s="6" t="str">
        <f t="shared" si="1"/>
        <v>ACTIVE</v>
      </c>
      <c r="S36" s="8">
        <f>IF(Table5[[#This Row],[DEADSTOCK FLAG]]="DEAD",Table5[[#This Row],[Inventory Value]],0)</f>
        <v>0</v>
      </c>
    </row>
    <row r="37" spans="1:19" x14ac:dyDescent="0.25">
      <c r="A37" s="24" t="str">
        <f>'Inventory master'!A37</f>
        <v>ITEM036-A</v>
      </c>
      <c r="B37" s="6" t="str">
        <f>'Inventory master'!B37</f>
        <v>Fiber Cleaner</v>
      </c>
      <c r="C37" s="6" t="str">
        <f>'Inventory master'!C37</f>
        <v>Accessories</v>
      </c>
      <c r="D37" s="6" t="str">
        <f>'Inventory master'!D37</f>
        <v>Amphenol</v>
      </c>
      <c r="E37" s="10" t="str">
        <f>'Inventory master'!E37</f>
        <v>220.13</v>
      </c>
      <c r="F37" s="10" t="str">
        <f>'Inventory master'!F37</f>
        <v>267.32</v>
      </c>
      <c r="G37" s="10" t="str">
        <f>'Inventory master'!G37</f>
        <v>45</v>
      </c>
      <c r="H37" s="8">
        <f>IFERROR(_xlfn.XLOOKUP(A37, 'Opening stock'!A37:A636, 'Opening stock'!E37:E636), "")</f>
        <v>675</v>
      </c>
      <c r="I37" s="8">
        <f>IFERROR(SUMIF(Table3[Item ID],'Inventory calculations'!A37,Table3[Quantity]),0)</f>
        <v>0</v>
      </c>
      <c r="J37" s="8">
        <f>IFERROR(SUMIF(Table4[Item ID],'Inventory calculations'!A37,Table4[Quantity Purchased]),0)</f>
        <v>0</v>
      </c>
      <c r="K37" s="10">
        <f t="shared" si="3"/>
        <v>675</v>
      </c>
      <c r="L37" s="6" t="str">
        <f t="shared" si="2"/>
        <v>OK</v>
      </c>
      <c r="M37" s="13">
        <f t="shared" si="0"/>
        <v>148587.75</v>
      </c>
      <c r="N37" s="8">
        <f>Table5[[#This Row],[Total Qty Sold]]*Table5[[#This Row],[Unit Price]]</f>
        <v>0</v>
      </c>
      <c r="O37" s="9"/>
      <c r="P37" s="40" t="str">
        <f ca="1">IF(Table5[[#This Row],[Last sale Date]]="","Never Sold",TODAY()-Table5[[#This Row],[Last sale Date]])</f>
        <v>Never Sold</v>
      </c>
      <c r="Q37" s="6" t="str">
        <f>IF(Table5[[#This Row],[Re order Level]]&lt;=Table5[[#This Row],[Current stock]],"ORDERASAP","OK BUT BE CHECKING")</f>
        <v>OK BUT BE CHECKING</v>
      </c>
      <c r="R37" s="6" t="str">
        <f t="shared" si="1"/>
        <v>ACTIVE</v>
      </c>
      <c r="S37" s="8">
        <f>IF(Table5[[#This Row],[DEADSTOCK FLAG]]="DEAD",Table5[[#This Row],[Inventory Value]],0)</f>
        <v>0</v>
      </c>
    </row>
    <row r="38" spans="1:19" x14ac:dyDescent="0.25">
      <c r="A38" s="24" t="str">
        <f>'Inventory master'!A38</f>
        <v>ITEM037-A</v>
      </c>
      <c r="B38" s="6" t="str">
        <f>'Inventory master'!B38</f>
        <v>Fiber Jumper</v>
      </c>
      <c r="C38" s="6" t="str">
        <f>'Inventory master'!C38</f>
        <v>Accessories</v>
      </c>
      <c r="D38" s="6" t="str">
        <f>'Inventory master'!D38</f>
        <v>Corning Inc.</v>
      </c>
      <c r="E38" s="10" t="str">
        <f>'Inventory master'!E38</f>
        <v>1663.18</v>
      </c>
      <c r="F38" s="10" t="str">
        <f>'Inventory master'!F38</f>
        <v>2231.44</v>
      </c>
      <c r="G38" s="10" t="str">
        <f>'Inventory master'!G38</f>
        <v>77</v>
      </c>
      <c r="H38" s="8">
        <f>IFERROR(_xlfn.XLOOKUP(A38, 'Opening stock'!A38:A637, 'Opening stock'!E38:E637), "")</f>
        <v>1155</v>
      </c>
      <c r="I38" s="8">
        <f>IFERROR(SUMIF(Table3[Item ID],'Inventory calculations'!A38,Table3[Quantity]),0)</f>
        <v>0</v>
      </c>
      <c r="J38" s="8">
        <f>IFERROR(SUMIF(Table4[Item ID],'Inventory calculations'!A38,Table4[Quantity Purchased]),0)</f>
        <v>0</v>
      </c>
      <c r="K38" s="10">
        <f t="shared" si="3"/>
        <v>1155</v>
      </c>
      <c r="L38" s="6" t="str">
        <f t="shared" si="2"/>
        <v>OK</v>
      </c>
      <c r="M38" s="13">
        <f t="shared" si="0"/>
        <v>1920972.9000000001</v>
      </c>
      <c r="N38" s="8">
        <f>Table5[[#This Row],[Total Qty Sold]]*Table5[[#This Row],[Unit Price]]</f>
        <v>0</v>
      </c>
      <c r="O38" s="9"/>
      <c r="P38" s="40" t="str">
        <f ca="1">IF(Table5[[#This Row],[Last sale Date]]="","Never Sold",TODAY()-Table5[[#This Row],[Last sale Date]])</f>
        <v>Never Sold</v>
      </c>
      <c r="Q38" s="6" t="str">
        <f>IF(Table5[[#This Row],[Re order Level]]&lt;=Table5[[#This Row],[Current stock]],"ORDERASAP","OK BUT BE CHECKING")</f>
        <v>OK BUT BE CHECKING</v>
      </c>
      <c r="R38" s="6" t="str">
        <f t="shared" si="1"/>
        <v>ACTIVE</v>
      </c>
      <c r="S38" s="8">
        <f>IF(Table5[[#This Row],[DEADSTOCK FLAG]]="DEAD",Table5[[#This Row],[Inventory Value]],0)</f>
        <v>0</v>
      </c>
    </row>
    <row r="39" spans="1:19" x14ac:dyDescent="0.25">
      <c r="A39" s="24" t="str">
        <f>'Inventory master'!A39</f>
        <v>ITEM038-A</v>
      </c>
      <c r="B39" s="6" t="str">
        <f>'Inventory master'!B39</f>
        <v>1x32 PLC Splitter</v>
      </c>
      <c r="C39" s="6" t="str">
        <f>'Inventory master'!C39</f>
        <v>Splitters</v>
      </c>
      <c r="D39" s="6" t="str">
        <f>'Inventory master'!D39</f>
        <v>AFL</v>
      </c>
      <c r="E39" s="10" t="str">
        <f>'Inventory master'!E39</f>
        <v>1325.07</v>
      </c>
      <c r="F39" s="10" t="str">
        <f>'Inventory master'!F39</f>
        <v>2396.54</v>
      </c>
      <c r="G39" s="10" t="str">
        <f>'Inventory master'!G39</f>
        <v>47</v>
      </c>
      <c r="H39" s="8">
        <f>IFERROR(_xlfn.XLOOKUP(A39, 'Opening stock'!A39:A638, 'Opening stock'!E39:E638), "")</f>
        <v>705</v>
      </c>
      <c r="I39" s="8">
        <f>IFERROR(SUMIF(Table3[Item ID],'Inventory calculations'!A39,Table3[Quantity]),0)</f>
        <v>6</v>
      </c>
      <c r="J39" s="8">
        <f>IFERROR(SUMIF(Table4[Item ID],'Inventory calculations'!A39,Table4[Quantity Purchased]),0)</f>
        <v>0</v>
      </c>
      <c r="K39" s="10">
        <f t="shared" si="3"/>
        <v>699</v>
      </c>
      <c r="L39" s="6" t="str">
        <f t="shared" si="2"/>
        <v>OK</v>
      </c>
      <c r="M39" s="13">
        <f t="shared" si="0"/>
        <v>926223.92999999993</v>
      </c>
      <c r="N39" s="8">
        <f>Table5[[#This Row],[Total Qty Sold]]*Table5[[#This Row],[Unit Price]]</f>
        <v>14379.24</v>
      </c>
      <c r="O39" s="9">
        <f>IFERROR(_xlfn.MAXIFS(Table3[Date],Table3[Item ID],Table5[[#This Row],[Item ID]]),"")</f>
        <v>45360</v>
      </c>
      <c r="P39" s="40">
        <f ca="1">IF(Table5[[#This Row],[Last sale Date]]="","Never Sold",TODAY()-Table5[[#This Row],[Last sale Date]])</f>
        <v>692</v>
      </c>
      <c r="Q39" s="6" t="str">
        <f>IF(Table5[[#This Row],[Re order Level]]&lt;=Table5[[#This Row],[Current stock]],"ORDERASAP","OK BUT BE CHECKING")</f>
        <v>OK BUT BE CHECKING</v>
      </c>
      <c r="R39" s="6" t="str">
        <f t="shared" si="1"/>
        <v>ACTIVE</v>
      </c>
      <c r="S39" s="8">
        <f>IF(Table5[[#This Row],[DEADSTOCK FLAG]]="DEAD",Table5[[#This Row],[Inventory Value]],0)</f>
        <v>0</v>
      </c>
    </row>
    <row r="40" spans="1:19" x14ac:dyDescent="0.25">
      <c r="A40" s="24" t="str">
        <f>'Inventory master'!A40</f>
        <v>ITEM039-A</v>
      </c>
      <c r="B40" s="6" t="str">
        <f>'Inventory master'!B40</f>
        <v>Fiber Optic Polisher</v>
      </c>
      <c r="C40" s="6" t="str">
        <f>'Inventory master'!C40</f>
        <v>Tools</v>
      </c>
      <c r="D40" s="6" t="str">
        <f>'Inventory master'!D40</f>
        <v>HellermannTyton</v>
      </c>
      <c r="E40" s="10" t="str">
        <f>'Inventory master'!E40</f>
        <v>1828.15</v>
      </c>
      <c r="F40" s="10" t="str">
        <f>'Inventory master'!F40</f>
        <v>2159.76</v>
      </c>
      <c r="G40" s="10" t="str">
        <f>'Inventory master'!G40</f>
        <v>95</v>
      </c>
      <c r="H40" s="8">
        <f>IFERROR(_xlfn.XLOOKUP(A40, 'Opening stock'!A40:A639, 'Opening stock'!E40:E639), "")</f>
        <v>1425</v>
      </c>
      <c r="I40" s="8">
        <f>IFERROR(SUMIF(Table3[Item ID],'Inventory calculations'!A40,Table3[Quantity]),0)</f>
        <v>0</v>
      </c>
      <c r="J40" s="8">
        <f>IFERROR(SUMIF(Table4[Item ID],'Inventory calculations'!A40,Table4[Quantity Purchased]),0)</f>
        <v>0</v>
      </c>
      <c r="K40" s="10">
        <f t="shared" si="3"/>
        <v>1425</v>
      </c>
      <c r="L40" s="6" t="str">
        <f t="shared" si="2"/>
        <v>OK</v>
      </c>
      <c r="M40" s="13">
        <f t="shared" si="0"/>
        <v>2605113.75</v>
      </c>
      <c r="N40" s="8">
        <f>Table5[[#This Row],[Total Qty Sold]]*Table5[[#This Row],[Unit Price]]</f>
        <v>0</v>
      </c>
      <c r="O40" s="9"/>
      <c r="P40" s="40" t="str">
        <f ca="1">IF(Table5[[#This Row],[Last sale Date]]="","Never Sold",TODAY()-Table5[[#This Row],[Last sale Date]])</f>
        <v>Never Sold</v>
      </c>
      <c r="Q40" s="6" t="str">
        <f>IF(Table5[[#This Row],[Re order Level]]&lt;=Table5[[#This Row],[Current stock]],"ORDERASAP","OK BUT BE CHECKING")</f>
        <v>OK BUT BE CHECKING</v>
      </c>
      <c r="R40" s="6" t="str">
        <f t="shared" si="1"/>
        <v>ACTIVE</v>
      </c>
      <c r="S40" s="8">
        <f>IF(Table5[[#This Row],[DEADSTOCK FLAG]]="DEAD",Table5[[#This Row],[Inventory Value]],0)</f>
        <v>0</v>
      </c>
    </row>
    <row r="41" spans="1:19" x14ac:dyDescent="0.25">
      <c r="A41" s="24" t="str">
        <f>'Inventory master'!A41</f>
        <v>ITEM040-A</v>
      </c>
      <c r="B41" s="6" t="str">
        <f>'Inventory master'!B41</f>
        <v>Fiber Optic Polisher</v>
      </c>
      <c r="C41" s="6" t="str">
        <f>'Inventory master'!C41</f>
        <v>Tools</v>
      </c>
      <c r="D41" s="6" t="str">
        <f>'Inventory master'!D41</f>
        <v>HellermannTyton</v>
      </c>
      <c r="E41" s="10" t="str">
        <f>'Inventory master'!E41</f>
        <v>1789.47</v>
      </c>
      <c r="F41" s="10" t="str">
        <f>'Inventory master'!F41</f>
        <v>3100.56</v>
      </c>
      <c r="G41" s="10" t="str">
        <f>'Inventory master'!G41</f>
        <v>84</v>
      </c>
      <c r="H41" s="8">
        <f>IFERROR(_xlfn.XLOOKUP(A41, 'Opening stock'!A41:A640, 'Opening stock'!E41:E640), "")</f>
        <v>1260</v>
      </c>
      <c r="I41" s="8">
        <f>IFERROR(SUMIF(Table3[Item ID],'Inventory calculations'!A41,Table3[Quantity]),0)</f>
        <v>0</v>
      </c>
      <c r="J41" s="8">
        <f>IFERROR(SUMIF(Table4[Item ID],'Inventory calculations'!A41,Table4[Quantity Purchased]),0)</f>
        <v>4</v>
      </c>
      <c r="K41" s="10">
        <f t="shared" si="3"/>
        <v>1264</v>
      </c>
      <c r="L41" s="6" t="str">
        <f t="shared" si="2"/>
        <v>OK</v>
      </c>
      <c r="M41" s="13">
        <f t="shared" si="0"/>
        <v>2261890.08</v>
      </c>
      <c r="N41" s="8">
        <f>Table5[[#This Row],[Total Qty Sold]]*Table5[[#This Row],[Unit Price]]</f>
        <v>0</v>
      </c>
      <c r="O41" s="9"/>
      <c r="P41" s="40" t="str">
        <f ca="1">IF(Table5[[#This Row],[Last sale Date]]="","Never Sold",TODAY()-Table5[[#This Row],[Last sale Date]])</f>
        <v>Never Sold</v>
      </c>
      <c r="Q41" s="6" t="str">
        <f>IF(Table5[[#This Row],[Re order Level]]&lt;=Table5[[#This Row],[Current stock]],"ORDERASAP","OK BUT BE CHECKING")</f>
        <v>OK BUT BE CHECKING</v>
      </c>
      <c r="R41" s="6" t="str">
        <f t="shared" si="1"/>
        <v>ACTIVE</v>
      </c>
      <c r="S41" s="8">
        <f>IF(Table5[[#This Row],[DEADSTOCK FLAG]]="DEAD",Table5[[#This Row],[Inventory Value]],0)</f>
        <v>0</v>
      </c>
    </row>
    <row r="42" spans="1:19" x14ac:dyDescent="0.25">
      <c r="A42" s="24" t="str">
        <f>'Inventory master'!A42</f>
        <v>ITEM041-A</v>
      </c>
      <c r="B42" s="6" t="str">
        <f>'Inventory master'!B42</f>
        <v>Fusion Splicer</v>
      </c>
      <c r="C42" s="6" t="str">
        <f>'Inventory master'!C42</f>
        <v>Splicers</v>
      </c>
      <c r="D42" s="6" t="str">
        <f>'Inventory master'!D42</f>
        <v>Panduit</v>
      </c>
      <c r="E42" s="10" t="str">
        <f>'Inventory master'!E42</f>
        <v>237.27</v>
      </c>
      <c r="F42" s="10" t="str">
        <f>'Inventory master'!F42</f>
        <v>275.62</v>
      </c>
      <c r="G42" s="10" t="str">
        <f>'Inventory master'!G42</f>
        <v>85</v>
      </c>
      <c r="H42" s="8">
        <f>IFERROR(_xlfn.XLOOKUP(A42, 'Opening stock'!A42:A641, 'Opening stock'!E42:E641), "")</f>
        <v>1275</v>
      </c>
      <c r="I42" s="8">
        <f>IFERROR(SUMIF(Table3[Item ID],'Inventory calculations'!A42,Table3[Quantity]),0)</f>
        <v>0</v>
      </c>
      <c r="J42" s="8">
        <f>IFERROR(SUMIF(Table4[Item ID],'Inventory calculations'!A42,Table4[Quantity Purchased]),0)</f>
        <v>21</v>
      </c>
      <c r="K42" s="10">
        <f t="shared" si="3"/>
        <v>1296</v>
      </c>
      <c r="L42" s="6" t="str">
        <f t="shared" si="2"/>
        <v>OK</v>
      </c>
      <c r="M42" s="13">
        <f t="shared" si="0"/>
        <v>307501.92000000004</v>
      </c>
      <c r="N42" s="8">
        <f>Table5[[#This Row],[Total Qty Sold]]*Table5[[#This Row],[Unit Price]]</f>
        <v>0</v>
      </c>
      <c r="O42" s="9"/>
      <c r="P42" s="40" t="str">
        <f ca="1">IF(Table5[[#This Row],[Last sale Date]]="","Never Sold",TODAY()-Table5[[#This Row],[Last sale Date]])</f>
        <v>Never Sold</v>
      </c>
      <c r="Q42" s="6" t="str">
        <f>IF(Table5[[#This Row],[Re order Level]]&lt;=Table5[[#This Row],[Current stock]],"ORDERASAP","OK BUT BE CHECKING")</f>
        <v>OK BUT BE CHECKING</v>
      </c>
      <c r="R42" s="6" t="str">
        <f t="shared" si="1"/>
        <v>ACTIVE</v>
      </c>
      <c r="S42" s="8">
        <f>IF(Table5[[#This Row],[DEADSTOCK FLAG]]="DEAD",Table5[[#This Row],[Inventory Value]],0)</f>
        <v>0</v>
      </c>
    </row>
    <row r="43" spans="1:19" x14ac:dyDescent="0.25">
      <c r="A43" s="24" t="str">
        <f>'Inventory master'!A43</f>
        <v>ITEM042-A</v>
      </c>
      <c r="B43" s="6" t="str">
        <f>'Inventory master'!B43</f>
        <v>ST UPC Connector</v>
      </c>
      <c r="C43" s="6" t="str">
        <f>'Inventory master'!C43</f>
        <v>Connectors</v>
      </c>
      <c r="D43" s="6" t="str">
        <f>'Inventory master'!D43</f>
        <v>Huber+Suhner</v>
      </c>
      <c r="E43" s="10" t="str">
        <f>'Inventory master'!E43</f>
        <v>52.07</v>
      </c>
      <c r="F43" s="10" t="str">
        <f>'Inventory master'!F43</f>
        <v>76.97</v>
      </c>
      <c r="G43" s="10" t="str">
        <f>'Inventory master'!G43</f>
        <v>47</v>
      </c>
      <c r="H43" s="8">
        <f>IFERROR(_xlfn.XLOOKUP(A43, 'Opening stock'!A43:A642, 'Opening stock'!E43:E642), "")</f>
        <v>705</v>
      </c>
      <c r="I43" s="8">
        <f>IFERROR(SUMIF(Table3[Item ID],'Inventory calculations'!A43,Table3[Quantity]),0)</f>
        <v>0</v>
      </c>
      <c r="J43" s="8">
        <f>IFERROR(SUMIF(Table4[Item ID],'Inventory calculations'!A43,Table4[Quantity Purchased]),0)</f>
        <v>10</v>
      </c>
      <c r="K43" s="10">
        <f t="shared" si="3"/>
        <v>715</v>
      </c>
      <c r="L43" s="6" t="str">
        <f t="shared" si="2"/>
        <v>OK</v>
      </c>
      <c r="M43" s="13">
        <f t="shared" si="0"/>
        <v>37230.050000000003</v>
      </c>
      <c r="N43" s="8">
        <f>Table5[[#This Row],[Total Qty Sold]]*Table5[[#This Row],[Unit Price]]</f>
        <v>0</v>
      </c>
      <c r="O43" s="9"/>
      <c r="P43" s="40" t="str">
        <f ca="1">IF(Table5[[#This Row],[Last sale Date]]="","Never Sold",TODAY()-Table5[[#This Row],[Last sale Date]])</f>
        <v>Never Sold</v>
      </c>
      <c r="Q43" s="6" t="str">
        <f>IF(Table5[[#This Row],[Re order Level]]&lt;=Table5[[#This Row],[Current stock]],"ORDERASAP","OK BUT BE CHECKING")</f>
        <v>OK BUT BE CHECKING</v>
      </c>
      <c r="R43" s="6" t="str">
        <f t="shared" si="1"/>
        <v>ACTIVE</v>
      </c>
      <c r="S43" s="8">
        <f>IF(Table5[[#This Row],[DEADSTOCK FLAG]]="DEAD",Table5[[#This Row],[Inventory Value]],0)</f>
        <v>0</v>
      </c>
    </row>
    <row r="44" spans="1:19" x14ac:dyDescent="0.25">
      <c r="A44" s="24" t="str">
        <f>'Inventory master'!A44</f>
        <v>ITEM043-A</v>
      </c>
      <c r="B44" s="6" t="str">
        <f>'Inventory master'!B44</f>
        <v>Pedestal Enclosure</v>
      </c>
      <c r="C44" s="6" t="str">
        <f>'Inventory master'!C44</f>
        <v>Enclosures</v>
      </c>
      <c r="D44" s="6" t="str">
        <f>'Inventory master'!D44</f>
        <v>CommScope</v>
      </c>
      <c r="E44" s="10" t="str">
        <f>'Inventory master'!E44</f>
        <v>423.32</v>
      </c>
      <c r="F44" s="10" t="str">
        <f>'Inventory master'!F44</f>
        <v>611.2</v>
      </c>
      <c r="G44" s="10" t="str">
        <f>'Inventory master'!G44</f>
        <v>71</v>
      </c>
      <c r="H44" s="8">
        <f>IFERROR(_xlfn.XLOOKUP(A44, 'Opening stock'!A44:A643, 'Opening stock'!E44:E643), "")</f>
        <v>1065</v>
      </c>
      <c r="I44" s="8">
        <f>IFERROR(SUMIF(Table3[Item ID],'Inventory calculations'!A44,Table3[Quantity]),0)</f>
        <v>0</v>
      </c>
      <c r="J44" s="8">
        <f>IFERROR(SUMIF(Table4[Item ID],'Inventory calculations'!A44,Table4[Quantity Purchased]),0)</f>
        <v>8</v>
      </c>
      <c r="K44" s="10">
        <f t="shared" si="3"/>
        <v>1073</v>
      </c>
      <c r="L44" s="6" t="str">
        <f t="shared" si="2"/>
        <v>OK</v>
      </c>
      <c r="M44" s="13">
        <f t="shared" si="0"/>
        <v>454222.36</v>
      </c>
      <c r="N44" s="8">
        <f>Table5[[#This Row],[Total Qty Sold]]*Table5[[#This Row],[Unit Price]]</f>
        <v>0</v>
      </c>
      <c r="O44" s="9"/>
      <c r="P44" s="40" t="str">
        <f ca="1">IF(Table5[[#This Row],[Last sale Date]]="","Never Sold",TODAY()-Table5[[#This Row],[Last sale Date]])</f>
        <v>Never Sold</v>
      </c>
      <c r="Q44" s="6" t="str">
        <f>IF(Table5[[#This Row],[Re order Level]]&lt;=Table5[[#This Row],[Current stock]],"ORDERASAP","OK BUT BE CHECKING")</f>
        <v>OK BUT BE CHECKING</v>
      </c>
      <c r="R44" s="6" t="str">
        <f t="shared" si="1"/>
        <v>ACTIVE</v>
      </c>
      <c r="S44" s="8">
        <f>IF(Table5[[#This Row],[DEADSTOCK FLAG]]="DEAD",Table5[[#This Row],[Inventory Value]],0)</f>
        <v>0</v>
      </c>
    </row>
    <row r="45" spans="1:19" x14ac:dyDescent="0.25">
      <c r="A45" s="24" t="str">
        <f>'Inventory master'!A45</f>
        <v>ITEM044-A</v>
      </c>
      <c r="B45" s="6" t="str">
        <f>'Inventory master'!B45</f>
        <v>Fiber Optic Cutter</v>
      </c>
      <c r="C45" s="6" t="str">
        <f>'Inventory master'!C45</f>
        <v>Tools</v>
      </c>
      <c r="D45" s="6" t="str">
        <f>'Inventory master'!D45</f>
        <v>Amphenol</v>
      </c>
      <c r="E45" s="10" t="str">
        <f>'Inventory master'!E45</f>
        <v>1153.06</v>
      </c>
      <c r="F45" s="10" t="str">
        <f>'Inventory master'!F45</f>
        <v>1402.0</v>
      </c>
      <c r="G45" s="10" t="str">
        <f>'Inventory master'!G45</f>
        <v>77</v>
      </c>
      <c r="H45" s="8">
        <f>IFERROR(_xlfn.XLOOKUP(A45, 'Opening stock'!A45:A644, 'Opening stock'!E45:E644), "")</f>
        <v>1155</v>
      </c>
      <c r="I45" s="8">
        <f>IFERROR(SUMIF(Table3[Item ID],'Inventory calculations'!A45,Table3[Quantity]),0)</f>
        <v>0</v>
      </c>
      <c r="J45" s="8">
        <f>IFERROR(SUMIF(Table4[Item ID],'Inventory calculations'!A45,Table4[Quantity Purchased]),0)</f>
        <v>4</v>
      </c>
      <c r="K45" s="10">
        <f t="shared" si="3"/>
        <v>1159</v>
      </c>
      <c r="L45" s="6" t="str">
        <f t="shared" si="2"/>
        <v>OK</v>
      </c>
      <c r="M45" s="13">
        <f t="shared" si="0"/>
        <v>1336396.54</v>
      </c>
      <c r="N45" s="8">
        <f>Table5[[#This Row],[Total Qty Sold]]*Table5[[#This Row],[Unit Price]]</f>
        <v>0</v>
      </c>
      <c r="O45" s="9"/>
      <c r="P45" s="40" t="str">
        <f ca="1">IF(Table5[[#This Row],[Last sale Date]]="","Never Sold",TODAY()-Table5[[#This Row],[Last sale Date]])</f>
        <v>Never Sold</v>
      </c>
      <c r="Q45" s="6" t="str">
        <f>IF(Table5[[#This Row],[Re order Level]]&lt;=Table5[[#This Row],[Current stock]],"ORDERASAP","OK BUT BE CHECKING")</f>
        <v>OK BUT BE CHECKING</v>
      </c>
      <c r="R45" s="6" t="str">
        <f t="shared" si="1"/>
        <v>ACTIVE</v>
      </c>
      <c r="S45" s="8">
        <f>IF(Table5[[#This Row],[DEADSTOCK FLAG]]="DEAD",Table5[[#This Row],[Inventory Value]],0)</f>
        <v>0</v>
      </c>
    </row>
    <row r="46" spans="1:19" x14ac:dyDescent="0.25">
      <c r="A46" s="24" t="str">
        <f>'Inventory master'!A46</f>
        <v>ITEM045-A</v>
      </c>
      <c r="B46" s="6" t="str">
        <f>'Inventory master'!B46</f>
        <v>Single-Mode Fiber Cable 100m</v>
      </c>
      <c r="C46" s="6" t="str">
        <f>'Inventory master'!C46</f>
        <v>Fiber Optic Cables</v>
      </c>
      <c r="D46" s="6" t="str">
        <f>'Inventory master'!D46</f>
        <v>TE Connectivity</v>
      </c>
      <c r="E46" s="10" t="str">
        <f>'Inventory master'!E46</f>
        <v>422.48</v>
      </c>
      <c r="F46" s="10" t="str">
        <f>'Inventory master'!F46</f>
        <v>786.86</v>
      </c>
      <c r="G46" s="10" t="str">
        <f>'Inventory master'!G46</f>
        <v>76</v>
      </c>
      <c r="H46" s="8">
        <f>IFERROR(_xlfn.XLOOKUP(A46, 'Opening stock'!A46:A645, 'Opening stock'!E46:E645), "")</f>
        <v>1140</v>
      </c>
      <c r="I46" s="8">
        <f>IFERROR(SUMIF(Table3[Item ID],'Inventory calculations'!A46,Table3[Quantity]),0)</f>
        <v>0</v>
      </c>
      <c r="J46" s="8">
        <f>IFERROR(SUMIF(Table4[Item ID],'Inventory calculations'!A46,Table4[Quantity Purchased]),0)</f>
        <v>20</v>
      </c>
      <c r="K46" s="10">
        <f t="shared" si="3"/>
        <v>1160</v>
      </c>
      <c r="L46" s="6" t="str">
        <f t="shared" si="2"/>
        <v>OK</v>
      </c>
      <c r="M46" s="13">
        <f t="shared" si="0"/>
        <v>490076.80000000005</v>
      </c>
      <c r="N46" s="8">
        <f>Table5[[#This Row],[Total Qty Sold]]*Table5[[#This Row],[Unit Price]]</f>
        <v>0</v>
      </c>
      <c r="O46" s="9"/>
      <c r="P46" s="40" t="str">
        <f ca="1">IF(Table5[[#This Row],[Last sale Date]]="","Never Sold",TODAY()-Table5[[#This Row],[Last sale Date]])</f>
        <v>Never Sold</v>
      </c>
      <c r="Q46" s="6" t="str">
        <f>IF(Table5[[#This Row],[Re order Level]]&lt;=Table5[[#This Row],[Current stock]],"ORDERASAP","OK BUT BE CHECKING")</f>
        <v>OK BUT BE CHECKING</v>
      </c>
      <c r="R46" s="6" t="str">
        <f t="shared" si="1"/>
        <v>ACTIVE</v>
      </c>
      <c r="S46" s="8">
        <f>IF(Table5[[#This Row],[DEADSTOCK FLAG]]="DEAD",Table5[[#This Row],[Inventory Value]],0)</f>
        <v>0</v>
      </c>
    </row>
    <row r="47" spans="1:19" x14ac:dyDescent="0.25">
      <c r="A47" s="24" t="str">
        <f>'Inventory master'!A47</f>
        <v>ITEM046-A</v>
      </c>
      <c r="B47" s="6" t="str">
        <f>'Inventory master'!B47</f>
        <v>Mechanical Splicer</v>
      </c>
      <c r="C47" s="6" t="str">
        <f>'Inventory master'!C47</f>
        <v>Splicers</v>
      </c>
      <c r="D47" s="6" t="str">
        <f>'Inventory master'!D47</f>
        <v>AFL</v>
      </c>
      <c r="E47" s="10" t="str">
        <f>'Inventory master'!E47</f>
        <v>1063.44</v>
      </c>
      <c r="F47" s="10" t="str">
        <f>'Inventory master'!F47</f>
        <v>1887.12</v>
      </c>
      <c r="G47" s="10" t="str">
        <f>'Inventory master'!G47</f>
        <v>31</v>
      </c>
      <c r="H47" s="8">
        <f>IFERROR(_xlfn.XLOOKUP(A47, 'Opening stock'!A47:A646, 'Opening stock'!E47:E646), "")</f>
        <v>465</v>
      </c>
      <c r="I47" s="8">
        <f>IFERROR(SUMIF(Table3[Item ID],'Inventory calculations'!A47,Table3[Quantity]),0)</f>
        <v>5</v>
      </c>
      <c r="J47" s="8">
        <f>IFERROR(SUMIF(Table4[Item ID],'Inventory calculations'!A47,Table4[Quantity Purchased]),0)</f>
        <v>0</v>
      </c>
      <c r="K47" s="10">
        <f t="shared" si="3"/>
        <v>460</v>
      </c>
      <c r="L47" s="6" t="str">
        <f t="shared" si="2"/>
        <v>OK</v>
      </c>
      <c r="M47" s="13">
        <f t="shared" si="0"/>
        <v>489182.4</v>
      </c>
      <c r="N47" s="8">
        <f>Table5[[#This Row],[Total Qty Sold]]*Table5[[#This Row],[Unit Price]]</f>
        <v>9435.5999999999985</v>
      </c>
      <c r="O47" s="9">
        <f>IFERROR(_xlfn.MAXIFS(Table3[Date],Table3[Item ID],Table5[[#This Row],[Item ID]]),"")</f>
        <v>45476</v>
      </c>
      <c r="P47" s="40">
        <f ca="1">IF(Table5[[#This Row],[Last sale Date]]="","Never Sold",TODAY()-Table5[[#This Row],[Last sale Date]])</f>
        <v>576</v>
      </c>
      <c r="Q47" s="6" t="str">
        <f>IF(Table5[[#This Row],[Re order Level]]&lt;=Table5[[#This Row],[Current stock]],"ORDERASAP","OK BUT BE CHECKING")</f>
        <v>OK BUT BE CHECKING</v>
      </c>
      <c r="R47" s="6" t="str">
        <f t="shared" si="1"/>
        <v>ACTIVE</v>
      </c>
      <c r="S47" s="8">
        <f>IF(Table5[[#This Row],[DEADSTOCK FLAG]]="DEAD",Table5[[#This Row],[Inventory Value]],0)</f>
        <v>0</v>
      </c>
    </row>
    <row r="48" spans="1:19" x14ac:dyDescent="0.25">
      <c r="A48" s="24" t="str">
        <f>'Inventory master'!A48</f>
        <v>ITEM047-A</v>
      </c>
      <c r="B48" s="6" t="str">
        <f>'Inventory master'!B48</f>
        <v>QSFP28 Transceiver</v>
      </c>
      <c r="C48" s="6" t="str">
        <f>'Inventory master'!C48</f>
        <v>Transceivers</v>
      </c>
      <c r="D48" s="6" t="str">
        <f>'Inventory master'!D48</f>
        <v>HellermannTyton</v>
      </c>
      <c r="E48" s="10" t="str">
        <f>'Inventory master'!E48</f>
        <v>1460.91</v>
      </c>
      <c r="F48" s="10" t="str">
        <f>'Inventory master'!F48</f>
        <v>1969.33</v>
      </c>
      <c r="G48" s="10" t="str">
        <f>'Inventory master'!G48</f>
        <v>67</v>
      </c>
      <c r="H48" s="8">
        <f>IFERROR(_xlfn.XLOOKUP(A48, 'Opening stock'!A48:A647, 'Opening stock'!E48:E647), "")</f>
        <v>1005</v>
      </c>
      <c r="I48" s="8">
        <f>IFERROR(SUMIF(Table3[Item ID],'Inventory calculations'!A48,Table3[Quantity]),0)</f>
        <v>0</v>
      </c>
      <c r="J48" s="8">
        <f>IFERROR(SUMIF(Table4[Item ID],'Inventory calculations'!A48,Table4[Quantity Purchased]),0)</f>
        <v>2</v>
      </c>
      <c r="K48" s="10">
        <f t="shared" si="3"/>
        <v>1007</v>
      </c>
      <c r="L48" s="6" t="str">
        <f t="shared" si="2"/>
        <v>OK</v>
      </c>
      <c r="M48" s="13">
        <f t="shared" si="0"/>
        <v>1471136.37</v>
      </c>
      <c r="N48" s="8">
        <f>Table5[[#This Row],[Total Qty Sold]]*Table5[[#This Row],[Unit Price]]</f>
        <v>0</v>
      </c>
      <c r="O48" s="9"/>
      <c r="P48" s="40" t="str">
        <f ca="1">IF(Table5[[#This Row],[Last sale Date]]="","Never Sold",TODAY()-Table5[[#This Row],[Last sale Date]])</f>
        <v>Never Sold</v>
      </c>
      <c r="Q48" s="6" t="str">
        <f>IF(Table5[[#This Row],[Re order Level]]&lt;=Table5[[#This Row],[Current stock]],"ORDERASAP","OK BUT BE CHECKING")</f>
        <v>OK BUT BE CHECKING</v>
      </c>
      <c r="R48" s="6" t="str">
        <f t="shared" si="1"/>
        <v>ACTIVE</v>
      </c>
      <c r="S48" s="8">
        <f>IF(Table5[[#This Row],[DEADSTOCK FLAG]]="DEAD",Table5[[#This Row],[Inventory Value]],0)</f>
        <v>0</v>
      </c>
    </row>
    <row r="49" spans="1:19" x14ac:dyDescent="0.25">
      <c r="A49" s="24" t="str">
        <f>'Inventory master'!A49</f>
        <v>ITEM048-A</v>
      </c>
      <c r="B49" s="6" t="str">
        <f>'Inventory master'!B49</f>
        <v>Outdoor Fiber Cable 50m</v>
      </c>
      <c r="C49" s="6" t="str">
        <f>'Inventory master'!C49</f>
        <v>Fiber Optic Cables</v>
      </c>
      <c r="D49" s="6" t="str">
        <f>'Inventory master'!D49</f>
        <v>Leviton</v>
      </c>
      <c r="E49" s="10" t="str">
        <f>'Inventory master'!E49</f>
        <v>608.56</v>
      </c>
      <c r="F49" s="10" t="str">
        <f>'Inventory master'!F49</f>
        <v>1081.79</v>
      </c>
      <c r="G49" s="10" t="str">
        <f>'Inventory master'!G49</f>
        <v>17</v>
      </c>
      <c r="H49" s="8">
        <f>IFERROR(_xlfn.XLOOKUP(A49, 'Opening stock'!A49:A648, 'Opening stock'!E49:E648), "")</f>
        <v>255</v>
      </c>
      <c r="I49" s="8">
        <f>IFERROR(SUMIF(Table3[Item ID],'Inventory calculations'!A49,Table3[Quantity]),0)</f>
        <v>0</v>
      </c>
      <c r="J49" s="8">
        <f>IFERROR(SUMIF(Table4[Item ID],'Inventory calculations'!A49,Table4[Quantity Purchased]),0)</f>
        <v>0</v>
      </c>
      <c r="K49" s="10">
        <f t="shared" si="3"/>
        <v>255</v>
      </c>
      <c r="L49" s="6" t="str">
        <f t="shared" si="2"/>
        <v>OK</v>
      </c>
      <c r="M49" s="13">
        <f t="shared" si="0"/>
        <v>155182.79999999999</v>
      </c>
      <c r="N49" s="8">
        <f>Table5[[#This Row],[Total Qty Sold]]*Table5[[#This Row],[Unit Price]]</f>
        <v>0</v>
      </c>
      <c r="O49" s="9"/>
      <c r="P49" s="40" t="str">
        <f ca="1">IF(Table5[[#This Row],[Last sale Date]]="","Never Sold",TODAY()-Table5[[#This Row],[Last sale Date]])</f>
        <v>Never Sold</v>
      </c>
      <c r="Q49" s="6" t="str">
        <f>IF(Table5[[#This Row],[Re order Level]]&lt;=Table5[[#This Row],[Current stock]],"ORDERASAP","OK BUT BE CHECKING")</f>
        <v>OK BUT BE CHECKING</v>
      </c>
      <c r="R49" s="6" t="str">
        <f t="shared" si="1"/>
        <v>ACTIVE</v>
      </c>
      <c r="S49" s="8">
        <f>IF(Table5[[#This Row],[DEADSTOCK FLAG]]="DEAD",Table5[[#This Row],[Inventory Value]],0)</f>
        <v>0</v>
      </c>
    </row>
    <row r="50" spans="1:19" x14ac:dyDescent="0.25">
      <c r="A50" s="24" t="str">
        <f>'Inventory master'!A50</f>
        <v>ITEM049-A</v>
      </c>
      <c r="B50" s="6" t="str">
        <f>'Inventory master'!B50</f>
        <v>Fusion Splicer</v>
      </c>
      <c r="C50" s="6" t="str">
        <f>'Inventory master'!C50</f>
        <v>Splicers</v>
      </c>
      <c r="D50" s="6" t="str">
        <f>'Inventory master'!D50</f>
        <v>HellermannTyton</v>
      </c>
      <c r="E50" s="10" t="str">
        <f>'Inventory master'!E50</f>
        <v>1063.5</v>
      </c>
      <c r="F50" s="10" t="str">
        <f>'Inventory master'!F50</f>
        <v>1564.29</v>
      </c>
      <c r="G50" s="10" t="str">
        <f>'Inventory master'!G50</f>
        <v>54</v>
      </c>
      <c r="H50" s="8">
        <f>IFERROR(_xlfn.XLOOKUP(A50, 'Opening stock'!A50:A649, 'Opening stock'!E50:E649), "")</f>
        <v>810</v>
      </c>
      <c r="I50" s="8">
        <f>IFERROR(SUMIF(Table3[Item ID],'Inventory calculations'!A50,Table3[Quantity]),0)</f>
        <v>0</v>
      </c>
      <c r="J50" s="8">
        <f>IFERROR(SUMIF(Table4[Item ID],'Inventory calculations'!A50,Table4[Quantity Purchased]),0)</f>
        <v>29</v>
      </c>
      <c r="K50" s="10">
        <f t="shared" si="3"/>
        <v>839</v>
      </c>
      <c r="L50" s="6" t="str">
        <f t="shared" si="2"/>
        <v>OK</v>
      </c>
      <c r="M50" s="13">
        <f t="shared" si="0"/>
        <v>892276.5</v>
      </c>
      <c r="N50" s="8">
        <f>Table5[[#This Row],[Total Qty Sold]]*Table5[[#This Row],[Unit Price]]</f>
        <v>0</v>
      </c>
      <c r="O50" s="9"/>
      <c r="P50" s="40" t="str">
        <f ca="1">IF(Table5[[#This Row],[Last sale Date]]="","Never Sold",TODAY()-Table5[[#This Row],[Last sale Date]])</f>
        <v>Never Sold</v>
      </c>
      <c r="Q50" s="6" t="str">
        <f>IF(Table5[[#This Row],[Re order Level]]&lt;=Table5[[#This Row],[Current stock]],"ORDERASAP","OK BUT BE CHECKING")</f>
        <v>OK BUT BE CHECKING</v>
      </c>
      <c r="R50" s="6" t="str">
        <f t="shared" si="1"/>
        <v>ACTIVE</v>
      </c>
      <c r="S50" s="8">
        <f>IF(Table5[[#This Row],[DEADSTOCK FLAG]]="DEAD",Table5[[#This Row],[Inventory Value]],0)</f>
        <v>0</v>
      </c>
    </row>
    <row r="51" spans="1:19" x14ac:dyDescent="0.25">
      <c r="A51" s="24" t="str">
        <f>'Inventory master'!A51</f>
        <v>ITEM050-A</v>
      </c>
      <c r="B51" s="6" t="str">
        <f>'Inventory master'!B51</f>
        <v>QSFP Transceiver</v>
      </c>
      <c r="C51" s="6" t="str">
        <f>'Inventory master'!C51</f>
        <v>Transceivers</v>
      </c>
      <c r="D51" s="6" t="str">
        <f>'Inventory master'!D51</f>
        <v>Amphenol</v>
      </c>
      <c r="E51" s="10" t="str">
        <f>'Inventory master'!E51</f>
        <v>601.09</v>
      </c>
      <c r="F51" s="10" t="str">
        <f>'Inventory master'!F51</f>
        <v>950.25</v>
      </c>
      <c r="G51" s="10" t="str">
        <f>'Inventory master'!G51</f>
        <v>66</v>
      </c>
      <c r="H51" s="8">
        <f>IFERROR(_xlfn.XLOOKUP(A51, 'Opening stock'!A51:A650, 'Opening stock'!E51:E650), "")</f>
        <v>990</v>
      </c>
      <c r="I51" s="8">
        <f>IFERROR(SUMIF(Table3[Item ID],'Inventory calculations'!A51,Table3[Quantity]),0)</f>
        <v>0</v>
      </c>
      <c r="J51" s="8">
        <f>IFERROR(SUMIF(Table4[Item ID],'Inventory calculations'!A51,Table4[Quantity Purchased]),0)</f>
        <v>0</v>
      </c>
      <c r="K51" s="10">
        <f t="shared" si="3"/>
        <v>990</v>
      </c>
      <c r="L51" s="6" t="str">
        <f t="shared" si="2"/>
        <v>OK</v>
      </c>
      <c r="M51" s="13">
        <f t="shared" si="0"/>
        <v>595079.1</v>
      </c>
      <c r="N51" s="8">
        <f>Table5[[#This Row],[Total Qty Sold]]*Table5[[#This Row],[Unit Price]]</f>
        <v>0</v>
      </c>
      <c r="O51" s="9"/>
      <c r="P51" s="40" t="str">
        <f ca="1">IF(Table5[[#This Row],[Last sale Date]]="","Never Sold",TODAY()-Table5[[#This Row],[Last sale Date]])</f>
        <v>Never Sold</v>
      </c>
      <c r="Q51" s="6" t="str">
        <f>IF(Table5[[#This Row],[Re order Level]]&lt;=Table5[[#This Row],[Current stock]],"ORDERASAP","OK BUT BE CHECKING")</f>
        <v>OK BUT BE CHECKING</v>
      </c>
      <c r="R51" s="6" t="str">
        <f t="shared" si="1"/>
        <v>ACTIVE</v>
      </c>
      <c r="S51" s="8">
        <f>IF(Table5[[#This Row],[DEADSTOCK FLAG]]="DEAD",Table5[[#This Row],[Inventory Value]],0)</f>
        <v>0</v>
      </c>
    </row>
    <row r="52" spans="1:19" x14ac:dyDescent="0.25">
      <c r="A52" s="24" t="str">
        <f>'Inventory master'!A52</f>
        <v>ITEM051-A</v>
      </c>
      <c r="B52" s="6" t="str">
        <f>'Inventory master'!B52</f>
        <v>QSFP28 Transceiver</v>
      </c>
      <c r="C52" s="6" t="str">
        <f>'Inventory master'!C52</f>
        <v>Transceivers</v>
      </c>
      <c r="D52" s="6" t="str">
        <f>'Inventory master'!D52</f>
        <v>HellermannTyton</v>
      </c>
      <c r="E52" s="10" t="str">
        <f>'Inventory master'!E52</f>
        <v>1619.64</v>
      </c>
      <c r="F52" s="10" t="str">
        <f>'Inventory master'!F52</f>
        <v>2597.35</v>
      </c>
      <c r="G52" s="10" t="str">
        <f>'Inventory master'!G52</f>
        <v>63</v>
      </c>
      <c r="H52" s="8">
        <f>IFERROR(_xlfn.XLOOKUP(A52, 'Opening stock'!A52:A651, 'Opening stock'!E52:E651), "")</f>
        <v>945</v>
      </c>
      <c r="I52" s="8">
        <f>IFERROR(SUMIF(Table3[Item ID],'Inventory calculations'!A52,Table3[Quantity]),0)</f>
        <v>0</v>
      </c>
      <c r="J52" s="8">
        <f>IFERROR(SUMIF(Table4[Item ID],'Inventory calculations'!A52,Table4[Quantity Purchased]),0)</f>
        <v>16</v>
      </c>
      <c r="K52" s="10">
        <f t="shared" si="3"/>
        <v>961</v>
      </c>
      <c r="L52" s="6" t="str">
        <f t="shared" si="2"/>
        <v>OK</v>
      </c>
      <c r="M52" s="13">
        <f t="shared" si="0"/>
        <v>1556474.04</v>
      </c>
      <c r="N52" s="8">
        <f>Table5[[#This Row],[Total Qty Sold]]*Table5[[#This Row],[Unit Price]]</f>
        <v>0</v>
      </c>
      <c r="O52" s="9"/>
      <c r="P52" s="40" t="str">
        <f ca="1">IF(Table5[[#This Row],[Last sale Date]]="","Never Sold",TODAY()-Table5[[#This Row],[Last sale Date]])</f>
        <v>Never Sold</v>
      </c>
      <c r="Q52" s="6" t="str">
        <f>IF(Table5[[#This Row],[Re order Level]]&lt;=Table5[[#This Row],[Current stock]],"ORDERASAP","OK BUT BE CHECKING")</f>
        <v>OK BUT BE CHECKING</v>
      </c>
      <c r="R52" s="6" t="str">
        <f t="shared" si="1"/>
        <v>ACTIVE</v>
      </c>
      <c r="S52" s="8">
        <f>IF(Table5[[#This Row],[DEADSTOCK FLAG]]="DEAD",Table5[[#This Row],[Inventory Value]],0)</f>
        <v>0</v>
      </c>
    </row>
    <row r="53" spans="1:19" x14ac:dyDescent="0.25">
      <c r="A53" s="24" t="str">
        <f>'Inventory master'!A53</f>
        <v>ITEM052-A</v>
      </c>
      <c r="B53" s="6" t="str">
        <f>'Inventory master'!B53</f>
        <v>Single-Mode Fiber Cable 200m</v>
      </c>
      <c r="C53" s="6" t="str">
        <f>'Inventory master'!C53</f>
        <v>Fiber Optic Cables</v>
      </c>
      <c r="D53" s="6" t="str">
        <f>'Inventory master'!D53</f>
        <v>Leviton</v>
      </c>
      <c r="E53" s="10" t="str">
        <f>'Inventory master'!E53</f>
        <v>1985.84</v>
      </c>
      <c r="F53" s="10" t="str">
        <f>'Inventory master'!F53</f>
        <v>2298.88</v>
      </c>
      <c r="G53" s="10" t="str">
        <f>'Inventory master'!G53</f>
        <v>16</v>
      </c>
      <c r="H53" s="8">
        <f>IFERROR(_xlfn.XLOOKUP(A53, 'Opening stock'!A53:A652, 'Opening stock'!E53:E652), "")</f>
        <v>240</v>
      </c>
      <c r="I53" s="8">
        <f>IFERROR(SUMIF(Table3[Item ID],'Inventory calculations'!A53,Table3[Quantity]),0)</f>
        <v>13</v>
      </c>
      <c r="J53" s="8">
        <f>IFERROR(SUMIF(Table4[Item ID],'Inventory calculations'!A53,Table4[Quantity Purchased]),0)</f>
        <v>6</v>
      </c>
      <c r="K53" s="10">
        <f t="shared" si="3"/>
        <v>233</v>
      </c>
      <c r="L53" s="6" t="str">
        <f t="shared" si="2"/>
        <v>OK</v>
      </c>
      <c r="M53" s="13">
        <f t="shared" si="0"/>
        <v>462700.72</v>
      </c>
      <c r="N53" s="8">
        <f>Table5[[#This Row],[Total Qty Sold]]*Table5[[#This Row],[Unit Price]]</f>
        <v>29885.440000000002</v>
      </c>
      <c r="O53" s="9">
        <f>IFERROR(_xlfn.MAXIFS(Table3[Date],Table3[Item ID],Table5[[#This Row],[Item ID]]),"")</f>
        <v>45377</v>
      </c>
      <c r="P53" s="40">
        <f ca="1">IF(Table5[[#This Row],[Last sale Date]]="","Never Sold",TODAY()-Table5[[#This Row],[Last sale Date]])</f>
        <v>675</v>
      </c>
      <c r="Q53" s="6" t="str">
        <f>IF(Table5[[#This Row],[Re order Level]]&lt;=Table5[[#This Row],[Current stock]],"ORDERASAP","OK BUT BE CHECKING")</f>
        <v>OK BUT BE CHECKING</v>
      </c>
      <c r="R53" s="6" t="str">
        <f t="shared" si="1"/>
        <v>ACTIVE</v>
      </c>
      <c r="S53" s="8">
        <f>IF(Table5[[#This Row],[DEADSTOCK FLAG]]="DEAD",Table5[[#This Row],[Inventory Value]],0)</f>
        <v>0</v>
      </c>
    </row>
    <row r="54" spans="1:19" x14ac:dyDescent="0.25">
      <c r="A54" s="24" t="str">
        <f>'Inventory master'!A54</f>
        <v>ITEM053-A</v>
      </c>
      <c r="B54" s="6" t="str">
        <f>'Inventory master'!B54</f>
        <v>1x8 PLC Splitter</v>
      </c>
      <c r="C54" s="6" t="str">
        <f>'Inventory master'!C54</f>
        <v>Splitters</v>
      </c>
      <c r="D54" s="6" t="str">
        <f>'Inventory master'!D54</f>
        <v>Huber+Suhner</v>
      </c>
      <c r="E54" s="10" t="str">
        <f>'Inventory master'!E54</f>
        <v>589.26</v>
      </c>
      <c r="F54" s="10" t="str">
        <f>'Inventory master'!F54</f>
        <v>1169.4</v>
      </c>
      <c r="G54" s="10" t="str">
        <f>'Inventory master'!G54</f>
        <v>83</v>
      </c>
      <c r="H54" s="8">
        <f>IFERROR(_xlfn.XLOOKUP(A54, 'Opening stock'!A54:A653, 'Opening stock'!E54:E653), "")</f>
        <v>1245</v>
      </c>
      <c r="I54" s="8">
        <f>IFERROR(SUMIF(Table3[Item ID],'Inventory calculations'!A54,Table3[Quantity]),0)</f>
        <v>0</v>
      </c>
      <c r="J54" s="8">
        <f>IFERROR(SUMIF(Table4[Item ID],'Inventory calculations'!A54,Table4[Quantity Purchased]),0)</f>
        <v>23</v>
      </c>
      <c r="K54" s="10">
        <f t="shared" si="3"/>
        <v>1268</v>
      </c>
      <c r="L54" s="6" t="str">
        <f t="shared" si="2"/>
        <v>OK</v>
      </c>
      <c r="M54" s="13">
        <f t="shared" si="0"/>
        <v>747181.67999999993</v>
      </c>
      <c r="N54" s="8">
        <f>Table5[[#This Row],[Total Qty Sold]]*Table5[[#This Row],[Unit Price]]</f>
        <v>0</v>
      </c>
      <c r="O54" s="9"/>
      <c r="P54" s="40" t="str">
        <f ca="1">IF(Table5[[#This Row],[Last sale Date]]="","Never Sold",TODAY()-Table5[[#This Row],[Last sale Date]])</f>
        <v>Never Sold</v>
      </c>
      <c r="Q54" s="6" t="str">
        <f>IF(Table5[[#This Row],[Re order Level]]&lt;=Table5[[#This Row],[Current stock]],"ORDERASAP","OK BUT BE CHECKING")</f>
        <v>OK BUT BE CHECKING</v>
      </c>
      <c r="R54" s="6" t="str">
        <f t="shared" si="1"/>
        <v>ACTIVE</v>
      </c>
      <c r="S54" s="8">
        <f>IF(Table5[[#This Row],[DEADSTOCK FLAG]]="DEAD",Table5[[#This Row],[Inventory Value]],0)</f>
        <v>0</v>
      </c>
    </row>
    <row r="55" spans="1:19" x14ac:dyDescent="0.25">
      <c r="A55" s="24" t="str">
        <f>'Inventory master'!A55</f>
        <v>ITEM054-A</v>
      </c>
      <c r="B55" s="6" t="str">
        <f>'Inventory master'!B55</f>
        <v>Fiber Optic Stripper</v>
      </c>
      <c r="C55" s="6" t="str">
        <f>'Inventory master'!C55</f>
        <v>Tools</v>
      </c>
      <c r="D55" s="6" t="str">
        <f>'Inventory master'!D55</f>
        <v>Prysmian Group</v>
      </c>
      <c r="E55" s="10" t="str">
        <f>'Inventory master'!E55</f>
        <v>217.34</v>
      </c>
      <c r="F55" s="10" t="str">
        <f>'Inventory master'!F55</f>
        <v>344.64</v>
      </c>
      <c r="G55" s="10" t="str">
        <f>'Inventory master'!G55</f>
        <v>56</v>
      </c>
      <c r="H55" s="8">
        <f>IFERROR(_xlfn.XLOOKUP(A55, 'Opening stock'!A55:A654, 'Opening stock'!E55:E654), "")</f>
        <v>840</v>
      </c>
      <c r="I55" s="8">
        <f>IFERROR(SUMIF(Table3[Item ID],'Inventory calculations'!A55,Table3[Quantity]),0)</f>
        <v>0</v>
      </c>
      <c r="J55" s="8">
        <f>IFERROR(SUMIF(Table4[Item ID],'Inventory calculations'!A55,Table4[Quantity Purchased]),0)</f>
        <v>11</v>
      </c>
      <c r="K55" s="10">
        <f t="shared" si="3"/>
        <v>851</v>
      </c>
      <c r="L55" s="6" t="str">
        <f t="shared" si="2"/>
        <v>OK</v>
      </c>
      <c r="M55" s="13">
        <f t="shared" si="0"/>
        <v>184956.34</v>
      </c>
      <c r="N55" s="8">
        <f>Table5[[#This Row],[Total Qty Sold]]*Table5[[#This Row],[Unit Price]]</f>
        <v>0</v>
      </c>
      <c r="O55" s="9"/>
      <c r="P55" s="40" t="str">
        <f ca="1">IF(Table5[[#This Row],[Last sale Date]]="","Never Sold",TODAY()-Table5[[#This Row],[Last sale Date]])</f>
        <v>Never Sold</v>
      </c>
      <c r="Q55" s="6" t="str">
        <f>IF(Table5[[#This Row],[Re order Level]]&lt;=Table5[[#This Row],[Current stock]],"ORDERASAP","OK BUT BE CHECKING")</f>
        <v>OK BUT BE CHECKING</v>
      </c>
      <c r="R55" s="6" t="str">
        <f t="shared" si="1"/>
        <v>ACTIVE</v>
      </c>
      <c r="S55" s="8">
        <f>IF(Table5[[#This Row],[DEADSTOCK FLAG]]="DEAD",Table5[[#This Row],[Inventory Value]],0)</f>
        <v>0</v>
      </c>
    </row>
    <row r="56" spans="1:19" x14ac:dyDescent="0.25">
      <c r="A56" s="24" t="str">
        <f>'Inventory master'!A56</f>
        <v>ITEM055-A</v>
      </c>
      <c r="B56" s="6" t="str">
        <f>'Inventory master'!B56</f>
        <v>Mechanical Splicer</v>
      </c>
      <c r="C56" s="6" t="str">
        <f>'Inventory master'!C56</f>
        <v>Splicers</v>
      </c>
      <c r="D56" s="6" t="str">
        <f>'Inventory master'!D56</f>
        <v>Amphenol</v>
      </c>
      <c r="E56" s="10" t="str">
        <f>'Inventory master'!E56</f>
        <v>378.73</v>
      </c>
      <c r="F56" s="10" t="str">
        <f>'Inventory master'!F56</f>
        <v>731.32</v>
      </c>
      <c r="G56" s="10" t="str">
        <f>'Inventory master'!G56</f>
        <v>70</v>
      </c>
      <c r="H56" s="8">
        <f>IFERROR(_xlfn.XLOOKUP(A56, 'Opening stock'!A56:A655, 'Opening stock'!E56:E655), "")</f>
        <v>1050</v>
      </c>
      <c r="I56" s="8">
        <f>IFERROR(SUMIF(Table3[Item ID],'Inventory calculations'!A56,Table3[Quantity]),0)</f>
        <v>0</v>
      </c>
      <c r="J56" s="8">
        <f>IFERROR(SUMIF(Table4[Item ID],'Inventory calculations'!A56,Table4[Quantity Purchased]),0)</f>
        <v>2</v>
      </c>
      <c r="K56" s="10">
        <f t="shared" si="3"/>
        <v>1052</v>
      </c>
      <c r="L56" s="6" t="str">
        <f t="shared" si="2"/>
        <v>OK</v>
      </c>
      <c r="M56" s="13">
        <f t="shared" si="0"/>
        <v>398423.96</v>
      </c>
      <c r="N56" s="8">
        <f>Table5[[#This Row],[Total Qty Sold]]*Table5[[#This Row],[Unit Price]]</f>
        <v>0</v>
      </c>
      <c r="O56" s="9"/>
      <c r="P56" s="40" t="str">
        <f ca="1">IF(Table5[[#This Row],[Last sale Date]]="","Never Sold",TODAY()-Table5[[#This Row],[Last sale Date]])</f>
        <v>Never Sold</v>
      </c>
      <c r="Q56" s="6" t="str">
        <f>IF(Table5[[#This Row],[Re order Level]]&lt;=Table5[[#This Row],[Current stock]],"ORDERASAP","OK BUT BE CHECKING")</f>
        <v>OK BUT BE CHECKING</v>
      </c>
      <c r="R56" s="6" t="str">
        <f t="shared" si="1"/>
        <v>ACTIVE</v>
      </c>
      <c r="S56" s="8">
        <f>IF(Table5[[#This Row],[DEADSTOCK FLAG]]="DEAD",Table5[[#This Row],[Inventory Value]],0)</f>
        <v>0</v>
      </c>
    </row>
    <row r="57" spans="1:19" x14ac:dyDescent="0.25">
      <c r="A57" s="24" t="str">
        <f>'Inventory master'!A57</f>
        <v>ITEM056-A</v>
      </c>
      <c r="B57" s="6" t="str">
        <f>'Inventory master'!B57</f>
        <v>Mechanical Splicer</v>
      </c>
      <c r="C57" s="6" t="str">
        <f>'Inventory master'!C57</f>
        <v>Splicers</v>
      </c>
      <c r="D57" s="6" t="str">
        <f>'Inventory master'!D57</f>
        <v>HellermannTyton</v>
      </c>
      <c r="E57" s="10" t="str">
        <f>'Inventory master'!E57</f>
        <v>749.97</v>
      </c>
      <c r="F57" s="10" t="str">
        <f>'Inventory master'!F57</f>
        <v>1424.65</v>
      </c>
      <c r="G57" s="10" t="str">
        <f>'Inventory master'!G57</f>
        <v>11</v>
      </c>
      <c r="H57" s="8">
        <f>IFERROR(_xlfn.XLOOKUP(A57, 'Opening stock'!A57:A656, 'Opening stock'!E57:E656), "")</f>
        <v>165</v>
      </c>
      <c r="I57" s="8">
        <f>IFERROR(SUMIF(Table3[Item ID],'Inventory calculations'!A57,Table3[Quantity]),0)</f>
        <v>0</v>
      </c>
      <c r="J57" s="8">
        <f>IFERROR(SUMIF(Table4[Item ID],'Inventory calculations'!A57,Table4[Quantity Purchased]),0)</f>
        <v>14</v>
      </c>
      <c r="K57" s="10">
        <f t="shared" si="3"/>
        <v>179</v>
      </c>
      <c r="L57" s="6" t="str">
        <f t="shared" si="2"/>
        <v>OK</v>
      </c>
      <c r="M57" s="13">
        <f t="shared" si="0"/>
        <v>134244.63</v>
      </c>
      <c r="N57" s="8">
        <f>Table5[[#This Row],[Total Qty Sold]]*Table5[[#This Row],[Unit Price]]</f>
        <v>0</v>
      </c>
      <c r="O57" s="9"/>
      <c r="P57" s="40" t="str">
        <f ca="1">IF(Table5[[#This Row],[Last sale Date]]="","Never Sold",TODAY()-Table5[[#This Row],[Last sale Date]])</f>
        <v>Never Sold</v>
      </c>
      <c r="Q57" s="6" t="str">
        <f>IF(Table5[[#This Row],[Re order Level]]&lt;=Table5[[#This Row],[Current stock]],"ORDERASAP","OK BUT BE CHECKING")</f>
        <v>OK BUT BE CHECKING</v>
      </c>
      <c r="R57" s="6" t="str">
        <f t="shared" si="1"/>
        <v>ACTIVE</v>
      </c>
      <c r="S57" s="8">
        <f>IF(Table5[[#This Row],[DEADSTOCK FLAG]]="DEAD",Table5[[#This Row],[Inventory Value]],0)</f>
        <v>0</v>
      </c>
    </row>
    <row r="58" spans="1:19" x14ac:dyDescent="0.25">
      <c r="A58" s="24" t="str">
        <f>'Inventory master'!A58</f>
        <v>ITEM057-A</v>
      </c>
      <c r="B58" s="6" t="str">
        <f>'Inventory master'!B58</f>
        <v>Fiber Jumper</v>
      </c>
      <c r="C58" s="6" t="str">
        <f>'Inventory master'!C58</f>
        <v>Accessories</v>
      </c>
      <c r="D58" s="6" t="str">
        <f>'Inventory master'!D58</f>
        <v>Prysmian Group</v>
      </c>
      <c r="E58" s="10" t="str">
        <f>'Inventory master'!E58</f>
        <v>1581.53</v>
      </c>
      <c r="F58" s="10" t="str">
        <f>'Inventory master'!F58</f>
        <v>2927.58</v>
      </c>
      <c r="G58" s="10" t="str">
        <f>'Inventory master'!G58</f>
        <v>94</v>
      </c>
      <c r="H58" s="8">
        <f>IFERROR(_xlfn.XLOOKUP(A58, 'Opening stock'!A58:A657, 'Opening stock'!E58:E657), "")</f>
        <v>1410</v>
      </c>
      <c r="I58" s="8">
        <f>IFERROR(SUMIF(Table3[Item ID],'Inventory calculations'!A58,Table3[Quantity]),0)</f>
        <v>0</v>
      </c>
      <c r="J58" s="8">
        <f>IFERROR(SUMIF(Table4[Item ID],'Inventory calculations'!A58,Table4[Quantity Purchased]),0)</f>
        <v>1</v>
      </c>
      <c r="K58" s="10">
        <f t="shared" si="3"/>
        <v>1411</v>
      </c>
      <c r="L58" s="6" t="str">
        <f t="shared" si="2"/>
        <v>OK</v>
      </c>
      <c r="M58" s="13">
        <f t="shared" si="0"/>
        <v>2231538.83</v>
      </c>
      <c r="N58" s="8">
        <f>Table5[[#This Row],[Total Qty Sold]]*Table5[[#This Row],[Unit Price]]</f>
        <v>0</v>
      </c>
      <c r="O58" s="9"/>
      <c r="P58" s="40" t="str">
        <f ca="1">IF(Table5[[#This Row],[Last sale Date]]="","Never Sold",TODAY()-Table5[[#This Row],[Last sale Date]])</f>
        <v>Never Sold</v>
      </c>
      <c r="Q58" s="6" t="str">
        <f>IF(Table5[[#This Row],[Re order Level]]&lt;=Table5[[#This Row],[Current stock]],"ORDERASAP","OK BUT BE CHECKING")</f>
        <v>OK BUT BE CHECKING</v>
      </c>
      <c r="R58" s="6" t="str">
        <f t="shared" si="1"/>
        <v>ACTIVE</v>
      </c>
      <c r="S58" s="8">
        <f>IF(Table5[[#This Row],[DEADSTOCK FLAG]]="DEAD",Table5[[#This Row],[Inventory Value]],0)</f>
        <v>0</v>
      </c>
    </row>
    <row r="59" spans="1:19" x14ac:dyDescent="0.25">
      <c r="A59" s="24" t="str">
        <f>'Inventory master'!A59</f>
        <v>ITEM058-A</v>
      </c>
      <c r="B59" s="6" t="str">
        <f>'Inventory master'!B59</f>
        <v>MPO APC Connector</v>
      </c>
      <c r="C59" s="6" t="str">
        <f>'Inventory master'!C59</f>
        <v>Connectors</v>
      </c>
      <c r="D59" s="6" t="str">
        <f>'Inventory master'!D59</f>
        <v>CommScope</v>
      </c>
      <c r="E59" s="10" t="str">
        <f>'Inventory master'!E59</f>
        <v>260.34</v>
      </c>
      <c r="F59" s="10" t="str">
        <f>'Inventory master'!F59</f>
        <v>289.51</v>
      </c>
      <c r="G59" s="10" t="str">
        <f>'Inventory master'!G59</f>
        <v>36</v>
      </c>
      <c r="H59" s="8">
        <f>IFERROR(_xlfn.XLOOKUP(A59, 'Opening stock'!A59:A658, 'Opening stock'!E59:E658), "")</f>
        <v>540</v>
      </c>
      <c r="I59" s="8">
        <f>IFERROR(SUMIF(Table3[Item ID],'Inventory calculations'!A59,Table3[Quantity]),0)</f>
        <v>0</v>
      </c>
      <c r="J59" s="8">
        <f>IFERROR(SUMIF(Table4[Item ID],'Inventory calculations'!A59,Table4[Quantity Purchased]),0)</f>
        <v>2</v>
      </c>
      <c r="K59" s="10">
        <f t="shared" si="3"/>
        <v>542</v>
      </c>
      <c r="L59" s="6" t="str">
        <f t="shared" si="2"/>
        <v>OK</v>
      </c>
      <c r="M59" s="13">
        <f t="shared" si="0"/>
        <v>141104.28</v>
      </c>
      <c r="N59" s="8">
        <f>Table5[[#This Row],[Total Qty Sold]]*Table5[[#This Row],[Unit Price]]</f>
        <v>0</v>
      </c>
      <c r="O59" s="9"/>
      <c r="P59" s="40" t="str">
        <f ca="1">IF(Table5[[#This Row],[Last sale Date]]="","Never Sold",TODAY()-Table5[[#This Row],[Last sale Date]])</f>
        <v>Never Sold</v>
      </c>
      <c r="Q59" s="6" t="str">
        <f>IF(Table5[[#This Row],[Re order Level]]&lt;=Table5[[#This Row],[Current stock]],"ORDERASAP","OK BUT BE CHECKING")</f>
        <v>OK BUT BE CHECKING</v>
      </c>
      <c r="R59" s="6" t="str">
        <f t="shared" si="1"/>
        <v>ACTIVE</v>
      </c>
      <c r="S59" s="8">
        <f>IF(Table5[[#This Row],[DEADSTOCK FLAG]]="DEAD",Table5[[#This Row],[Inventory Value]],0)</f>
        <v>0</v>
      </c>
    </row>
    <row r="60" spans="1:19" x14ac:dyDescent="0.25">
      <c r="A60" s="24" t="str">
        <f>'Inventory master'!A60</f>
        <v>ITEM059-A</v>
      </c>
      <c r="B60" s="6" t="str">
        <f>'Inventory master'!B60</f>
        <v>12-Port Fiber Patch Panel</v>
      </c>
      <c r="C60" s="6" t="str">
        <f>'Inventory master'!C60</f>
        <v>Patch Panels</v>
      </c>
      <c r="D60" s="6" t="str">
        <f>'Inventory master'!D60</f>
        <v>Amphenol</v>
      </c>
      <c r="E60" s="10" t="str">
        <f>'Inventory master'!E60</f>
        <v>333.48</v>
      </c>
      <c r="F60" s="10" t="str">
        <f>'Inventory master'!F60</f>
        <v>664.57</v>
      </c>
      <c r="G60" s="10" t="str">
        <f>'Inventory master'!G60</f>
        <v>24</v>
      </c>
      <c r="H60" s="8">
        <f>IFERROR(_xlfn.XLOOKUP(A60, 'Opening stock'!A60:A659, 'Opening stock'!E60:E659), "")</f>
        <v>360</v>
      </c>
      <c r="I60" s="8">
        <f>IFERROR(SUMIF(Table3[Item ID],'Inventory calculations'!A60,Table3[Quantity]),0)</f>
        <v>3</v>
      </c>
      <c r="J60" s="8">
        <f>IFERROR(SUMIF(Table4[Item ID],'Inventory calculations'!A60,Table4[Quantity Purchased]),0)</f>
        <v>0</v>
      </c>
      <c r="K60" s="10">
        <f t="shared" si="3"/>
        <v>357</v>
      </c>
      <c r="L60" s="6" t="str">
        <f t="shared" si="2"/>
        <v>OK</v>
      </c>
      <c r="M60" s="13">
        <f t="shared" si="0"/>
        <v>119052.36</v>
      </c>
      <c r="N60" s="8">
        <f>Table5[[#This Row],[Total Qty Sold]]*Table5[[#This Row],[Unit Price]]</f>
        <v>1993.71</v>
      </c>
      <c r="O60" s="9">
        <f>IFERROR(_xlfn.MAXIFS(Table3[Date],Table3[Item ID],Table5[[#This Row],[Item ID]]),"")</f>
        <v>45329</v>
      </c>
      <c r="P60" s="40">
        <f ca="1">IF(Table5[[#This Row],[Last sale Date]]="","Never Sold",TODAY()-Table5[[#This Row],[Last sale Date]])</f>
        <v>723</v>
      </c>
      <c r="Q60" s="6" t="str">
        <f>IF(Table5[[#This Row],[Re order Level]]&lt;=Table5[[#This Row],[Current stock]],"ORDERASAP","OK BUT BE CHECKING")</f>
        <v>OK BUT BE CHECKING</v>
      </c>
      <c r="R60" s="6" t="str">
        <f t="shared" si="1"/>
        <v>ACTIVE</v>
      </c>
      <c r="S60" s="8">
        <f>IF(Table5[[#This Row],[DEADSTOCK FLAG]]="DEAD",Table5[[#This Row],[Inventory Value]],0)</f>
        <v>0</v>
      </c>
    </row>
    <row r="61" spans="1:19" x14ac:dyDescent="0.25">
      <c r="A61" s="24" t="str">
        <f>'Inventory master'!A61</f>
        <v>ITEM060-A</v>
      </c>
      <c r="B61" s="6" t="str">
        <f>'Inventory master'!B61</f>
        <v>Fiber Optic Stripper</v>
      </c>
      <c r="C61" s="6" t="str">
        <f>'Inventory master'!C61</f>
        <v>Tools</v>
      </c>
      <c r="D61" s="6" t="str">
        <f>'Inventory master'!D61</f>
        <v>Huber+Suhner</v>
      </c>
      <c r="E61" s="10" t="str">
        <f>'Inventory master'!E61</f>
        <v>1808.2</v>
      </c>
      <c r="F61" s="10" t="str">
        <f>'Inventory master'!F61</f>
        <v>3225.72</v>
      </c>
      <c r="G61" s="10" t="str">
        <f>'Inventory master'!G61</f>
        <v>79</v>
      </c>
      <c r="H61" s="8">
        <f>IFERROR(_xlfn.XLOOKUP(A61, 'Opening stock'!A61:A660, 'Opening stock'!E61:E660), "")</f>
        <v>1185</v>
      </c>
      <c r="I61" s="8">
        <f>IFERROR(SUMIF(Table3[Item ID],'Inventory calculations'!A61,Table3[Quantity]),0)</f>
        <v>0</v>
      </c>
      <c r="J61" s="8">
        <f>IFERROR(SUMIF(Table4[Item ID],'Inventory calculations'!A61,Table4[Quantity Purchased]),0)</f>
        <v>6</v>
      </c>
      <c r="K61" s="10">
        <f t="shared" si="3"/>
        <v>1191</v>
      </c>
      <c r="L61" s="6" t="str">
        <f t="shared" si="2"/>
        <v>OK</v>
      </c>
      <c r="M61" s="13">
        <f t="shared" si="0"/>
        <v>2153566.2000000002</v>
      </c>
      <c r="N61" s="8">
        <f>Table5[[#This Row],[Total Qty Sold]]*Table5[[#This Row],[Unit Price]]</f>
        <v>0</v>
      </c>
      <c r="O61" s="9"/>
      <c r="P61" s="40" t="str">
        <f ca="1">IF(Table5[[#This Row],[Last sale Date]]="","Never Sold",TODAY()-Table5[[#This Row],[Last sale Date]])</f>
        <v>Never Sold</v>
      </c>
      <c r="Q61" s="6" t="str">
        <f>IF(Table5[[#This Row],[Re order Level]]&lt;=Table5[[#This Row],[Current stock]],"ORDERASAP","OK BUT BE CHECKING")</f>
        <v>OK BUT BE CHECKING</v>
      </c>
      <c r="R61" s="6" t="str">
        <f t="shared" si="1"/>
        <v>ACTIVE</v>
      </c>
      <c r="S61" s="8">
        <f>IF(Table5[[#This Row],[DEADSTOCK FLAG]]="DEAD",Table5[[#This Row],[Inventory Value]],0)</f>
        <v>0</v>
      </c>
    </row>
    <row r="62" spans="1:19" x14ac:dyDescent="0.25">
      <c r="A62" s="24" t="str">
        <f>'Inventory master'!A62</f>
        <v>ITEM061-A</v>
      </c>
      <c r="B62" s="6" t="str">
        <f>'Inventory master'!B62</f>
        <v>Single-Mode Fiber Cable 200m</v>
      </c>
      <c r="C62" s="6" t="str">
        <f>'Inventory master'!C62</f>
        <v>Fiber Optic Cables</v>
      </c>
      <c r="D62" s="6" t="str">
        <f>'Inventory master'!D62</f>
        <v>AFL</v>
      </c>
      <c r="E62" s="10" t="str">
        <f>'Inventory master'!E62</f>
        <v>1757.54</v>
      </c>
      <c r="F62" s="10" t="str">
        <f>'Inventory master'!F62</f>
        <v>3028.11</v>
      </c>
      <c r="G62" s="10" t="str">
        <f>'Inventory master'!G62</f>
        <v>98</v>
      </c>
      <c r="H62" s="8">
        <f>IFERROR(_xlfn.XLOOKUP(A62, 'Opening stock'!A62:A661, 'Opening stock'!E62:E661), "")</f>
        <v>1470</v>
      </c>
      <c r="I62" s="8">
        <f>IFERROR(SUMIF(Table3[Item ID],'Inventory calculations'!A62,Table3[Quantity]),0)</f>
        <v>0</v>
      </c>
      <c r="J62" s="8">
        <f>IFERROR(SUMIF(Table4[Item ID],'Inventory calculations'!A62,Table4[Quantity Purchased]),0)</f>
        <v>4</v>
      </c>
      <c r="K62" s="10">
        <f t="shared" si="3"/>
        <v>1474</v>
      </c>
      <c r="L62" s="6" t="str">
        <f t="shared" si="2"/>
        <v>OK</v>
      </c>
      <c r="M62" s="13">
        <f t="shared" si="0"/>
        <v>2590613.96</v>
      </c>
      <c r="N62" s="8">
        <f>Table5[[#This Row],[Total Qty Sold]]*Table5[[#This Row],[Unit Price]]</f>
        <v>0</v>
      </c>
      <c r="O62" s="9"/>
      <c r="P62" s="40" t="str">
        <f ca="1">IF(Table5[[#This Row],[Last sale Date]]="","Never Sold",TODAY()-Table5[[#This Row],[Last sale Date]])</f>
        <v>Never Sold</v>
      </c>
      <c r="Q62" s="6" t="str">
        <f>IF(Table5[[#This Row],[Re order Level]]&lt;=Table5[[#This Row],[Current stock]],"ORDERASAP","OK BUT BE CHECKING")</f>
        <v>OK BUT BE CHECKING</v>
      </c>
      <c r="R62" s="6" t="str">
        <f t="shared" si="1"/>
        <v>ACTIVE</v>
      </c>
      <c r="S62" s="8">
        <f>IF(Table5[[#This Row],[DEADSTOCK FLAG]]="DEAD",Table5[[#This Row],[Inventory Value]],0)</f>
        <v>0</v>
      </c>
    </row>
    <row r="63" spans="1:19" x14ac:dyDescent="0.25">
      <c r="A63" s="24" t="str">
        <f>'Inventory master'!A63</f>
        <v>ITEM062-A</v>
      </c>
      <c r="B63" s="6" t="str">
        <f>'Inventory master'!B63</f>
        <v>Fiber Pigtail</v>
      </c>
      <c r="C63" s="6" t="str">
        <f>'Inventory master'!C63</f>
        <v>Accessories</v>
      </c>
      <c r="D63" s="6" t="str">
        <f>'Inventory master'!D63</f>
        <v>Prysmian Group</v>
      </c>
      <c r="E63" s="10" t="str">
        <f>'Inventory master'!E63</f>
        <v>818.08</v>
      </c>
      <c r="F63" s="10" t="str">
        <f>'Inventory master'!F63</f>
        <v>1244.03</v>
      </c>
      <c r="G63" s="10" t="str">
        <f>'Inventory master'!G63</f>
        <v>10</v>
      </c>
      <c r="H63" s="8">
        <f>IFERROR(_xlfn.XLOOKUP(A63, 'Opening stock'!A63:A662, 'Opening stock'!E63:E662), "")</f>
        <v>150</v>
      </c>
      <c r="I63" s="8">
        <f>IFERROR(SUMIF(Table3[Item ID],'Inventory calculations'!A63,Table3[Quantity]),0)</f>
        <v>2</v>
      </c>
      <c r="J63" s="8">
        <f>IFERROR(SUMIF(Table4[Item ID],'Inventory calculations'!A63,Table4[Quantity Purchased]),0)</f>
        <v>14</v>
      </c>
      <c r="K63" s="10">
        <f t="shared" si="3"/>
        <v>162</v>
      </c>
      <c r="L63" s="6" t="str">
        <f t="shared" si="2"/>
        <v>OK</v>
      </c>
      <c r="M63" s="13">
        <f t="shared" si="0"/>
        <v>132528.96000000002</v>
      </c>
      <c r="N63" s="8">
        <f>Table5[[#This Row],[Total Qty Sold]]*Table5[[#This Row],[Unit Price]]</f>
        <v>2488.06</v>
      </c>
      <c r="O63" s="9">
        <f>IFERROR(_xlfn.MAXIFS(Table3[Date],Table3[Item ID],Table5[[#This Row],[Item ID]]),"")</f>
        <v>45846</v>
      </c>
      <c r="P63" s="40">
        <f ca="1">IF(Table5[[#This Row],[Last sale Date]]="","Never Sold",TODAY()-Table5[[#This Row],[Last sale Date]])</f>
        <v>206</v>
      </c>
      <c r="Q63" s="6" t="str">
        <f>IF(Table5[[#This Row],[Re order Level]]&lt;=Table5[[#This Row],[Current stock]],"ORDERASAP","OK BUT BE CHECKING")</f>
        <v>OK BUT BE CHECKING</v>
      </c>
      <c r="R63" s="6" t="str">
        <f t="shared" si="1"/>
        <v>ACTIVE</v>
      </c>
      <c r="S63" s="8">
        <f>IF(Table5[[#This Row],[DEADSTOCK FLAG]]="DEAD",Table5[[#This Row],[Inventory Value]],0)</f>
        <v>0</v>
      </c>
    </row>
    <row r="64" spans="1:19" x14ac:dyDescent="0.25">
      <c r="A64" s="24" t="str">
        <f>'Inventory master'!A64</f>
        <v>ITEM063-A</v>
      </c>
      <c r="B64" s="6" t="str">
        <f>'Inventory master'!B64</f>
        <v>Fusion Splicer</v>
      </c>
      <c r="C64" s="6" t="str">
        <f>'Inventory master'!C64</f>
        <v>Splicers</v>
      </c>
      <c r="D64" s="6" t="str">
        <f>'Inventory master'!D64</f>
        <v>Huber+Suhner</v>
      </c>
      <c r="E64" s="10" t="str">
        <f>'Inventory master'!E64</f>
        <v>1096.42</v>
      </c>
      <c r="F64" s="10" t="str">
        <f>'Inventory master'!F64</f>
        <v>1631.52</v>
      </c>
      <c r="G64" s="10" t="str">
        <f>'Inventory master'!G64</f>
        <v>52</v>
      </c>
      <c r="H64" s="8">
        <f>IFERROR(_xlfn.XLOOKUP(A64, 'Opening stock'!A64:A663, 'Opening stock'!E64:E663), "")</f>
        <v>780</v>
      </c>
      <c r="I64" s="8">
        <f>IFERROR(SUMIF(Table3[Item ID],'Inventory calculations'!A64,Table3[Quantity]),0)</f>
        <v>0</v>
      </c>
      <c r="J64" s="8">
        <f>IFERROR(SUMIF(Table4[Item ID],'Inventory calculations'!A64,Table4[Quantity Purchased]),0)</f>
        <v>10</v>
      </c>
      <c r="K64" s="10">
        <f t="shared" si="3"/>
        <v>790</v>
      </c>
      <c r="L64" s="6" t="str">
        <f t="shared" si="2"/>
        <v>OK</v>
      </c>
      <c r="M64" s="13">
        <f t="shared" si="0"/>
        <v>866171.8</v>
      </c>
      <c r="N64" s="8">
        <f>Table5[[#This Row],[Total Qty Sold]]*Table5[[#This Row],[Unit Price]]</f>
        <v>0</v>
      </c>
      <c r="O64" s="9"/>
      <c r="P64" s="40" t="str">
        <f ca="1">IF(Table5[[#This Row],[Last sale Date]]="","Never Sold",TODAY()-Table5[[#This Row],[Last sale Date]])</f>
        <v>Never Sold</v>
      </c>
      <c r="Q64" s="6" t="str">
        <f>IF(Table5[[#This Row],[Re order Level]]&lt;=Table5[[#This Row],[Current stock]],"ORDERASAP","OK BUT BE CHECKING")</f>
        <v>OK BUT BE CHECKING</v>
      </c>
      <c r="R64" s="6" t="str">
        <f t="shared" si="1"/>
        <v>ACTIVE</v>
      </c>
      <c r="S64" s="8">
        <f>IF(Table5[[#This Row],[DEADSTOCK FLAG]]="DEAD",Table5[[#This Row],[Inventory Value]],0)</f>
        <v>0</v>
      </c>
    </row>
    <row r="65" spans="1:19" x14ac:dyDescent="0.25">
      <c r="A65" s="24" t="str">
        <f>'Inventory master'!A65</f>
        <v>ITEM064-A</v>
      </c>
      <c r="B65" s="6" t="str">
        <f>'Inventory master'!B65</f>
        <v>CFP Transceiver</v>
      </c>
      <c r="C65" s="6" t="str">
        <f>'Inventory master'!C65</f>
        <v>Transceivers</v>
      </c>
      <c r="D65" s="6" t="str">
        <f>'Inventory master'!D65</f>
        <v>Huber+Suhner</v>
      </c>
      <c r="E65" s="10" t="str">
        <f>'Inventory master'!E65</f>
        <v>275.74</v>
      </c>
      <c r="F65" s="10" t="str">
        <f>'Inventory master'!F65</f>
        <v>519.42</v>
      </c>
      <c r="G65" s="10" t="str">
        <f>'Inventory master'!G65</f>
        <v>96</v>
      </c>
      <c r="H65" s="8">
        <f>IFERROR(_xlfn.XLOOKUP(A65, 'Opening stock'!A65:A664, 'Opening stock'!E65:E664), "")</f>
        <v>1440</v>
      </c>
      <c r="I65" s="8">
        <f>IFERROR(SUMIF(Table3[Item ID],'Inventory calculations'!A65,Table3[Quantity]),0)</f>
        <v>0</v>
      </c>
      <c r="J65" s="8">
        <f>IFERROR(SUMIF(Table4[Item ID],'Inventory calculations'!A65,Table4[Quantity Purchased]),0)</f>
        <v>0</v>
      </c>
      <c r="K65" s="10">
        <f t="shared" si="3"/>
        <v>1440</v>
      </c>
      <c r="L65" s="6" t="str">
        <f t="shared" si="2"/>
        <v>OK</v>
      </c>
      <c r="M65" s="13">
        <f t="shared" si="0"/>
        <v>397065.60000000003</v>
      </c>
      <c r="N65" s="8">
        <f>Table5[[#This Row],[Total Qty Sold]]*Table5[[#This Row],[Unit Price]]</f>
        <v>0</v>
      </c>
      <c r="O65" s="9"/>
      <c r="P65" s="40" t="str">
        <f ca="1">IF(Table5[[#This Row],[Last sale Date]]="","Never Sold",TODAY()-Table5[[#This Row],[Last sale Date]])</f>
        <v>Never Sold</v>
      </c>
      <c r="Q65" s="6" t="str">
        <f>IF(Table5[[#This Row],[Re order Level]]&lt;=Table5[[#This Row],[Current stock]],"ORDERASAP","OK BUT BE CHECKING")</f>
        <v>OK BUT BE CHECKING</v>
      </c>
      <c r="R65" s="6" t="str">
        <f t="shared" si="1"/>
        <v>ACTIVE</v>
      </c>
      <c r="S65" s="8">
        <f>IF(Table5[[#This Row],[DEADSTOCK FLAG]]="DEAD",Table5[[#This Row],[Inventory Value]],0)</f>
        <v>0</v>
      </c>
    </row>
    <row r="66" spans="1:19" x14ac:dyDescent="0.25">
      <c r="A66" s="24" t="str">
        <f>'Inventory master'!A66</f>
        <v>ITEM065-A</v>
      </c>
      <c r="B66" s="6" t="str">
        <f>'Inventory master'!B66</f>
        <v>LC UPC Connector</v>
      </c>
      <c r="C66" s="6" t="str">
        <f>'Inventory master'!C66</f>
        <v>Connectors</v>
      </c>
      <c r="D66" s="6" t="str">
        <f>'Inventory master'!D66</f>
        <v>CommScope</v>
      </c>
      <c r="E66" s="10" t="str">
        <f>'Inventory master'!E66</f>
        <v>953.43</v>
      </c>
      <c r="F66" s="10" t="str">
        <f>'Inventory master'!F66</f>
        <v>1646.19</v>
      </c>
      <c r="G66" s="10" t="str">
        <f>'Inventory master'!G66</f>
        <v>46</v>
      </c>
      <c r="H66" s="8">
        <f>IFERROR(_xlfn.XLOOKUP(A66, 'Opening stock'!A66:A665, 'Opening stock'!E66:E665), "")</f>
        <v>690</v>
      </c>
      <c r="I66" s="8">
        <f>IFERROR(SUMIF(Table3[Item ID],'Inventory calculations'!A66,Table3[Quantity]),0)</f>
        <v>0</v>
      </c>
      <c r="J66" s="8">
        <f>IFERROR(SUMIF(Table4[Item ID],'Inventory calculations'!A66,Table4[Quantity Purchased]),0)</f>
        <v>7</v>
      </c>
      <c r="K66" s="10">
        <f t="shared" si="3"/>
        <v>697</v>
      </c>
      <c r="L66" s="6" t="str">
        <f t="shared" si="2"/>
        <v>OK</v>
      </c>
      <c r="M66" s="13">
        <f t="shared" ref="M66:M129" si="4">K66*E66</f>
        <v>664540.71</v>
      </c>
      <c r="N66" s="8">
        <f>Table5[[#This Row],[Total Qty Sold]]*Table5[[#This Row],[Unit Price]]</f>
        <v>0</v>
      </c>
      <c r="O66" s="9"/>
      <c r="P66" s="40" t="str">
        <f ca="1">IF(Table5[[#This Row],[Last sale Date]]="","Never Sold",TODAY()-Table5[[#This Row],[Last sale Date]])</f>
        <v>Never Sold</v>
      </c>
      <c r="Q66" s="6" t="str">
        <f>IF(Table5[[#This Row],[Re order Level]]&lt;=Table5[[#This Row],[Current stock]],"ORDERASAP","OK BUT BE CHECKING")</f>
        <v>OK BUT BE CHECKING</v>
      </c>
      <c r="R66" s="6" t="str">
        <f t="shared" ref="R66:R129" si="5">IF(AND(ISNUMBER(B66), B66 &gt; 60), "DEAD", "ACTIVE")</f>
        <v>ACTIVE</v>
      </c>
      <c r="S66" s="8">
        <f>IF(Table5[[#This Row],[DEADSTOCK FLAG]]="DEAD",Table5[[#This Row],[Inventory Value]],0)</f>
        <v>0</v>
      </c>
    </row>
    <row r="67" spans="1:19" x14ac:dyDescent="0.25">
      <c r="A67" s="24" t="str">
        <f>'Inventory master'!A67</f>
        <v>ITEM066-A</v>
      </c>
      <c r="B67" s="6" t="str">
        <f>'Inventory master'!B67</f>
        <v>Mechanical Splicer</v>
      </c>
      <c r="C67" s="6" t="str">
        <f>'Inventory master'!C67</f>
        <v>Splicers</v>
      </c>
      <c r="D67" s="6" t="str">
        <f>'Inventory master'!D67</f>
        <v>AFL</v>
      </c>
      <c r="E67" s="10" t="str">
        <f>'Inventory master'!E67</f>
        <v>1131.74</v>
      </c>
      <c r="F67" s="10" t="str">
        <f>'Inventory master'!F67</f>
        <v>1549.72</v>
      </c>
      <c r="G67" s="10" t="str">
        <f>'Inventory master'!G67</f>
        <v>66</v>
      </c>
      <c r="H67" s="8">
        <f>IFERROR(_xlfn.XLOOKUP(A67, 'Opening stock'!A67:A666, 'Opening stock'!E67:E666), "")</f>
        <v>990</v>
      </c>
      <c r="I67" s="8">
        <f>IFERROR(SUMIF(Table3[Item ID],'Inventory calculations'!A67,Table3[Quantity]),0)</f>
        <v>0</v>
      </c>
      <c r="J67" s="8">
        <f>IFERROR(SUMIF(Table4[Item ID],'Inventory calculations'!A67,Table4[Quantity Purchased]),0)</f>
        <v>12</v>
      </c>
      <c r="K67" s="10">
        <f t="shared" ref="K67:K130" si="6">H67+J67-I67</f>
        <v>1002</v>
      </c>
      <c r="L67" s="6" t="str">
        <f t="shared" ref="L67:L130" si="7">IF(K67&lt;0,"STOCK ISSUE","OK")</f>
        <v>OK</v>
      </c>
      <c r="M67" s="13">
        <f t="shared" si="4"/>
        <v>1134003.48</v>
      </c>
      <c r="N67" s="8">
        <f>Table5[[#This Row],[Total Qty Sold]]*Table5[[#This Row],[Unit Price]]</f>
        <v>0</v>
      </c>
      <c r="O67" s="9"/>
      <c r="P67" s="40" t="str">
        <f ca="1">IF(Table5[[#This Row],[Last sale Date]]="","Never Sold",TODAY()-Table5[[#This Row],[Last sale Date]])</f>
        <v>Never Sold</v>
      </c>
      <c r="Q67" s="6" t="str">
        <f>IF(Table5[[#This Row],[Re order Level]]&lt;=Table5[[#This Row],[Current stock]],"ORDERASAP","OK BUT BE CHECKING")</f>
        <v>OK BUT BE CHECKING</v>
      </c>
      <c r="R67" s="6" t="str">
        <f t="shared" si="5"/>
        <v>ACTIVE</v>
      </c>
      <c r="S67" s="8">
        <f>IF(Table5[[#This Row],[DEADSTOCK FLAG]]="DEAD",Table5[[#This Row],[Inventory Value]],0)</f>
        <v>0</v>
      </c>
    </row>
    <row r="68" spans="1:19" x14ac:dyDescent="0.25">
      <c r="A68" s="24" t="str">
        <f>'Inventory master'!A68</f>
        <v>ITEM067-A</v>
      </c>
      <c r="B68" s="6" t="str">
        <f>'Inventory master'!B68</f>
        <v>Fiber Optic Tester</v>
      </c>
      <c r="C68" s="6" t="str">
        <f>'Inventory master'!C68</f>
        <v>Tools</v>
      </c>
      <c r="D68" s="6" t="str">
        <f>'Inventory master'!D68</f>
        <v>CommScope</v>
      </c>
      <c r="E68" s="10" t="str">
        <f>'Inventory master'!E68</f>
        <v>1280.05</v>
      </c>
      <c r="F68" s="10" t="str">
        <f>'Inventory master'!F68</f>
        <v>1966.77</v>
      </c>
      <c r="G68" s="10" t="str">
        <f>'Inventory master'!G68</f>
        <v>98</v>
      </c>
      <c r="H68" s="8">
        <f>IFERROR(_xlfn.XLOOKUP(A68, 'Opening stock'!A68:A667, 'Opening stock'!E68:E667), "")</f>
        <v>1470</v>
      </c>
      <c r="I68" s="8">
        <f>IFERROR(SUMIF(Table3[Item ID],'Inventory calculations'!A68,Table3[Quantity]),0)</f>
        <v>12</v>
      </c>
      <c r="J68" s="8">
        <f>IFERROR(SUMIF(Table4[Item ID],'Inventory calculations'!A68,Table4[Quantity Purchased]),0)</f>
        <v>0</v>
      </c>
      <c r="K68" s="10">
        <f t="shared" si="6"/>
        <v>1458</v>
      </c>
      <c r="L68" s="6" t="str">
        <f t="shared" si="7"/>
        <v>OK</v>
      </c>
      <c r="M68" s="13">
        <f t="shared" si="4"/>
        <v>1866312.9</v>
      </c>
      <c r="N68" s="8">
        <f>Table5[[#This Row],[Total Qty Sold]]*Table5[[#This Row],[Unit Price]]</f>
        <v>23601.239999999998</v>
      </c>
      <c r="O68" s="9">
        <f>IFERROR(_xlfn.MAXIFS(Table3[Date],Table3[Item ID],Table5[[#This Row],[Item ID]]),"")</f>
        <v>45862</v>
      </c>
      <c r="P68" s="40">
        <f ca="1">IF(Table5[[#This Row],[Last sale Date]]="","Never Sold",TODAY()-Table5[[#This Row],[Last sale Date]])</f>
        <v>190</v>
      </c>
      <c r="Q68" s="6" t="str">
        <f>IF(Table5[[#This Row],[Re order Level]]&lt;=Table5[[#This Row],[Current stock]],"ORDERASAP","OK BUT BE CHECKING")</f>
        <v>OK BUT BE CHECKING</v>
      </c>
      <c r="R68" s="6" t="str">
        <f t="shared" si="5"/>
        <v>ACTIVE</v>
      </c>
      <c r="S68" s="8">
        <f>IF(Table5[[#This Row],[DEADSTOCK FLAG]]="DEAD",Table5[[#This Row],[Inventory Value]],0)</f>
        <v>0</v>
      </c>
    </row>
    <row r="69" spans="1:19" x14ac:dyDescent="0.25">
      <c r="A69" s="24" t="str">
        <f>'Inventory master'!A69</f>
        <v>ITEM068-A</v>
      </c>
      <c r="B69" s="6" t="str">
        <f>'Inventory master'!B69</f>
        <v>1x16 PLC Splitter</v>
      </c>
      <c r="C69" s="6" t="str">
        <f>'Inventory master'!C69</f>
        <v>Splitters</v>
      </c>
      <c r="D69" s="6" t="str">
        <f>'Inventory master'!D69</f>
        <v>AFL</v>
      </c>
      <c r="E69" s="10" t="str">
        <f>'Inventory master'!E69</f>
        <v>377.47</v>
      </c>
      <c r="F69" s="10" t="str">
        <f>'Inventory master'!F69</f>
        <v>550.11</v>
      </c>
      <c r="G69" s="10" t="str">
        <f>'Inventory master'!G69</f>
        <v>90</v>
      </c>
      <c r="H69" s="8">
        <f>IFERROR(_xlfn.XLOOKUP(A69, 'Opening stock'!A69:A668, 'Opening stock'!E69:E668), "")</f>
        <v>1350</v>
      </c>
      <c r="I69" s="8">
        <f>IFERROR(SUMIF(Table3[Item ID],'Inventory calculations'!A69,Table3[Quantity]),0)</f>
        <v>0</v>
      </c>
      <c r="J69" s="8">
        <f>IFERROR(SUMIF(Table4[Item ID],'Inventory calculations'!A69,Table4[Quantity Purchased]),0)</f>
        <v>0</v>
      </c>
      <c r="K69" s="10">
        <f t="shared" si="6"/>
        <v>1350</v>
      </c>
      <c r="L69" s="6" t="str">
        <f t="shared" si="7"/>
        <v>OK</v>
      </c>
      <c r="M69" s="13">
        <f t="shared" si="4"/>
        <v>509584.50000000006</v>
      </c>
      <c r="N69" s="8">
        <f>Table5[[#This Row],[Total Qty Sold]]*Table5[[#This Row],[Unit Price]]</f>
        <v>0</v>
      </c>
      <c r="O69" s="9"/>
      <c r="P69" s="40" t="str">
        <f ca="1">IF(Table5[[#This Row],[Last sale Date]]="","Never Sold",TODAY()-Table5[[#This Row],[Last sale Date]])</f>
        <v>Never Sold</v>
      </c>
      <c r="Q69" s="6" t="str">
        <f>IF(Table5[[#This Row],[Re order Level]]&lt;=Table5[[#This Row],[Current stock]],"ORDERASAP","OK BUT BE CHECKING")</f>
        <v>OK BUT BE CHECKING</v>
      </c>
      <c r="R69" s="6" t="str">
        <f t="shared" si="5"/>
        <v>ACTIVE</v>
      </c>
      <c r="S69" s="8">
        <f>IF(Table5[[#This Row],[DEADSTOCK FLAG]]="DEAD",Table5[[#This Row],[Inventory Value]],0)</f>
        <v>0</v>
      </c>
    </row>
    <row r="70" spans="1:19" x14ac:dyDescent="0.25">
      <c r="A70" s="24" t="str">
        <f>'Inventory master'!A70</f>
        <v>ITEM069-A</v>
      </c>
      <c r="B70" s="6" t="str">
        <f>'Inventory master'!B70</f>
        <v>1x4 PLC Splitter</v>
      </c>
      <c r="C70" s="6" t="str">
        <f>'Inventory master'!C70</f>
        <v>Splitters</v>
      </c>
      <c r="D70" s="6" t="str">
        <f>'Inventory master'!D70</f>
        <v>Corning Inc.</v>
      </c>
      <c r="E70" s="10" t="str">
        <f>'Inventory master'!E70</f>
        <v>1914.82</v>
      </c>
      <c r="F70" s="10" t="str">
        <f>'Inventory master'!F70</f>
        <v>3155.84</v>
      </c>
      <c r="G70" s="10" t="str">
        <f>'Inventory master'!G70</f>
        <v>57</v>
      </c>
      <c r="H70" s="8">
        <f>IFERROR(_xlfn.XLOOKUP(A70, 'Opening stock'!A70:A669, 'Opening stock'!E70:E669), "")</f>
        <v>855</v>
      </c>
      <c r="I70" s="8">
        <f>IFERROR(SUMIF(Table3[Item ID],'Inventory calculations'!A70,Table3[Quantity]),0)</f>
        <v>0</v>
      </c>
      <c r="J70" s="8">
        <f>IFERROR(SUMIF(Table4[Item ID],'Inventory calculations'!A70,Table4[Quantity Purchased]),0)</f>
        <v>0</v>
      </c>
      <c r="K70" s="10">
        <f t="shared" si="6"/>
        <v>855</v>
      </c>
      <c r="L70" s="6" t="str">
        <f t="shared" si="7"/>
        <v>OK</v>
      </c>
      <c r="M70" s="13">
        <f t="shared" si="4"/>
        <v>1637171.0999999999</v>
      </c>
      <c r="N70" s="8">
        <f>Table5[[#This Row],[Total Qty Sold]]*Table5[[#This Row],[Unit Price]]</f>
        <v>0</v>
      </c>
      <c r="O70" s="9"/>
      <c r="P70" s="40" t="str">
        <f ca="1">IF(Table5[[#This Row],[Last sale Date]]="","Never Sold",TODAY()-Table5[[#This Row],[Last sale Date]])</f>
        <v>Never Sold</v>
      </c>
      <c r="Q70" s="6" t="str">
        <f>IF(Table5[[#This Row],[Re order Level]]&lt;=Table5[[#This Row],[Current stock]],"ORDERASAP","OK BUT BE CHECKING")</f>
        <v>OK BUT BE CHECKING</v>
      </c>
      <c r="R70" s="6" t="str">
        <f t="shared" si="5"/>
        <v>ACTIVE</v>
      </c>
      <c r="S70" s="8">
        <f>IF(Table5[[#This Row],[DEADSTOCK FLAG]]="DEAD",Table5[[#This Row],[Inventory Value]],0)</f>
        <v>0</v>
      </c>
    </row>
    <row r="71" spans="1:19" x14ac:dyDescent="0.25">
      <c r="A71" s="24" t="str">
        <f>'Inventory master'!A71</f>
        <v>ITEM070-A</v>
      </c>
      <c r="B71" s="6" t="str">
        <f>'Inventory master'!B71</f>
        <v>Fusion Splicer</v>
      </c>
      <c r="C71" s="6" t="str">
        <f>'Inventory master'!C71</f>
        <v>Splicers</v>
      </c>
      <c r="D71" s="6" t="str">
        <f>'Inventory master'!D71</f>
        <v>TE Connectivity</v>
      </c>
      <c r="E71" s="10" t="str">
        <f>'Inventory master'!E71</f>
        <v>76.51</v>
      </c>
      <c r="F71" s="10" t="str">
        <f>'Inventory master'!F71</f>
        <v>132.36</v>
      </c>
      <c r="G71" s="10" t="str">
        <f>'Inventory master'!G71</f>
        <v>52</v>
      </c>
      <c r="H71" s="8">
        <f>IFERROR(_xlfn.XLOOKUP(A71, 'Opening stock'!A71:A670, 'Opening stock'!E71:E670), "")</f>
        <v>780</v>
      </c>
      <c r="I71" s="8">
        <f>IFERROR(SUMIF(Table3[Item ID],'Inventory calculations'!A71,Table3[Quantity]),0)</f>
        <v>0</v>
      </c>
      <c r="J71" s="8">
        <f>IFERROR(SUMIF(Table4[Item ID],'Inventory calculations'!A71,Table4[Quantity Purchased]),0)</f>
        <v>8</v>
      </c>
      <c r="K71" s="10">
        <f t="shared" si="6"/>
        <v>788</v>
      </c>
      <c r="L71" s="6" t="str">
        <f t="shared" si="7"/>
        <v>OK</v>
      </c>
      <c r="M71" s="13">
        <f t="shared" si="4"/>
        <v>60289.880000000005</v>
      </c>
      <c r="N71" s="8">
        <f>Table5[[#This Row],[Total Qty Sold]]*Table5[[#This Row],[Unit Price]]</f>
        <v>0</v>
      </c>
      <c r="O71" s="9"/>
      <c r="P71" s="40" t="str">
        <f ca="1">IF(Table5[[#This Row],[Last sale Date]]="","Never Sold",TODAY()-Table5[[#This Row],[Last sale Date]])</f>
        <v>Never Sold</v>
      </c>
      <c r="Q71" s="6" t="str">
        <f>IF(Table5[[#This Row],[Re order Level]]&lt;=Table5[[#This Row],[Current stock]],"ORDERASAP","OK BUT BE CHECKING")</f>
        <v>OK BUT BE CHECKING</v>
      </c>
      <c r="R71" s="6" t="str">
        <f t="shared" si="5"/>
        <v>ACTIVE</v>
      </c>
      <c r="S71" s="8">
        <f>IF(Table5[[#This Row],[DEADSTOCK FLAG]]="DEAD",Table5[[#This Row],[Inventory Value]],0)</f>
        <v>0</v>
      </c>
    </row>
    <row r="72" spans="1:19" x14ac:dyDescent="0.25">
      <c r="A72" s="24" t="str">
        <f>'Inventory master'!A72</f>
        <v>ITEM071-A</v>
      </c>
      <c r="B72" s="6" t="str">
        <f>'Inventory master'!B72</f>
        <v>Fiber Cleaner</v>
      </c>
      <c r="C72" s="6" t="str">
        <f>'Inventory master'!C72</f>
        <v>Accessories</v>
      </c>
      <c r="D72" s="6" t="str">
        <f>'Inventory master'!D72</f>
        <v>HellermannTyton</v>
      </c>
      <c r="E72" s="10" t="str">
        <f>'Inventory master'!E72</f>
        <v>1404.1</v>
      </c>
      <c r="F72" s="10" t="str">
        <f>'Inventory master'!F72</f>
        <v>1975.06</v>
      </c>
      <c r="G72" s="10" t="str">
        <f>'Inventory master'!G72</f>
        <v>51</v>
      </c>
      <c r="H72" s="8">
        <f>IFERROR(_xlfn.XLOOKUP(A72, 'Opening stock'!A72:A671, 'Opening stock'!E72:E671), "")</f>
        <v>765</v>
      </c>
      <c r="I72" s="8">
        <f>IFERROR(SUMIF(Table3[Item ID],'Inventory calculations'!A72,Table3[Quantity]),0)</f>
        <v>0</v>
      </c>
      <c r="J72" s="8">
        <f>IFERROR(SUMIF(Table4[Item ID],'Inventory calculations'!A72,Table4[Quantity Purchased]),0)</f>
        <v>27</v>
      </c>
      <c r="K72" s="10">
        <f t="shared" si="6"/>
        <v>792</v>
      </c>
      <c r="L72" s="6" t="str">
        <f t="shared" si="7"/>
        <v>OK</v>
      </c>
      <c r="M72" s="13">
        <f t="shared" si="4"/>
        <v>1112047.2</v>
      </c>
      <c r="N72" s="8">
        <f>Table5[[#This Row],[Total Qty Sold]]*Table5[[#This Row],[Unit Price]]</f>
        <v>0</v>
      </c>
      <c r="O72" s="9"/>
      <c r="P72" s="40" t="str">
        <f ca="1">IF(Table5[[#This Row],[Last sale Date]]="","Never Sold",TODAY()-Table5[[#This Row],[Last sale Date]])</f>
        <v>Never Sold</v>
      </c>
      <c r="Q72" s="6" t="str">
        <f>IF(Table5[[#This Row],[Re order Level]]&lt;=Table5[[#This Row],[Current stock]],"ORDERASAP","OK BUT BE CHECKING")</f>
        <v>OK BUT BE CHECKING</v>
      </c>
      <c r="R72" s="6" t="str">
        <f t="shared" si="5"/>
        <v>ACTIVE</v>
      </c>
      <c r="S72" s="8">
        <f>IF(Table5[[#This Row],[DEADSTOCK FLAG]]="DEAD",Table5[[#This Row],[Inventory Value]],0)</f>
        <v>0</v>
      </c>
    </row>
    <row r="73" spans="1:19" x14ac:dyDescent="0.25">
      <c r="A73" s="24" t="str">
        <f>'Inventory master'!A73</f>
        <v>ITEM072-A</v>
      </c>
      <c r="B73" s="6" t="str">
        <f>'Inventory master'!B73</f>
        <v>Fiber Cleaner</v>
      </c>
      <c r="C73" s="6" t="str">
        <f>'Inventory master'!C73</f>
        <v>Accessories</v>
      </c>
      <c r="D73" s="6" t="str">
        <f>'Inventory master'!D73</f>
        <v>Corning Inc.</v>
      </c>
      <c r="E73" s="10" t="str">
        <f>'Inventory master'!E73</f>
        <v>1081.9</v>
      </c>
      <c r="F73" s="10" t="str">
        <f>'Inventory master'!F73</f>
        <v>1550.63</v>
      </c>
      <c r="G73" s="10" t="str">
        <f>'Inventory master'!G73</f>
        <v>65</v>
      </c>
      <c r="H73" s="8">
        <f>IFERROR(_xlfn.XLOOKUP(A73, 'Opening stock'!A73:A672, 'Opening stock'!E73:E672), "")</f>
        <v>975</v>
      </c>
      <c r="I73" s="8">
        <f>IFERROR(SUMIF(Table3[Item ID],'Inventory calculations'!A73,Table3[Quantity]),0)</f>
        <v>0</v>
      </c>
      <c r="J73" s="8">
        <f>IFERROR(SUMIF(Table4[Item ID],'Inventory calculations'!A73,Table4[Quantity Purchased]),0)</f>
        <v>24</v>
      </c>
      <c r="K73" s="10">
        <f t="shared" si="6"/>
        <v>999</v>
      </c>
      <c r="L73" s="6" t="str">
        <f t="shared" si="7"/>
        <v>OK</v>
      </c>
      <c r="M73" s="13">
        <f t="shared" si="4"/>
        <v>1080818.1000000001</v>
      </c>
      <c r="N73" s="8">
        <f>Table5[[#This Row],[Total Qty Sold]]*Table5[[#This Row],[Unit Price]]</f>
        <v>0</v>
      </c>
      <c r="O73" s="9"/>
      <c r="P73" s="40" t="str">
        <f ca="1">IF(Table5[[#This Row],[Last sale Date]]="","Never Sold",TODAY()-Table5[[#This Row],[Last sale Date]])</f>
        <v>Never Sold</v>
      </c>
      <c r="Q73" s="6" t="str">
        <f>IF(Table5[[#This Row],[Re order Level]]&lt;=Table5[[#This Row],[Current stock]],"ORDERASAP","OK BUT BE CHECKING")</f>
        <v>OK BUT BE CHECKING</v>
      </c>
      <c r="R73" s="6" t="str">
        <f t="shared" si="5"/>
        <v>ACTIVE</v>
      </c>
      <c r="S73" s="8">
        <f>IF(Table5[[#This Row],[DEADSTOCK FLAG]]="DEAD",Table5[[#This Row],[Inventory Value]],0)</f>
        <v>0</v>
      </c>
    </row>
    <row r="74" spans="1:19" x14ac:dyDescent="0.25">
      <c r="A74" s="24" t="str">
        <f>'Inventory master'!A74</f>
        <v>ITEM073-A</v>
      </c>
      <c r="B74" s="6" t="str">
        <f>'Inventory master'!B74</f>
        <v>Fixed Attenuator 2dB</v>
      </c>
      <c r="C74" s="6" t="str">
        <f>'Inventory master'!C74</f>
        <v>Attenuators</v>
      </c>
      <c r="D74" s="6" t="str">
        <f>'Inventory master'!D74</f>
        <v>Siemon</v>
      </c>
      <c r="E74" s="10" t="str">
        <f>'Inventory master'!E74</f>
        <v>1835.6</v>
      </c>
      <c r="F74" s="10" t="str">
        <f>'Inventory master'!F74</f>
        <v>2686.88</v>
      </c>
      <c r="G74" s="10" t="str">
        <f>'Inventory master'!G74</f>
        <v>47</v>
      </c>
      <c r="H74" s="8">
        <f>IFERROR(_xlfn.XLOOKUP(A74, 'Opening stock'!A74:A673, 'Opening stock'!E74:E673), "")</f>
        <v>705</v>
      </c>
      <c r="I74" s="8">
        <f>IFERROR(SUMIF(Table3[Item ID],'Inventory calculations'!A74,Table3[Quantity]),0)</f>
        <v>14</v>
      </c>
      <c r="J74" s="8">
        <f>IFERROR(SUMIF(Table4[Item ID],'Inventory calculations'!A74,Table4[Quantity Purchased]),0)</f>
        <v>8</v>
      </c>
      <c r="K74" s="10">
        <f t="shared" si="6"/>
        <v>699</v>
      </c>
      <c r="L74" s="6" t="str">
        <f t="shared" si="7"/>
        <v>OK</v>
      </c>
      <c r="M74" s="13">
        <f t="shared" si="4"/>
        <v>1283084.3999999999</v>
      </c>
      <c r="N74" s="8">
        <f>Table5[[#This Row],[Total Qty Sold]]*Table5[[#This Row],[Unit Price]]</f>
        <v>37616.32</v>
      </c>
      <c r="O74" s="9">
        <f>IFERROR(_xlfn.MAXIFS(Table3[Date],Table3[Item ID],Table5[[#This Row],[Item ID]]),"")</f>
        <v>45409</v>
      </c>
      <c r="P74" s="40">
        <f ca="1">IF(Table5[[#This Row],[Last sale Date]]="","Never Sold",TODAY()-Table5[[#This Row],[Last sale Date]])</f>
        <v>643</v>
      </c>
      <c r="Q74" s="6" t="str">
        <f>IF(Table5[[#This Row],[Re order Level]]&lt;=Table5[[#This Row],[Current stock]],"ORDERASAP","OK BUT BE CHECKING")</f>
        <v>OK BUT BE CHECKING</v>
      </c>
      <c r="R74" s="6" t="str">
        <f t="shared" si="5"/>
        <v>ACTIVE</v>
      </c>
      <c r="S74" s="8">
        <f>IF(Table5[[#This Row],[DEADSTOCK FLAG]]="DEAD",Table5[[#This Row],[Inventory Value]],0)</f>
        <v>0</v>
      </c>
    </row>
    <row r="75" spans="1:19" x14ac:dyDescent="0.25">
      <c r="A75" s="24" t="str">
        <f>'Inventory master'!A75</f>
        <v>ITEM074-A</v>
      </c>
      <c r="B75" s="6" t="str">
        <f>'Inventory master'!B75</f>
        <v>1x4 PLC Splitter</v>
      </c>
      <c r="C75" s="6" t="str">
        <f>'Inventory master'!C75</f>
        <v>Splitters</v>
      </c>
      <c r="D75" s="6" t="str">
        <f>'Inventory master'!D75</f>
        <v>Huber+Suhner</v>
      </c>
      <c r="E75" s="10" t="str">
        <f>'Inventory master'!E75</f>
        <v>1794.85</v>
      </c>
      <c r="F75" s="10" t="str">
        <f>'Inventory master'!F75</f>
        <v>2913.22</v>
      </c>
      <c r="G75" s="10" t="str">
        <f>'Inventory master'!G75</f>
        <v>53</v>
      </c>
      <c r="H75" s="8">
        <f>IFERROR(_xlfn.XLOOKUP(A75, 'Opening stock'!A75:A674, 'Opening stock'!E75:E674), "")</f>
        <v>795</v>
      </c>
      <c r="I75" s="8">
        <f>IFERROR(SUMIF(Table3[Item ID],'Inventory calculations'!A75,Table3[Quantity]),0)</f>
        <v>1</v>
      </c>
      <c r="J75" s="8">
        <f>IFERROR(SUMIF(Table4[Item ID],'Inventory calculations'!A75,Table4[Quantity Purchased]),0)</f>
        <v>7</v>
      </c>
      <c r="K75" s="10">
        <f t="shared" si="6"/>
        <v>801</v>
      </c>
      <c r="L75" s="6" t="str">
        <f t="shared" si="7"/>
        <v>OK</v>
      </c>
      <c r="M75" s="13">
        <f t="shared" si="4"/>
        <v>1437674.8499999999</v>
      </c>
      <c r="N75" s="8">
        <f>Table5[[#This Row],[Total Qty Sold]]*Table5[[#This Row],[Unit Price]]</f>
        <v>2913.22</v>
      </c>
      <c r="O75" s="9">
        <f>IFERROR(_xlfn.MAXIFS(Table3[Date],Table3[Item ID],Table5[[#This Row],[Item ID]]),"")</f>
        <v>45338</v>
      </c>
      <c r="P75" s="40">
        <f ca="1">IF(Table5[[#This Row],[Last sale Date]]="","Never Sold",TODAY()-Table5[[#This Row],[Last sale Date]])</f>
        <v>714</v>
      </c>
      <c r="Q75" s="6" t="str">
        <f>IF(Table5[[#This Row],[Re order Level]]&lt;=Table5[[#This Row],[Current stock]],"ORDERASAP","OK BUT BE CHECKING")</f>
        <v>OK BUT BE CHECKING</v>
      </c>
      <c r="R75" s="6" t="str">
        <f t="shared" si="5"/>
        <v>ACTIVE</v>
      </c>
      <c r="S75" s="8">
        <f>IF(Table5[[#This Row],[DEADSTOCK FLAG]]="DEAD",Table5[[#This Row],[Inventory Value]],0)</f>
        <v>0</v>
      </c>
    </row>
    <row r="76" spans="1:19" x14ac:dyDescent="0.25">
      <c r="A76" s="24" t="str">
        <f>'Inventory master'!A76</f>
        <v>ITEM075-A</v>
      </c>
      <c r="B76" s="6" t="str">
        <f>'Inventory master'!B76</f>
        <v>Mechanical Splicer</v>
      </c>
      <c r="C76" s="6" t="str">
        <f>'Inventory master'!C76</f>
        <v>Splicers</v>
      </c>
      <c r="D76" s="6" t="str">
        <f>'Inventory master'!D76</f>
        <v>Belden</v>
      </c>
      <c r="E76" s="10" t="str">
        <f>'Inventory master'!E76</f>
        <v>1612.69</v>
      </c>
      <c r="F76" s="10" t="str">
        <f>'Inventory master'!F76</f>
        <v>3050.31</v>
      </c>
      <c r="G76" s="10" t="str">
        <f>'Inventory master'!G76</f>
        <v>72</v>
      </c>
      <c r="H76" s="8">
        <f>IFERROR(_xlfn.XLOOKUP(A76, 'Opening stock'!A76:A675, 'Opening stock'!E76:E675), "")</f>
        <v>1080</v>
      </c>
      <c r="I76" s="8">
        <f>IFERROR(SUMIF(Table3[Item ID],'Inventory calculations'!A76,Table3[Quantity]),0)</f>
        <v>0</v>
      </c>
      <c r="J76" s="8">
        <f>IFERROR(SUMIF(Table4[Item ID],'Inventory calculations'!A76,Table4[Quantity Purchased]),0)</f>
        <v>6</v>
      </c>
      <c r="K76" s="10">
        <f t="shared" si="6"/>
        <v>1086</v>
      </c>
      <c r="L76" s="6" t="str">
        <f t="shared" si="7"/>
        <v>OK</v>
      </c>
      <c r="M76" s="13">
        <f t="shared" si="4"/>
        <v>1751381.34</v>
      </c>
      <c r="N76" s="8">
        <f>Table5[[#This Row],[Total Qty Sold]]*Table5[[#This Row],[Unit Price]]</f>
        <v>0</v>
      </c>
      <c r="O76" s="9"/>
      <c r="P76" s="40" t="str">
        <f ca="1">IF(Table5[[#This Row],[Last sale Date]]="","Never Sold",TODAY()-Table5[[#This Row],[Last sale Date]])</f>
        <v>Never Sold</v>
      </c>
      <c r="Q76" s="6" t="str">
        <f>IF(Table5[[#This Row],[Re order Level]]&lt;=Table5[[#This Row],[Current stock]],"ORDERASAP","OK BUT BE CHECKING")</f>
        <v>OK BUT BE CHECKING</v>
      </c>
      <c r="R76" s="6" t="str">
        <f t="shared" si="5"/>
        <v>ACTIVE</v>
      </c>
      <c r="S76" s="8">
        <f>IF(Table5[[#This Row],[DEADSTOCK FLAG]]="DEAD",Table5[[#This Row],[Inventory Value]],0)</f>
        <v>0</v>
      </c>
    </row>
    <row r="77" spans="1:19" x14ac:dyDescent="0.25">
      <c r="A77" s="24" t="str">
        <f>'Inventory master'!A77</f>
        <v>ITEM076-A</v>
      </c>
      <c r="B77" s="6" t="str">
        <f>'Inventory master'!B77</f>
        <v>Fusion Splicer</v>
      </c>
      <c r="C77" s="6" t="str">
        <f>'Inventory master'!C77</f>
        <v>Splicers</v>
      </c>
      <c r="D77" s="6" t="str">
        <f>'Inventory master'!D77</f>
        <v>Prysmian Group</v>
      </c>
      <c r="E77" s="10" t="str">
        <f>'Inventory master'!E77</f>
        <v>736.95</v>
      </c>
      <c r="F77" s="10" t="str">
        <f>'Inventory master'!F77</f>
        <v>1382.2</v>
      </c>
      <c r="G77" s="10" t="str">
        <f>'Inventory master'!G77</f>
        <v>25</v>
      </c>
      <c r="H77" s="8">
        <f>IFERROR(_xlfn.XLOOKUP(A77, 'Opening stock'!A77:A676, 'Opening stock'!E77:E676), "")</f>
        <v>375</v>
      </c>
      <c r="I77" s="8">
        <f>IFERROR(SUMIF(Table3[Item ID],'Inventory calculations'!A77,Table3[Quantity]),0)</f>
        <v>0</v>
      </c>
      <c r="J77" s="8">
        <f>IFERROR(SUMIF(Table4[Item ID],'Inventory calculations'!A77,Table4[Quantity Purchased]),0)</f>
        <v>15</v>
      </c>
      <c r="K77" s="10">
        <f t="shared" si="6"/>
        <v>390</v>
      </c>
      <c r="L77" s="6" t="str">
        <f t="shared" si="7"/>
        <v>OK</v>
      </c>
      <c r="M77" s="13">
        <f t="shared" si="4"/>
        <v>287410.5</v>
      </c>
      <c r="N77" s="8">
        <f>Table5[[#This Row],[Total Qty Sold]]*Table5[[#This Row],[Unit Price]]</f>
        <v>0</v>
      </c>
      <c r="O77" s="9"/>
      <c r="P77" s="40" t="str">
        <f ca="1">IF(Table5[[#This Row],[Last sale Date]]="","Never Sold",TODAY()-Table5[[#This Row],[Last sale Date]])</f>
        <v>Never Sold</v>
      </c>
      <c r="Q77" s="6" t="str">
        <f>IF(Table5[[#This Row],[Re order Level]]&lt;=Table5[[#This Row],[Current stock]],"ORDERASAP","OK BUT BE CHECKING")</f>
        <v>OK BUT BE CHECKING</v>
      </c>
      <c r="R77" s="6" t="str">
        <f t="shared" si="5"/>
        <v>ACTIVE</v>
      </c>
      <c r="S77" s="8">
        <f>IF(Table5[[#This Row],[DEADSTOCK FLAG]]="DEAD",Table5[[#This Row],[Inventory Value]],0)</f>
        <v>0</v>
      </c>
    </row>
    <row r="78" spans="1:19" x14ac:dyDescent="0.25">
      <c r="A78" s="24" t="str">
        <f>'Inventory master'!A78</f>
        <v>ITEM077-A</v>
      </c>
      <c r="B78" s="6" t="str">
        <f>'Inventory master'!B78</f>
        <v>Fiber Optic Cutter</v>
      </c>
      <c r="C78" s="6" t="str">
        <f>'Inventory master'!C78</f>
        <v>Tools</v>
      </c>
      <c r="D78" s="6" t="str">
        <f>'Inventory master'!D78</f>
        <v>AFL</v>
      </c>
      <c r="E78" s="10" t="str">
        <f>'Inventory master'!E78</f>
        <v>945.5</v>
      </c>
      <c r="F78" s="10" t="str">
        <f>'Inventory master'!F78</f>
        <v>1063.23</v>
      </c>
      <c r="G78" s="10" t="str">
        <f>'Inventory master'!G78</f>
        <v>47</v>
      </c>
      <c r="H78" s="8">
        <f>IFERROR(_xlfn.XLOOKUP(A78, 'Opening stock'!A78:A677, 'Opening stock'!E78:E677), "")</f>
        <v>705</v>
      </c>
      <c r="I78" s="8">
        <f>IFERROR(SUMIF(Table3[Item ID],'Inventory calculations'!A78,Table3[Quantity]),0)</f>
        <v>10</v>
      </c>
      <c r="J78" s="8">
        <f>IFERROR(SUMIF(Table4[Item ID],'Inventory calculations'!A78,Table4[Quantity Purchased]),0)</f>
        <v>2</v>
      </c>
      <c r="K78" s="10">
        <f t="shared" si="6"/>
        <v>697</v>
      </c>
      <c r="L78" s="6" t="str">
        <f t="shared" si="7"/>
        <v>OK</v>
      </c>
      <c r="M78" s="13">
        <f t="shared" si="4"/>
        <v>659013.5</v>
      </c>
      <c r="N78" s="8">
        <f>Table5[[#This Row],[Total Qty Sold]]*Table5[[#This Row],[Unit Price]]</f>
        <v>10632.3</v>
      </c>
      <c r="O78" s="9">
        <f>IFERROR(_xlfn.MAXIFS(Table3[Date],Table3[Item ID],Table5[[#This Row],[Item ID]]),"")</f>
        <v>45601</v>
      </c>
      <c r="P78" s="40">
        <f ca="1">IF(Table5[[#This Row],[Last sale Date]]="","Never Sold",TODAY()-Table5[[#This Row],[Last sale Date]])</f>
        <v>451</v>
      </c>
      <c r="Q78" s="6" t="str">
        <f>IF(Table5[[#This Row],[Re order Level]]&lt;=Table5[[#This Row],[Current stock]],"ORDERASAP","OK BUT BE CHECKING")</f>
        <v>OK BUT BE CHECKING</v>
      </c>
      <c r="R78" s="6" t="str">
        <f t="shared" si="5"/>
        <v>ACTIVE</v>
      </c>
      <c r="S78" s="8">
        <f>IF(Table5[[#This Row],[DEADSTOCK FLAG]]="DEAD",Table5[[#This Row],[Inventory Value]],0)</f>
        <v>0</v>
      </c>
    </row>
    <row r="79" spans="1:19" x14ac:dyDescent="0.25">
      <c r="A79" s="24" t="str">
        <f>'Inventory master'!A79</f>
        <v>ITEM078-A</v>
      </c>
      <c r="B79" s="6" t="str">
        <f>'Inventory master'!B79</f>
        <v>1x32 PLC Splitter</v>
      </c>
      <c r="C79" s="6" t="str">
        <f>'Inventory master'!C79</f>
        <v>Splitters</v>
      </c>
      <c r="D79" s="6" t="str">
        <f>'Inventory master'!D79</f>
        <v>TE Connectivity</v>
      </c>
      <c r="E79" s="10" t="str">
        <f>'Inventory master'!E79</f>
        <v>1445.39</v>
      </c>
      <c r="F79" s="10" t="str">
        <f>'Inventory master'!F79</f>
        <v>2054.96</v>
      </c>
      <c r="G79" s="10" t="str">
        <f>'Inventory master'!G79</f>
        <v>100</v>
      </c>
      <c r="H79" s="8">
        <f>IFERROR(_xlfn.XLOOKUP(A79, 'Opening stock'!A79:A678, 'Opening stock'!E79:E678), "")</f>
        <v>1500</v>
      </c>
      <c r="I79" s="8">
        <f>IFERROR(SUMIF(Table3[Item ID],'Inventory calculations'!A79,Table3[Quantity]),0)</f>
        <v>0</v>
      </c>
      <c r="J79" s="8">
        <f>IFERROR(SUMIF(Table4[Item ID],'Inventory calculations'!A79,Table4[Quantity Purchased]),0)</f>
        <v>27</v>
      </c>
      <c r="K79" s="10">
        <f t="shared" si="6"/>
        <v>1527</v>
      </c>
      <c r="L79" s="6" t="str">
        <f t="shared" si="7"/>
        <v>OK</v>
      </c>
      <c r="M79" s="13">
        <f t="shared" si="4"/>
        <v>2207110.5300000003</v>
      </c>
      <c r="N79" s="8">
        <f>Table5[[#This Row],[Total Qty Sold]]*Table5[[#This Row],[Unit Price]]</f>
        <v>0</v>
      </c>
      <c r="O79" s="9"/>
      <c r="P79" s="40" t="str">
        <f ca="1">IF(Table5[[#This Row],[Last sale Date]]="","Never Sold",TODAY()-Table5[[#This Row],[Last sale Date]])</f>
        <v>Never Sold</v>
      </c>
      <c r="Q79" s="6" t="str">
        <f>IF(Table5[[#This Row],[Re order Level]]&lt;=Table5[[#This Row],[Current stock]],"ORDERASAP","OK BUT BE CHECKING")</f>
        <v>OK BUT BE CHECKING</v>
      </c>
      <c r="R79" s="6" t="str">
        <f t="shared" si="5"/>
        <v>ACTIVE</v>
      </c>
      <c r="S79" s="8">
        <f>IF(Table5[[#This Row],[DEADSTOCK FLAG]]="DEAD",Table5[[#This Row],[Inventory Value]],0)</f>
        <v>0</v>
      </c>
    </row>
    <row r="80" spans="1:19" x14ac:dyDescent="0.25">
      <c r="A80" s="24" t="str">
        <f>'Inventory master'!A80</f>
        <v>ITEM079-A</v>
      </c>
      <c r="B80" s="6" t="str">
        <f>'Inventory master'!B80</f>
        <v>QSFP Transceiver</v>
      </c>
      <c r="C80" s="6" t="str">
        <f>'Inventory master'!C80</f>
        <v>Transceivers</v>
      </c>
      <c r="D80" s="6" t="str">
        <f>'Inventory master'!D80</f>
        <v>HellermannTyton</v>
      </c>
      <c r="E80" s="10" t="str">
        <f>'Inventory master'!E80</f>
        <v>844.54</v>
      </c>
      <c r="F80" s="10" t="str">
        <f>'Inventory master'!F80</f>
        <v>1448.27</v>
      </c>
      <c r="G80" s="10" t="str">
        <f>'Inventory master'!G80</f>
        <v>93</v>
      </c>
      <c r="H80" s="8">
        <f>IFERROR(_xlfn.XLOOKUP(A80, 'Opening stock'!A80:A679, 'Opening stock'!E80:E679), "")</f>
        <v>1395</v>
      </c>
      <c r="I80" s="8">
        <f>IFERROR(SUMIF(Table3[Item ID],'Inventory calculations'!A80,Table3[Quantity]),0)</f>
        <v>0</v>
      </c>
      <c r="J80" s="8">
        <f>IFERROR(SUMIF(Table4[Item ID],'Inventory calculations'!A80,Table4[Quantity Purchased]),0)</f>
        <v>0</v>
      </c>
      <c r="K80" s="10">
        <f t="shared" si="6"/>
        <v>1395</v>
      </c>
      <c r="L80" s="6" t="str">
        <f t="shared" si="7"/>
        <v>OK</v>
      </c>
      <c r="M80" s="13">
        <f t="shared" si="4"/>
        <v>1178133.3</v>
      </c>
      <c r="N80" s="8">
        <f>Table5[[#This Row],[Total Qty Sold]]*Table5[[#This Row],[Unit Price]]</f>
        <v>0</v>
      </c>
      <c r="O80" s="9"/>
      <c r="P80" s="40" t="str">
        <f ca="1">IF(Table5[[#This Row],[Last sale Date]]="","Never Sold",TODAY()-Table5[[#This Row],[Last sale Date]])</f>
        <v>Never Sold</v>
      </c>
      <c r="Q80" s="6" t="str">
        <f>IF(Table5[[#This Row],[Re order Level]]&lt;=Table5[[#This Row],[Current stock]],"ORDERASAP","OK BUT BE CHECKING")</f>
        <v>OK BUT BE CHECKING</v>
      </c>
      <c r="R80" s="6" t="str">
        <f t="shared" si="5"/>
        <v>ACTIVE</v>
      </c>
      <c r="S80" s="8">
        <f>IF(Table5[[#This Row],[DEADSTOCK FLAG]]="DEAD",Table5[[#This Row],[Inventory Value]],0)</f>
        <v>0</v>
      </c>
    </row>
    <row r="81" spans="1:19" x14ac:dyDescent="0.25">
      <c r="A81" s="24" t="str">
        <f>'Inventory master'!A81</f>
        <v>ITEM080-A</v>
      </c>
      <c r="B81" s="6" t="str">
        <f>'Inventory master'!B81</f>
        <v>ST UPC Connector</v>
      </c>
      <c r="C81" s="6" t="str">
        <f>'Inventory master'!C81</f>
        <v>Connectors</v>
      </c>
      <c r="D81" s="6" t="str">
        <f>'Inventory master'!D81</f>
        <v>Prysmian Group</v>
      </c>
      <c r="E81" s="10" t="str">
        <f>'Inventory master'!E81</f>
        <v>1560.52</v>
      </c>
      <c r="F81" s="10" t="str">
        <f>'Inventory master'!F81</f>
        <v>2251.27</v>
      </c>
      <c r="G81" s="10" t="str">
        <f>'Inventory master'!G81</f>
        <v>52</v>
      </c>
      <c r="H81" s="8">
        <f>IFERROR(_xlfn.XLOOKUP(A81, 'Opening stock'!A81:A680, 'Opening stock'!E81:E680), "")</f>
        <v>780</v>
      </c>
      <c r="I81" s="8">
        <f>IFERROR(SUMIF(Table3[Item ID],'Inventory calculations'!A81,Table3[Quantity]),0)</f>
        <v>0</v>
      </c>
      <c r="J81" s="8">
        <f>IFERROR(SUMIF(Table4[Item ID],'Inventory calculations'!A81,Table4[Quantity Purchased]),0)</f>
        <v>13</v>
      </c>
      <c r="K81" s="10">
        <f t="shared" si="6"/>
        <v>793</v>
      </c>
      <c r="L81" s="6" t="str">
        <f t="shared" si="7"/>
        <v>OK</v>
      </c>
      <c r="M81" s="13">
        <f t="shared" si="4"/>
        <v>1237492.3599999999</v>
      </c>
      <c r="N81" s="8">
        <f>Table5[[#This Row],[Total Qty Sold]]*Table5[[#This Row],[Unit Price]]</f>
        <v>0</v>
      </c>
      <c r="O81" s="9"/>
      <c r="P81" s="40" t="str">
        <f ca="1">IF(Table5[[#This Row],[Last sale Date]]="","Never Sold",TODAY()-Table5[[#This Row],[Last sale Date]])</f>
        <v>Never Sold</v>
      </c>
      <c r="Q81" s="6" t="str">
        <f>IF(Table5[[#This Row],[Re order Level]]&lt;=Table5[[#This Row],[Current stock]],"ORDERASAP","OK BUT BE CHECKING")</f>
        <v>OK BUT BE CHECKING</v>
      </c>
      <c r="R81" s="6" t="str">
        <f t="shared" si="5"/>
        <v>ACTIVE</v>
      </c>
      <c r="S81" s="8">
        <f>IF(Table5[[#This Row],[DEADSTOCK FLAG]]="DEAD",Table5[[#This Row],[Inventory Value]],0)</f>
        <v>0</v>
      </c>
    </row>
    <row r="82" spans="1:19" x14ac:dyDescent="0.25">
      <c r="A82" s="24" t="str">
        <f>'Inventory master'!A82</f>
        <v>ITEM081-A</v>
      </c>
      <c r="B82" s="6" t="str">
        <f>'Inventory master'!B82</f>
        <v>Fiber Optic Stripper</v>
      </c>
      <c r="C82" s="6" t="str">
        <f>'Inventory master'!C82</f>
        <v>Tools</v>
      </c>
      <c r="D82" s="6" t="str">
        <f>'Inventory master'!D82</f>
        <v>CommScope</v>
      </c>
      <c r="E82" s="10" t="str">
        <f>'Inventory master'!E82</f>
        <v>1824.39</v>
      </c>
      <c r="F82" s="10" t="str">
        <f>'Inventory master'!F82</f>
        <v>3319.66</v>
      </c>
      <c r="G82" s="10" t="str">
        <f>'Inventory master'!G82</f>
        <v>26</v>
      </c>
      <c r="H82" s="8">
        <f>IFERROR(_xlfn.XLOOKUP(A82, 'Opening stock'!A82:A681, 'Opening stock'!E82:E681), "")</f>
        <v>390</v>
      </c>
      <c r="I82" s="8">
        <f>IFERROR(SUMIF(Table3[Item ID],'Inventory calculations'!A82,Table3[Quantity]),0)</f>
        <v>0</v>
      </c>
      <c r="J82" s="8">
        <f>IFERROR(SUMIF(Table4[Item ID],'Inventory calculations'!A82,Table4[Quantity Purchased]),0)</f>
        <v>7</v>
      </c>
      <c r="K82" s="10">
        <f t="shared" si="6"/>
        <v>397</v>
      </c>
      <c r="L82" s="6" t="str">
        <f t="shared" si="7"/>
        <v>OK</v>
      </c>
      <c r="M82" s="13">
        <f t="shared" si="4"/>
        <v>724282.83000000007</v>
      </c>
      <c r="N82" s="8">
        <f>Table5[[#This Row],[Total Qty Sold]]*Table5[[#This Row],[Unit Price]]</f>
        <v>0</v>
      </c>
      <c r="O82" s="9"/>
      <c r="P82" s="40" t="str">
        <f ca="1">IF(Table5[[#This Row],[Last sale Date]]="","Never Sold",TODAY()-Table5[[#This Row],[Last sale Date]])</f>
        <v>Never Sold</v>
      </c>
      <c r="Q82" s="6" t="str">
        <f>IF(Table5[[#This Row],[Re order Level]]&lt;=Table5[[#This Row],[Current stock]],"ORDERASAP","OK BUT BE CHECKING")</f>
        <v>OK BUT BE CHECKING</v>
      </c>
      <c r="R82" s="6" t="str">
        <f t="shared" si="5"/>
        <v>ACTIVE</v>
      </c>
      <c r="S82" s="8">
        <f>IF(Table5[[#This Row],[DEADSTOCK FLAG]]="DEAD",Table5[[#This Row],[Inventory Value]],0)</f>
        <v>0</v>
      </c>
    </row>
    <row r="83" spans="1:19" x14ac:dyDescent="0.25">
      <c r="A83" s="24" t="str">
        <f>'Inventory master'!A83</f>
        <v>ITEM082-A</v>
      </c>
      <c r="B83" s="6" t="str">
        <f>'Inventory master'!B83</f>
        <v>QSFP Transceiver</v>
      </c>
      <c r="C83" s="6" t="str">
        <f>'Inventory master'!C83</f>
        <v>Transceivers</v>
      </c>
      <c r="D83" s="6" t="str">
        <f>'Inventory master'!D83</f>
        <v>Huber+Suhner</v>
      </c>
      <c r="E83" s="10" t="str">
        <f>'Inventory master'!E83</f>
        <v>1055.99</v>
      </c>
      <c r="F83" s="10" t="str">
        <f>'Inventory master'!F83</f>
        <v>1292.95</v>
      </c>
      <c r="G83" s="10" t="str">
        <f>'Inventory master'!G83</f>
        <v>20</v>
      </c>
      <c r="H83" s="8">
        <f>IFERROR(_xlfn.XLOOKUP(A83, 'Opening stock'!A83:A682, 'Opening stock'!E83:E682), "")</f>
        <v>300</v>
      </c>
      <c r="I83" s="8">
        <f>IFERROR(SUMIF(Table3[Item ID],'Inventory calculations'!A83,Table3[Quantity]),0)</f>
        <v>3</v>
      </c>
      <c r="J83" s="8">
        <f>IFERROR(SUMIF(Table4[Item ID],'Inventory calculations'!A83,Table4[Quantity Purchased]),0)</f>
        <v>0</v>
      </c>
      <c r="K83" s="10">
        <f t="shared" si="6"/>
        <v>297</v>
      </c>
      <c r="L83" s="6" t="str">
        <f t="shared" si="7"/>
        <v>OK</v>
      </c>
      <c r="M83" s="13">
        <f t="shared" si="4"/>
        <v>313629.03000000003</v>
      </c>
      <c r="N83" s="8">
        <f>Table5[[#This Row],[Total Qty Sold]]*Table5[[#This Row],[Unit Price]]</f>
        <v>3878.8500000000004</v>
      </c>
      <c r="O83" s="9">
        <f>IFERROR(_xlfn.MAXIFS(Table3[Date],Table3[Item ID],Table5[[#This Row],[Item ID]]),"")</f>
        <v>45473</v>
      </c>
      <c r="P83" s="40">
        <f ca="1">IF(Table5[[#This Row],[Last sale Date]]="","Never Sold",TODAY()-Table5[[#This Row],[Last sale Date]])</f>
        <v>579</v>
      </c>
      <c r="Q83" s="6" t="str">
        <f>IF(Table5[[#This Row],[Re order Level]]&lt;=Table5[[#This Row],[Current stock]],"ORDERASAP","OK BUT BE CHECKING")</f>
        <v>OK BUT BE CHECKING</v>
      </c>
      <c r="R83" s="6" t="str">
        <f t="shared" si="5"/>
        <v>ACTIVE</v>
      </c>
      <c r="S83" s="8">
        <f>IF(Table5[[#This Row],[DEADSTOCK FLAG]]="DEAD",Table5[[#This Row],[Inventory Value]],0)</f>
        <v>0</v>
      </c>
    </row>
    <row r="84" spans="1:19" x14ac:dyDescent="0.25">
      <c r="A84" s="24" t="str">
        <f>'Inventory master'!A84</f>
        <v>ITEM083-A</v>
      </c>
      <c r="B84" s="6" t="str">
        <f>'Inventory master'!B84</f>
        <v>Fiber Optic Tester</v>
      </c>
      <c r="C84" s="6" t="str">
        <f>'Inventory master'!C84</f>
        <v>Tools</v>
      </c>
      <c r="D84" s="6" t="str">
        <f>'Inventory master'!D84</f>
        <v>Corning Inc.</v>
      </c>
      <c r="E84" s="10" t="str">
        <f>'Inventory master'!E84</f>
        <v>1947.3</v>
      </c>
      <c r="F84" s="10" t="str">
        <f>'Inventory master'!F84</f>
        <v>2469.32</v>
      </c>
      <c r="G84" s="10" t="str">
        <f>'Inventory master'!G84</f>
        <v>74</v>
      </c>
      <c r="H84" s="8">
        <f>IFERROR(_xlfn.XLOOKUP(A84, 'Opening stock'!A84:A683, 'Opening stock'!E84:E683), "")</f>
        <v>1110</v>
      </c>
      <c r="I84" s="8">
        <f>IFERROR(SUMIF(Table3[Item ID],'Inventory calculations'!A84,Table3[Quantity]),0)</f>
        <v>0</v>
      </c>
      <c r="J84" s="8">
        <f>IFERROR(SUMIF(Table4[Item ID],'Inventory calculations'!A84,Table4[Quantity Purchased]),0)</f>
        <v>20</v>
      </c>
      <c r="K84" s="10">
        <f t="shared" si="6"/>
        <v>1130</v>
      </c>
      <c r="L84" s="6" t="str">
        <f t="shared" si="7"/>
        <v>OK</v>
      </c>
      <c r="M84" s="13">
        <f t="shared" si="4"/>
        <v>2200449</v>
      </c>
      <c r="N84" s="8">
        <f>Table5[[#This Row],[Total Qty Sold]]*Table5[[#This Row],[Unit Price]]</f>
        <v>0</v>
      </c>
      <c r="O84" s="9"/>
      <c r="P84" s="40" t="str">
        <f ca="1">IF(Table5[[#This Row],[Last sale Date]]="","Never Sold",TODAY()-Table5[[#This Row],[Last sale Date]])</f>
        <v>Never Sold</v>
      </c>
      <c r="Q84" s="6" t="str">
        <f>IF(Table5[[#This Row],[Re order Level]]&lt;=Table5[[#This Row],[Current stock]],"ORDERASAP","OK BUT BE CHECKING")</f>
        <v>OK BUT BE CHECKING</v>
      </c>
      <c r="R84" s="6" t="str">
        <f t="shared" si="5"/>
        <v>ACTIVE</v>
      </c>
      <c r="S84" s="8">
        <f>IF(Table5[[#This Row],[DEADSTOCK FLAG]]="DEAD",Table5[[#This Row],[Inventory Value]],0)</f>
        <v>0</v>
      </c>
    </row>
    <row r="85" spans="1:19" x14ac:dyDescent="0.25">
      <c r="A85" s="24" t="str">
        <f>'Inventory master'!A85</f>
        <v>ITEM084-A</v>
      </c>
      <c r="B85" s="6" t="str">
        <f>'Inventory master'!B85</f>
        <v>Fiber Pigtail</v>
      </c>
      <c r="C85" s="6" t="str">
        <f>'Inventory master'!C85</f>
        <v>Accessories</v>
      </c>
      <c r="D85" s="6" t="str">
        <f>'Inventory master'!D85</f>
        <v>CommScope</v>
      </c>
      <c r="E85" s="10" t="str">
        <f>'Inventory master'!E85</f>
        <v>458.62</v>
      </c>
      <c r="F85" s="10" t="str">
        <f>'Inventory master'!F85</f>
        <v>622.3</v>
      </c>
      <c r="G85" s="10" t="str">
        <f>'Inventory master'!G85</f>
        <v>59</v>
      </c>
      <c r="H85" s="8">
        <f>IFERROR(_xlfn.XLOOKUP(A85, 'Opening stock'!A85:A684, 'Opening stock'!E85:E684), "")</f>
        <v>885</v>
      </c>
      <c r="I85" s="8">
        <f>IFERROR(SUMIF(Table3[Item ID],'Inventory calculations'!A85,Table3[Quantity]),0)</f>
        <v>0</v>
      </c>
      <c r="J85" s="8">
        <f>IFERROR(SUMIF(Table4[Item ID],'Inventory calculations'!A85,Table4[Quantity Purchased]),0)</f>
        <v>11</v>
      </c>
      <c r="K85" s="10">
        <f t="shared" si="6"/>
        <v>896</v>
      </c>
      <c r="L85" s="6" t="str">
        <f t="shared" si="7"/>
        <v>OK</v>
      </c>
      <c r="M85" s="13">
        <f t="shared" si="4"/>
        <v>410923.52000000002</v>
      </c>
      <c r="N85" s="8">
        <f>Table5[[#This Row],[Total Qty Sold]]*Table5[[#This Row],[Unit Price]]</f>
        <v>0</v>
      </c>
      <c r="O85" s="9"/>
      <c r="P85" s="40" t="str">
        <f ca="1">IF(Table5[[#This Row],[Last sale Date]]="","Never Sold",TODAY()-Table5[[#This Row],[Last sale Date]])</f>
        <v>Never Sold</v>
      </c>
      <c r="Q85" s="6" t="str">
        <f>IF(Table5[[#This Row],[Re order Level]]&lt;=Table5[[#This Row],[Current stock]],"ORDERASAP","OK BUT BE CHECKING")</f>
        <v>OK BUT BE CHECKING</v>
      </c>
      <c r="R85" s="6" t="str">
        <f t="shared" si="5"/>
        <v>ACTIVE</v>
      </c>
      <c r="S85" s="8">
        <f>IF(Table5[[#This Row],[DEADSTOCK FLAG]]="DEAD",Table5[[#This Row],[Inventory Value]],0)</f>
        <v>0</v>
      </c>
    </row>
    <row r="86" spans="1:19" x14ac:dyDescent="0.25">
      <c r="A86" s="24" t="str">
        <f>'Inventory master'!A86</f>
        <v>ITEM085-A</v>
      </c>
      <c r="B86" s="6" t="str">
        <f>'Inventory master'!B86</f>
        <v>LC APC Connector</v>
      </c>
      <c r="C86" s="6" t="str">
        <f>'Inventory master'!C86</f>
        <v>Connectors</v>
      </c>
      <c r="D86" s="6" t="str">
        <f>'Inventory master'!D86</f>
        <v>AFL</v>
      </c>
      <c r="E86" s="10" t="str">
        <f>'Inventory master'!E86</f>
        <v>558.85</v>
      </c>
      <c r="F86" s="10" t="str">
        <f>'Inventory master'!F86</f>
        <v>643.35</v>
      </c>
      <c r="G86" s="10" t="str">
        <f>'Inventory master'!G86</f>
        <v>23</v>
      </c>
      <c r="H86" s="8">
        <f>IFERROR(_xlfn.XLOOKUP(A86, 'Opening stock'!A86:A685, 'Opening stock'!E86:E685), "")</f>
        <v>345</v>
      </c>
      <c r="I86" s="8">
        <f>IFERROR(SUMIF(Table3[Item ID],'Inventory calculations'!A86,Table3[Quantity]),0)</f>
        <v>0</v>
      </c>
      <c r="J86" s="8">
        <f>IFERROR(SUMIF(Table4[Item ID],'Inventory calculations'!A86,Table4[Quantity Purchased]),0)</f>
        <v>0</v>
      </c>
      <c r="K86" s="10">
        <f t="shared" si="6"/>
        <v>345</v>
      </c>
      <c r="L86" s="6" t="str">
        <f t="shared" si="7"/>
        <v>OK</v>
      </c>
      <c r="M86" s="13">
        <f t="shared" si="4"/>
        <v>192803.25</v>
      </c>
      <c r="N86" s="8">
        <f>Table5[[#This Row],[Total Qty Sold]]*Table5[[#This Row],[Unit Price]]</f>
        <v>0</v>
      </c>
      <c r="O86" s="9"/>
      <c r="P86" s="40" t="str">
        <f ca="1">IF(Table5[[#This Row],[Last sale Date]]="","Never Sold",TODAY()-Table5[[#This Row],[Last sale Date]])</f>
        <v>Never Sold</v>
      </c>
      <c r="Q86" s="6" t="str">
        <f>IF(Table5[[#This Row],[Re order Level]]&lt;=Table5[[#This Row],[Current stock]],"ORDERASAP","OK BUT BE CHECKING")</f>
        <v>OK BUT BE CHECKING</v>
      </c>
      <c r="R86" s="6" t="str">
        <f t="shared" si="5"/>
        <v>ACTIVE</v>
      </c>
      <c r="S86" s="8">
        <f>IF(Table5[[#This Row],[DEADSTOCK FLAG]]="DEAD",Table5[[#This Row],[Inventory Value]],0)</f>
        <v>0</v>
      </c>
    </row>
    <row r="87" spans="1:19" x14ac:dyDescent="0.25">
      <c r="A87" s="24" t="str">
        <f>'Inventory master'!A87</f>
        <v>ITEM086-A</v>
      </c>
      <c r="B87" s="6" t="str">
        <f>'Inventory master'!B87</f>
        <v>Fiber Jumper</v>
      </c>
      <c r="C87" s="6" t="str">
        <f>'Inventory master'!C87</f>
        <v>Accessories</v>
      </c>
      <c r="D87" s="6" t="str">
        <f>'Inventory master'!D87</f>
        <v>Panduit</v>
      </c>
      <c r="E87" s="10" t="str">
        <f>'Inventory master'!E87</f>
        <v>1448.2</v>
      </c>
      <c r="F87" s="10" t="str">
        <f>'Inventory master'!F87</f>
        <v>2574.06</v>
      </c>
      <c r="G87" s="10" t="str">
        <f>'Inventory master'!G87</f>
        <v>48</v>
      </c>
      <c r="H87" s="8">
        <f>IFERROR(_xlfn.XLOOKUP(A87, 'Opening stock'!A87:A686, 'Opening stock'!E87:E686), "")</f>
        <v>720</v>
      </c>
      <c r="I87" s="8">
        <f>IFERROR(SUMIF(Table3[Item ID],'Inventory calculations'!A87,Table3[Quantity]),0)</f>
        <v>0</v>
      </c>
      <c r="J87" s="8">
        <f>IFERROR(SUMIF(Table4[Item ID],'Inventory calculations'!A87,Table4[Quantity Purchased]),0)</f>
        <v>0</v>
      </c>
      <c r="K87" s="10">
        <f t="shared" si="6"/>
        <v>720</v>
      </c>
      <c r="L87" s="6" t="str">
        <f t="shared" si="7"/>
        <v>OK</v>
      </c>
      <c r="M87" s="13">
        <f t="shared" si="4"/>
        <v>1042704</v>
      </c>
      <c r="N87" s="8">
        <f>Table5[[#This Row],[Total Qty Sold]]*Table5[[#This Row],[Unit Price]]</f>
        <v>0</v>
      </c>
      <c r="O87" s="9"/>
      <c r="P87" s="40" t="str">
        <f ca="1">IF(Table5[[#This Row],[Last sale Date]]="","Never Sold",TODAY()-Table5[[#This Row],[Last sale Date]])</f>
        <v>Never Sold</v>
      </c>
      <c r="Q87" s="6" t="str">
        <f>IF(Table5[[#This Row],[Re order Level]]&lt;=Table5[[#This Row],[Current stock]],"ORDERASAP","OK BUT BE CHECKING")</f>
        <v>OK BUT BE CHECKING</v>
      </c>
      <c r="R87" s="6" t="str">
        <f t="shared" si="5"/>
        <v>ACTIVE</v>
      </c>
      <c r="S87" s="8">
        <f>IF(Table5[[#This Row],[DEADSTOCK FLAG]]="DEAD",Table5[[#This Row],[Inventory Value]],0)</f>
        <v>0</v>
      </c>
    </row>
    <row r="88" spans="1:19" x14ac:dyDescent="0.25">
      <c r="A88" s="24" t="str">
        <f>'Inventory master'!A88</f>
        <v>ITEM087-A</v>
      </c>
      <c r="B88" s="6" t="str">
        <f>'Inventory master'!B88</f>
        <v>Indoor Fiber Cable 500m</v>
      </c>
      <c r="C88" s="6" t="str">
        <f>'Inventory master'!C88</f>
        <v>Fiber Optic Cables</v>
      </c>
      <c r="D88" s="6" t="str">
        <f>'Inventory master'!D88</f>
        <v>AFL</v>
      </c>
      <c r="E88" s="10" t="str">
        <f>'Inventory master'!E88</f>
        <v>14.98</v>
      </c>
      <c r="F88" s="10" t="str">
        <f>'Inventory master'!F88</f>
        <v>28.83</v>
      </c>
      <c r="G88" s="10" t="str">
        <f>'Inventory master'!G88</f>
        <v>19</v>
      </c>
      <c r="H88" s="8">
        <f>IFERROR(_xlfn.XLOOKUP(A88, 'Opening stock'!A88:A687, 'Opening stock'!E88:E687), "")</f>
        <v>285</v>
      </c>
      <c r="I88" s="8">
        <f>IFERROR(SUMIF(Table3[Item ID],'Inventory calculations'!A88,Table3[Quantity]),0)</f>
        <v>0</v>
      </c>
      <c r="J88" s="8">
        <f>IFERROR(SUMIF(Table4[Item ID],'Inventory calculations'!A88,Table4[Quantity Purchased]),0)</f>
        <v>23</v>
      </c>
      <c r="K88" s="10">
        <f t="shared" si="6"/>
        <v>308</v>
      </c>
      <c r="L88" s="6" t="str">
        <f t="shared" si="7"/>
        <v>OK</v>
      </c>
      <c r="M88" s="13">
        <f t="shared" si="4"/>
        <v>4613.84</v>
      </c>
      <c r="N88" s="8">
        <f>Table5[[#This Row],[Total Qty Sold]]*Table5[[#This Row],[Unit Price]]</f>
        <v>0</v>
      </c>
      <c r="O88" s="9"/>
      <c r="P88" s="40" t="str">
        <f ca="1">IF(Table5[[#This Row],[Last sale Date]]="","Never Sold",TODAY()-Table5[[#This Row],[Last sale Date]])</f>
        <v>Never Sold</v>
      </c>
      <c r="Q88" s="6" t="str">
        <f>IF(Table5[[#This Row],[Re order Level]]&lt;=Table5[[#This Row],[Current stock]],"ORDERASAP","OK BUT BE CHECKING")</f>
        <v>OK BUT BE CHECKING</v>
      </c>
      <c r="R88" s="6" t="str">
        <f t="shared" si="5"/>
        <v>ACTIVE</v>
      </c>
      <c r="S88" s="8">
        <f>IF(Table5[[#This Row],[DEADSTOCK FLAG]]="DEAD",Table5[[#This Row],[Inventory Value]],0)</f>
        <v>0</v>
      </c>
    </row>
    <row r="89" spans="1:19" x14ac:dyDescent="0.25">
      <c r="A89" s="24" t="str">
        <f>'Inventory master'!A89</f>
        <v>ITEM088-A</v>
      </c>
      <c r="B89" s="6" t="str">
        <f>'Inventory master'!B89</f>
        <v>96-Port Fiber Patch Panel</v>
      </c>
      <c r="C89" s="6" t="str">
        <f>'Inventory master'!C89</f>
        <v>Patch Panels</v>
      </c>
      <c r="D89" s="6" t="str">
        <f>'Inventory master'!D89</f>
        <v>Huber+Suhner</v>
      </c>
      <c r="E89" s="10" t="str">
        <f>'Inventory master'!E89</f>
        <v>719.88</v>
      </c>
      <c r="F89" s="10" t="str">
        <f>'Inventory master'!F89</f>
        <v>1139.88</v>
      </c>
      <c r="G89" s="10" t="str">
        <f>'Inventory master'!G89</f>
        <v>22</v>
      </c>
      <c r="H89" s="8">
        <f>IFERROR(_xlfn.XLOOKUP(A89, 'Opening stock'!A89:A688, 'Opening stock'!E89:E688), "")</f>
        <v>330</v>
      </c>
      <c r="I89" s="8">
        <f>IFERROR(SUMIF(Table3[Item ID],'Inventory calculations'!A89,Table3[Quantity]),0)</f>
        <v>0</v>
      </c>
      <c r="J89" s="8">
        <f>IFERROR(SUMIF(Table4[Item ID],'Inventory calculations'!A89,Table4[Quantity Purchased]),0)</f>
        <v>0</v>
      </c>
      <c r="K89" s="10">
        <f t="shared" si="6"/>
        <v>330</v>
      </c>
      <c r="L89" s="6" t="str">
        <f t="shared" si="7"/>
        <v>OK</v>
      </c>
      <c r="M89" s="13">
        <f t="shared" si="4"/>
        <v>237560.4</v>
      </c>
      <c r="N89" s="8">
        <f>Table5[[#This Row],[Total Qty Sold]]*Table5[[#This Row],[Unit Price]]</f>
        <v>0</v>
      </c>
      <c r="O89" s="9"/>
      <c r="P89" s="40" t="str">
        <f ca="1">IF(Table5[[#This Row],[Last sale Date]]="","Never Sold",TODAY()-Table5[[#This Row],[Last sale Date]])</f>
        <v>Never Sold</v>
      </c>
      <c r="Q89" s="6" t="str">
        <f>IF(Table5[[#This Row],[Re order Level]]&lt;=Table5[[#This Row],[Current stock]],"ORDERASAP","OK BUT BE CHECKING")</f>
        <v>OK BUT BE CHECKING</v>
      </c>
      <c r="R89" s="6" t="str">
        <f t="shared" si="5"/>
        <v>ACTIVE</v>
      </c>
      <c r="S89" s="8">
        <f>IF(Table5[[#This Row],[DEADSTOCK FLAG]]="DEAD",Table5[[#This Row],[Inventory Value]],0)</f>
        <v>0</v>
      </c>
    </row>
    <row r="90" spans="1:19" x14ac:dyDescent="0.25">
      <c r="A90" s="24" t="str">
        <f>'Inventory master'!A90</f>
        <v>ITEM089-A</v>
      </c>
      <c r="B90" s="6" t="str">
        <f>'Inventory master'!B90</f>
        <v>ST UPC Connector</v>
      </c>
      <c r="C90" s="6" t="str">
        <f>'Inventory master'!C90</f>
        <v>Connectors</v>
      </c>
      <c r="D90" s="6" t="str">
        <f>'Inventory master'!D90</f>
        <v>Leviton</v>
      </c>
      <c r="E90" s="10" t="str">
        <f>'Inventory master'!E90</f>
        <v>171.77</v>
      </c>
      <c r="F90" s="10" t="str">
        <f>'Inventory master'!F90</f>
        <v>259.38</v>
      </c>
      <c r="G90" s="10" t="str">
        <f>'Inventory master'!G90</f>
        <v>10</v>
      </c>
      <c r="H90" s="8">
        <f>IFERROR(_xlfn.XLOOKUP(A90, 'Opening stock'!A90:A689, 'Opening stock'!E90:E689), "")</f>
        <v>150</v>
      </c>
      <c r="I90" s="8">
        <f>IFERROR(SUMIF(Table3[Item ID],'Inventory calculations'!A90,Table3[Quantity]),0)</f>
        <v>17</v>
      </c>
      <c r="J90" s="8">
        <f>IFERROR(SUMIF(Table4[Item ID],'Inventory calculations'!A90,Table4[Quantity Purchased]),0)</f>
        <v>3</v>
      </c>
      <c r="K90" s="10">
        <f t="shared" si="6"/>
        <v>136</v>
      </c>
      <c r="L90" s="6" t="str">
        <f t="shared" si="7"/>
        <v>OK</v>
      </c>
      <c r="M90" s="13">
        <f t="shared" si="4"/>
        <v>23360.720000000001</v>
      </c>
      <c r="N90" s="8">
        <f>Table5[[#This Row],[Total Qty Sold]]*Table5[[#This Row],[Unit Price]]</f>
        <v>4409.46</v>
      </c>
      <c r="O90" s="9">
        <f>IFERROR(_xlfn.MAXIFS(Table3[Date],Table3[Item ID],Table5[[#This Row],[Item ID]]),"")</f>
        <v>45482</v>
      </c>
      <c r="P90" s="40">
        <f ca="1">IF(Table5[[#This Row],[Last sale Date]]="","Never Sold",TODAY()-Table5[[#This Row],[Last sale Date]])</f>
        <v>570</v>
      </c>
      <c r="Q90" s="6" t="str">
        <f>IF(Table5[[#This Row],[Re order Level]]&lt;=Table5[[#This Row],[Current stock]],"ORDERASAP","OK BUT BE CHECKING")</f>
        <v>OK BUT BE CHECKING</v>
      </c>
      <c r="R90" s="6" t="str">
        <f t="shared" si="5"/>
        <v>ACTIVE</v>
      </c>
      <c r="S90" s="8">
        <f>IF(Table5[[#This Row],[DEADSTOCK FLAG]]="DEAD",Table5[[#This Row],[Inventory Value]],0)</f>
        <v>0</v>
      </c>
    </row>
    <row r="91" spans="1:19" x14ac:dyDescent="0.25">
      <c r="A91" s="24" t="str">
        <f>'Inventory master'!A91</f>
        <v>ITEM090-A</v>
      </c>
      <c r="B91" s="6" t="str">
        <f>'Inventory master'!B91</f>
        <v>1x16 PLC Splitter</v>
      </c>
      <c r="C91" s="6" t="str">
        <f>'Inventory master'!C91</f>
        <v>Splitters</v>
      </c>
      <c r="D91" s="6" t="str">
        <f>'Inventory master'!D91</f>
        <v>Panduit</v>
      </c>
      <c r="E91" s="10" t="str">
        <f>'Inventory master'!E91</f>
        <v>808.45</v>
      </c>
      <c r="F91" s="10" t="str">
        <f>'Inventory master'!F91</f>
        <v>1484.18</v>
      </c>
      <c r="G91" s="10" t="str">
        <f>'Inventory master'!G91</f>
        <v>95</v>
      </c>
      <c r="H91" s="8">
        <f>IFERROR(_xlfn.XLOOKUP(A91, 'Opening stock'!A91:A690, 'Opening stock'!E91:E690), "")</f>
        <v>1425</v>
      </c>
      <c r="I91" s="8">
        <f>IFERROR(SUMIF(Table3[Item ID],'Inventory calculations'!A91,Table3[Quantity]),0)</f>
        <v>0</v>
      </c>
      <c r="J91" s="8">
        <f>IFERROR(SUMIF(Table4[Item ID],'Inventory calculations'!A91,Table4[Quantity Purchased]),0)</f>
        <v>7</v>
      </c>
      <c r="K91" s="10">
        <f t="shared" si="6"/>
        <v>1432</v>
      </c>
      <c r="L91" s="6" t="str">
        <f t="shared" si="7"/>
        <v>OK</v>
      </c>
      <c r="M91" s="13">
        <f t="shared" si="4"/>
        <v>1157700.4000000001</v>
      </c>
      <c r="N91" s="8">
        <f>Table5[[#This Row],[Total Qty Sold]]*Table5[[#This Row],[Unit Price]]</f>
        <v>0</v>
      </c>
      <c r="O91" s="9"/>
      <c r="P91" s="40" t="str">
        <f ca="1">IF(Table5[[#This Row],[Last sale Date]]="","Never Sold",TODAY()-Table5[[#This Row],[Last sale Date]])</f>
        <v>Never Sold</v>
      </c>
      <c r="Q91" s="6" t="str">
        <f>IF(Table5[[#This Row],[Re order Level]]&lt;=Table5[[#This Row],[Current stock]],"ORDERASAP","OK BUT BE CHECKING")</f>
        <v>OK BUT BE CHECKING</v>
      </c>
      <c r="R91" s="6" t="str">
        <f t="shared" si="5"/>
        <v>ACTIVE</v>
      </c>
      <c r="S91" s="8">
        <f>IF(Table5[[#This Row],[DEADSTOCK FLAG]]="DEAD",Table5[[#This Row],[Inventory Value]],0)</f>
        <v>0</v>
      </c>
    </row>
    <row r="92" spans="1:19" x14ac:dyDescent="0.25">
      <c r="A92" s="24" t="str">
        <f>'Inventory master'!A92</f>
        <v>ITEM091-A</v>
      </c>
      <c r="B92" s="6" t="str">
        <f>'Inventory master'!B92</f>
        <v>Fiber Pigtail</v>
      </c>
      <c r="C92" s="6" t="str">
        <f>'Inventory master'!C92</f>
        <v>Accessories</v>
      </c>
      <c r="D92" s="6" t="str">
        <f>'Inventory master'!D92</f>
        <v>CommScope</v>
      </c>
      <c r="E92" s="10" t="str">
        <f>'Inventory master'!E92</f>
        <v>1302.94</v>
      </c>
      <c r="F92" s="10" t="str">
        <f>'Inventory master'!F92</f>
        <v>2096.07</v>
      </c>
      <c r="G92" s="10" t="str">
        <f>'Inventory master'!G92</f>
        <v>54</v>
      </c>
      <c r="H92" s="8">
        <f>IFERROR(_xlfn.XLOOKUP(A92, 'Opening stock'!A92:A691, 'Opening stock'!E92:E691), "")</f>
        <v>810</v>
      </c>
      <c r="I92" s="8">
        <f>IFERROR(SUMIF(Table3[Item ID],'Inventory calculations'!A92,Table3[Quantity]),0)</f>
        <v>0</v>
      </c>
      <c r="J92" s="8">
        <f>IFERROR(SUMIF(Table4[Item ID],'Inventory calculations'!A92,Table4[Quantity Purchased]),0)</f>
        <v>4</v>
      </c>
      <c r="K92" s="10">
        <f t="shared" si="6"/>
        <v>814</v>
      </c>
      <c r="L92" s="6" t="str">
        <f t="shared" si="7"/>
        <v>OK</v>
      </c>
      <c r="M92" s="13">
        <f t="shared" si="4"/>
        <v>1060593.1600000001</v>
      </c>
      <c r="N92" s="8">
        <f>Table5[[#This Row],[Total Qty Sold]]*Table5[[#This Row],[Unit Price]]</f>
        <v>0</v>
      </c>
      <c r="O92" s="9"/>
      <c r="P92" s="40" t="str">
        <f ca="1">IF(Table5[[#This Row],[Last sale Date]]="","Never Sold",TODAY()-Table5[[#This Row],[Last sale Date]])</f>
        <v>Never Sold</v>
      </c>
      <c r="Q92" s="6" t="str">
        <f>IF(Table5[[#This Row],[Re order Level]]&lt;=Table5[[#This Row],[Current stock]],"ORDERASAP","OK BUT BE CHECKING")</f>
        <v>OK BUT BE CHECKING</v>
      </c>
      <c r="R92" s="6" t="str">
        <f t="shared" si="5"/>
        <v>ACTIVE</v>
      </c>
      <c r="S92" s="8">
        <f>IF(Table5[[#This Row],[DEADSTOCK FLAG]]="DEAD",Table5[[#This Row],[Inventory Value]],0)</f>
        <v>0</v>
      </c>
    </row>
    <row r="93" spans="1:19" x14ac:dyDescent="0.25">
      <c r="A93" s="24" t="str">
        <f>'Inventory master'!A93</f>
        <v>ITEM092-A</v>
      </c>
      <c r="B93" s="6" t="str">
        <f>'Inventory master'!B93</f>
        <v>Fiber Adapter</v>
      </c>
      <c r="C93" s="6" t="str">
        <f>'Inventory master'!C93</f>
        <v>Accessories</v>
      </c>
      <c r="D93" s="6" t="str">
        <f>'Inventory master'!D93</f>
        <v>Belden</v>
      </c>
      <c r="E93" s="10" t="str">
        <f>'Inventory master'!E93</f>
        <v>912.7</v>
      </c>
      <c r="F93" s="10" t="str">
        <f>'Inventory master'!F93</f>
        <v>1041.48</v>
      </c>
      <c r="G93" s="10" t="str">
        <f>'Inventory master'!G93</f>
        <v>53</v>
      </c>
      <c r="H93" s="8">
        <f>IFERROR(_xlfn.XLOOKUP(A93, 'Opening stock'!A93:A692, 'Opening stock'!E93:E692), "")</f>
        <v>795</v>
      </c>
      <c r="I93" s="8">
        <f>IFERROR(SUMIF(Table3[Item ID],'Inventory calculations'!A93,Table3[Quantity]),0)</f>
        <v>0</v>
      </c>
      <c r="J93" s="8">
        <f>IFERROR(SUMIF(Table4[Item ID],'Inventory calculations'!A93,Table4[Quantity Purchased]),0)</f>
        <v>0</v>
      </c>
      <c r="K93" s="10">
        <f t="shared" si="6"/>
        <v>795</v>
      </c>
      <c r="L93" s="6" t="str">
        <f t="shared" si="7"/>
        <v>OK</v>
      </c>
      <c r="M93" s="13">
        <f t="shared" si="4"/>
        <v>725596.5</v>
      </c>
      <c r="N93" s="8">
        <f>Table5[[#This Row],[Total Qty Sold]]*Table5[[#This Row],[Unit Price]]</f>
        <v>0</v>
      </c>
      <c r="O93" s="9"/>
      <c r="P93" s="40" t="str">
        <f ca="1">IF(Table5[[#This Row],[Last sale Date]]="","Never Sold",TODAY()-Table5[[#This Row],[Last sale Date]])</f>
        <v>Never Sold</v>
      </c>
      <c r="Q93" s="6" t="str">
        <f>IF(Table5[[#This Row],[Re order Level]]&lt;=Table5[[#This Row],[Current stock]],"ORDERASAP","OK BUT BE CHECKING")</f>
        <v>OK BUT BE CHECKING</v>
      </c>
      <c r="R93" s="6" t="str">
        <f t="shared" si="5"/>
        <v>ACTIVE</v>
      </c>
      <c r="S93" s="8">
        <f>IF(Table5[[#This Row],[DEADSTOCK FLAG]]="DEAD",Table5[[#This Row],[Inventory Value]],0)</f>
        <v>0</v>
      </c>
    </row>
    <row r="94" spans="1:19" x14ac:dyDescent="0.25">
      <c r="A94" s="24" t="str">
        <f>'Inventory master'!A94</f>
        <v>ITEM093-A</v>
      </c>
      <c r="B94" s="6" t="str">
        <f>'Inventory master'!B94</f>
        <v>Pedestal Enclosure</v>
      </c>
      <c r="C94" s="6" t="str">
        <f>'Inventory master'!C94</f>
        <v>Enclosures</v>
      </c>
      <c r="D94" s="6" t="str">
        <f>'Inventory master'!D94</f>
        <v>Huber+Suhner</v>
      </c>
      <c r="E94" s="10" t="str">
        <f>'Inventory master'!E94</f>
        <v>1076.38</v>
      </c>
      <c r="F94" s="10" t="str">
        <f>'Inventory master'!F94</f>
        <v>1711.33</v>
      </c>
      <c r="G94" s="10" t="str">
        <f>'Inventory master'!G94</f>
        <v>82</v>
      </c>
      <c r="H94" s="8">
        <f>IFERROR(_xlfn.XLOOKUP(A94, 'Opening stock'!A94:A693, 'Opening stock'!E94:E693), "")</f>
        <v>1230</v>
      </c>
      <c r="I94" s="8">
        <f>IFERROR(SUMIF(Table3[Item ID],'Inventory calculations'!A94,Table3[Quantity]),0)</f>
        <v>3</v>
      </c>
      <c r="J94" s="8">
        <f>IFERROR(SUMIF(Table4[Item ID],'Inventory calculations'!A94,Table4[Quantity Purchased]),0)</f>
        <v>4</v>
      </c>
      <c r="K94" s="10">
        <f t="shared" si="6"/>
        <v>1231</v>
      </c>
      <c r="L94" s="6" t="str">
        <f t="shared" si="7"/>
        <v>OK</v>
      </c>
      <c r="M94" s="13">
        <f t="shared" si="4"/>
        <v>1325023.78</v>
      </c>
      <c r="N94" s="8">
        <f>Table5[[#This Row],[Total Qty Sold]]*Table5[[#This Row],[Unit Price]]</f>
        <v>5133.99</v>
      </c>
      <c r="O94" s="9">
        <f>IFERROR(_xlfn.MAXIFS(Table3[Date],Table3[Item ID],Table5[[#This Row],[Item ID]]),"")</f>
        <v>45419</v>
      </c>
      <c r="P94" s="40">
        <f ca="1">IF(Table5[[#This Row],[Last sale Date]]="","Never Sold",TODAY()-Table5[[#This Row],[Last sale Date]])</f>
        <v>633</v>
      </c>
      <c r="Q94" s="6" t="str">
        <f>IF(Table5[[#This Row],[Re order Level]]&lt;=Table5[[#This Row],[Current stock]],"ORDERASAP","OK BUT BE CHECKING")</f>
        <v>OK BUT BE CHECKING</v>
      </c>
      <c r="R94" s="6" t="str">
        <f t="shared" si="5"/>
        <v>ACTIVE</v>
      </c>
      <c r="S94" s="8">
        <f>IF(Table5[[#This Row],[DEADSTOCK FLAG]]="DEAD",Table5[[#This Row],[Inventory Value]],0)</f>
        <v>0</v>
      </c>
    </row>
    <row r="95" spans="1:19" x14ac:dyDescent="0.25">
      <c r="A95" s="24" t="str">
        <f>'Inventory master'!A95</f>
        <v>ITEM094-A</v>
      </c>
      <c r="B95" s="6" t="str">
        <f>'Inventory master'!B95</f>
        <v>Fiber Adapter</v>
      </c>
      <c r="C95" s="6" t="str">
        <f>'Inventory master'!C95</f>
        <v>Accessories</v>
      </c>
      <c r="D95" s="6" t="str">
        <f>'Inventory master'!D95</f>
        <v>Leviton</v>
      </c>
      <c r="E95" s="10" t="str">
        <f>'Inventory master'!E95</f>
        <v>298.77</v>
      </c>
      <c r="F95" s="10" t="str">
        <f>'Inventory master'!F95</f>
        <v>572.18</v>
      </c>
      <c r="G95" s="10" t="str">
        <f>'Inventory master'!G95</f>
        <v>34</v>
      </c>
      <c r="H95" s="8">
        <f>IFERROR(_xlfn.XLOOKUP(A95, 'Opening stock'!A95:A694, 'Opening stock'!E95:E694), "")</f>
        <v>510</v>
      </c>
      <c r="I95" s="8">
        <f>IFERROR(SUMIF(Table3[Item ID],'Inventory calculations'!A95,Table3[Quantity]),0)</f>
        <v>0</v>
      </c>
      <c r="J95" s="8">
        <f>IFERROR(SUMIF(Table4[Item ID],'Inventory calculations'!A95,Table4[Quantity Purchased]),0)</f>
        <v>25</v>
      </c>
      <c r="K95" s="10">
        <f t="shared" si="6"/>
        <v>535</v>
      </c>
      <c r="L95" s="6" t="str">
        <f t="shared" si="7"/>
        <v>OK</v>
      </c>
      <c r="M95" s="13">
        <f t="shared" si="4"/>
        <v>159841.94999999998</v>
      </c>
      <c r="N95" s="8">
        <f>Table5[[#This Row],[Total Qty Sold]]*Table5[[#This Row],[Unit Price]]</f>
        <v>0</v>
      </c>
      <c r="O95" s="9"/>
      <c r="P95" s="40" t="str">
        <f ca="1">IF(Table5[[#This Row],[Last sale Date]]="","Never Sold",TODAY()-Table5[[#This Row],[Last sale Date]])</f>
        <v>Never Sold</v>
      </c>
      <c r="Q95" s="6" t="str">
        <f>IF(Table5[[#This Row],[Re order Level]]&lt;=Table5[[#This Row],[Current stock]],"ORDERASAP","OK BUT BE CHECKING")</f>
        <v>OK BUT BE CHECKING</v>
      </c>
      <c r="R95" s="6" t="str">
        <f t="shared" si="5"/>
        <v>ACTIVE</v>
      </c>
      <c r="S95" s="8">
        <f>IF(Table5[[#This Row],[DEADSTOCK FLAG]]="DEAD",Table5[[#This Row],[Inventory Value]],0)</f>
        <v>0</v>
      </c>
    </row>
    <row r="96" spans="1:19" x14ac:dyDescent="0.25">
      <c r="A96" s="24" t="str">
        <f>'Inventory master'!A96</f>
        <v>ITEM095-A</v>
      </c>
      <c r="B96" s="6" t="str">
        <f>'Inventory master'!B96</f>
        <v>Fiber Optic Tester</v>
      </c>
      <c r="C96" s="6" t="str">
        <f>'Inventory master'!C96</f>
        <v>Tools</v>
      </c>
      <c r="D96" s="6" t="str">
        <f>'Inventory master'!D96</f>
        <v>Amphenol</v>
      </c>
      <c r="E96" s="10" t="str">
        <f>'Inventory master'!E96</f>
        <v>1806.12</v>
      </c>
      <c r="F96" s="10" t="str">
        <f>'Inventory master'!F96</f>
        <v>2752.77</v>
      </c>
      <c r="G96" s="10" t="str">
        <f>'Inventory master'!G96</f>
        <v>84</v>
      </c>
      <c r="H96" s="8">
        <f>IFERROR(_xlfn.XLOOKUP(A96, 'Opening stock'!A96:A695, 'Opening stock'!E96:E695), "")</f>
        <v>1260</v>
      </c>
      <c r="I96" s="8">
        <f>IFERROR(SUMIF(Table3[Item ID],'Inventory calculations'!A96,Table3[Quantity]),0)</f>
        <v>12</v>
      </c>
      <c r="J96" s="8">
        <f>IFERROR(SUMIF(Table4[Item ID],'Inventory calculations'!A96,Table4[Quantity Purchased]),0)</f>
        <v>0</v>
      </c>
      <c r="K96" s="10">
        <f t="shared" si="6"/>
        <v>1248</v>
      </c>
      <c r="L96" s="6" t="str">
        <f t="shared" si="7"/>
        <v>OK</v>
      </c>
      <c r="M96" s="13">
        <f t="shared" si="4"/>
        <v>2254037.7599999998</v>
      </c>
      <c r="N96" s="8">
        <f>Table5[[#This Row],[Total Qty Sold]]*Table5[[#This Row],[Unit Price]]</f>
        <v>33033.24</v>
      </c>
      <c r="O96" s="9">
        <f>IFERROR(_xlfn.MAXIFS(Table3[Date],Table3[Item ID],Table5[[#This Row],[Item ID]]),"")</f>
        <v>45396</v>
      </c>
      <c r="P96" s="40">
        <f ca="1">IF(Table5[[#This Row],[Last sale Date]]="","Never Sold",TODAY()-Table5[[#This Row],[Last sale Date]])</f>
        <v>656</v>
      </c>
      <c r="Q96" s="6" t="str">
        <f>IF(Table5[[#This Row],[Re order Level]]&lt;=Table5[[#This Row],[Current stock]],"ORDERASAP","OK BUT BE CHECKING")</f>
        <v>OK BUT BE CHECKING</v>
      </c>
      <c r="R96" s="6" t="str">
        <f t="shared" si="5"/>
        <v>ACTIVE</v>
      </c>
      <c r="S96" s="8">
        <f>IF(Table5[[#This Row],[DEADSTOCK FLAG]]="DEAD",Table5[[#This Row],[Inventory Value]],0)</f>
        <v>0</v>
      </c>
    </row>
    <row r="97" spans="1:19" x14ac:dyDescent="0.25">
      <c r="A97" s="24" t="str">
        <f>'Inventory master'!A97</f>
        <v>ITEM096-A</v>
      </c>
      <c r="B97" s="6" t="str">
        <f>'Inventory master'!B97</f>
        <v>1x16 PLC Splitter</v>
      </c>
      <c r="C97" s="6" t="str">
        <f>'Inventory master'!C97</f>
        <v>Splitters</v>
      </c>
      <c r="D97" s="6" t="str">
        <f>'Inventory master'!D97</f>
        <v>Amphenol</v>
      </c>
      <c r="E97" s="10" t="str">
        <f>'Inventory master'!E97</f>
        <v>563.28</v>
      </c>
      <c r="F97" s="10" t="str">
        <f>'Inventory master'!F97</f>
        <v>799.09</v>
      </c>
      <c r="G97" s="10" t="str">
        <f>'Inventory master'!G97</f>
        <v>84</v>
      </c>
      <c r="H97" s="8">
        <f>IFERROR(_xlfn.XLOOKUP(A97, 'Opening stock'!A97:A696, 'Opening stock'!E97:E696), "")</f>
        <v>1260</v>
      </c>
      <c r="I97" s="8">
        <f>IFERROR(SUMIF(Table3[Item ID],'Inventory calculations'!A97,Table3[Quantity]),0)</f>
        <v>11</v>
      </c>
      <c r="J97" s="8">
        <f>IFERROR(SUMIF(Table4[Item ID],'Inventory calculations'!A97,Table4[Quantity Purchased]),0)</f>
        <v>9</v>
      </c>
      <c r="K97" s="10">
        <f t="shared" si="6"/>
        <v>1258</v>
      </c>
      <c r="L97" s="6" t="str">
        <f t="shared" si="7"/>
        <v>OK</v>
      </c>
      <c r="M97" s="13">
        <f t="shared" si="4"/>
        <v>708606.24</v>
      </c>
      <c r="N97" s="8">
        <f>Table5[[#This Row],[Total Qty Sold]]*Table5[[#This Row],[Unit Price]]</f>
        <v>8789.99</v>
      </c>
      <c r="O97" s="9">
        <f>IFERROR(_xlfn.MAXIFS(Table3[Date],Table3[Item ID],Table5[[#This Row],[Item ID]]),"")</f>
        <v>45372</v>
      </c>
      <c r="P97" s="40">
        <f ca="1">IF(Table5[[#This Row],[Last sale Date]]="","Never Sold",TODAY()-Table5[[#This Row],[Last sale Date]])</f>
        <v>680</v>
      </c>
      <c r="Q97" s="6" t="str">
        <f>IF(Table5[[#This Row],[Re order Level]]&lt;=Table5[[#This Row],[Current stock]],"ORDERASAP","OK BUT BE CHECKING")</f>
        <v>OK BUT BE CHECKING</v>
      </c>
      <c r="R97" s="6" t="str">
        <f t="shared" si="5"/>
        <v>ACTIVE</v>
      </c>
      <c r="S97" s="8">
        <f>IF(Table5[[#This Row],[DEADSTOCK FLAG]]="DEAD",Table5[[#This Row],[Inventory Value]],0)</f>
        <v>0</v>
      </c>
    </row>
    <row r="98" spans="1:19" x14ac:dyDescent="0.25">
      <c r="A98" s="24" t="str">
        <f>'Inventory master'!A98</f>
        <v>ITEM097-A</v>
      </c>
      <c r="B98" s="6" t="str">
        <f>'Inventory master'!B98</f>
        <v>1x16 PLC Splitter</v>
      </c>
      <c r="C98" s="6" t="str">
        <f>'Inventory master'!C98</f>
        <v>Splitters</v>
      </c>
      <c r="D98" s="6" t="str">
        <f>'Inventory master'!D98</f>
        <v>Leviton</v>
      </c>
      <c r="E98" s="10" t="str">
        <f>'Inventory master'!E98</f>
        <v>371.14</v>
      </c>
      <c r="F98" s="10" t="str">
        <f>'Inventory master'!F98</f>
        <v>704.64</v>
      </c>
      <c r="G98" s="10" t="str">
        <f>'Inventory master'!G98</f>
        <v>65</v>
      </c>
      <c r="H98" s="8">
        <f>IFERROR(_xlfn.XLOOKUP(A98, 'Opening stock'!A98:A697, 'Opening stock'!E98:E697), "")</f>
        <v>975</v>
      </c>
      <c r="I98" s="8">
        <f>IFERROR(SUMIF(Table3[Item ID],'Inventory calculations'!A98,Table3[Quantity]),0)</f>
        <v>0</v>
      </c>
      <c r="J98" s="8">
        <f>IFERROR(SUMIF(Table4[Item ID],'Inventory calculations'!A98,Table4[Quantity Purchased]),0)</f>
        <v>1</v>
      </c>
      <c r="K98" s="10">
        <f t="shared" si="6"/>
        <v>976</v>
      </c>
      <c r="L98" s="6" t="str">
        <f t="shared" si="7"/>
        <v>OK</v>
      </c>
      <c r="M98" s="13">
        <f t="shared" si="4"/>
        <v>362232.64</v>
      </c>
      <c r="N98" s="8">
        <f>Table5[[#This Row],[Total Qty Sold]]*Table5[[#This Row],[Unit Price]]</f>
        <v>0</v>
      </c>
      <c r="O98" s="9"/>
      <c r="P98" s="40" t="str">
        <f ca="1">IF(Table5[[#This Row],[Last sale Date]]="","Never Sold",TODAY()-Table5[[#This Row],[Last sale Date]])</f>
        <v>Never Sold</v>
      </c>
      <c r="Q98" s="6" t="str">
        <f>IF(Table5[[#This Row],[Re order Level]]&lt;=Table5[[#This Row],[Current stock]],"ORDERASAP","OK BUT BE CHECKING")</f>
        <v>OK BUT BE CHECKING</v>
      </c>
      <c r="R98" s="6" t="str">
        <f t="shared" si="5"/>
        <v>ACTIVE</v>
      </c>
      <c r="S98" s="8">
        <f>IF(Table5[[#This Row],[DEADSTOCK FLAG]]="DEAD",Table5[[#This Row],[Inventory Value]],0)</f>
        <v>0</v>
      </c>
    </row>
    <row r="99" spans="1:19" x14ac:dyDescent="0.25">
      <c r="A99" s="24" t="str">
        <f>'Inventory master'!A99</f>
        <v>ITEM098-A</v>
      </c>
      <c r="B99" s="6" t="str">
        <f>'Inventory master'!B99</f>
        <v>Fiber Optic Polisher</v>
      </c>
      <c r="C99" s="6" t="str">
        <f>'Inventory master'!C99</f>
        <v>Tools</v>
      </c>
      <c r="D99" s="6" t="str">
        <f>'Inventory master'!D99</f>
        <v>Amphenol</v>
      </c>
      <c r="E99" s="10" t="str">
        <f>'Inventory master'!E99</f>
        <v>689.76</v>
      </c>
      <c r="F99" s="10" t="str">
        <f>'Inventory master'!F99</f>
        <v>1067.65</v>
      </c>
      <c r="G99" s="10" t="str">
        <f>'Inventory master'!G99</f>
        <v>76</v>
      </c>
      <c r="H99" s="8">
        <f>IFERROR(_xlfn.XLOOKUP(A99, 'Opening stock'!A99:A698, 'Opening stock'!E99:E698), "")</f>
        <v>1140</v>
      </c>
      <c r="I99" s="8">
        <f>IFERROR(SUMIF(Table3[Item ID],'Inventory calculations'!A99,Table3[Quantity]),0)</f>
        <v>0</v>
      </c>
      <c r="J99" s="8">
        <f>IFERROR(SUMIF(Table4[Item ID],'Inventory calculations'!A99,Table4[Quantity Purchased]),0)</f>
        <v>0</v>
      </c>
      <c r="K99" s="10">
        <f t="shared" si="6"/>
        <v>1140</v>
      </c>
      <c r="L99" s="6" t="str">
        <f t="shared" si="7"/>
        <v>OK</v>
      </c>
      <c r="M99" s="13">
        <f t="shared" si="4"/>
        <v>786326.4</v>
      </c>
      <c r="N99" s="8">
        <f>Table5[[#This Row],[Total Qty Sold]]*Table5[[#This Row],[Unit Price]]</f>
        <v>0</v>
      </c>
      <c r="O99" s="9"/>
      <c r="P99" s="40" t="str">
        <f ca="1">IF(Table5[[#This Row],[Last sale Date]]="","Never Sold",TODAY()-Table5[[#This Row],[Last sale Date]])</f>
        <v>Never Sold</v>
      </c>
      <c r="Q99" s="6" t="str">
        <f>IF(Table5[[#This Row],[Re order Level]]&lt;=Table5[[#This Row],[Current stock]],"ORDERASAP","OK BUT BE CHECKING")</f>
        <v>OK BUT BE CHECKING</v>
      </c>
      <c r="R99" s="6" t="str">
        <f t="shared" si="5"/>
        <v>ACTIVE</v>
      </c>
      <c r="S99" s="8">
        <f>IF(Table5[[#This Row],[DEADSTOCK FLAG]]="DEAD",Table5[[#This Row],[Inventory Value]],0)</f>
        <v>0</v>
      </c>
    </row>
    <row r="100" spans="1:19" x14ac:dyDescent="0.25">
      <c r="A100" s="24" t="str">
        <f>'Inventory master'!A100</f>
        <v>ITEM099-A</v>
      </c>
      <c r="B100" s="6" t="str">
        <f>'Inventory master'!B100</f>
        <v>Fusion Splicer</v>
      </c>
      <c r="C100" s="6" t="str">
        <f>'Inventory master'!C100</f>
        <v>Splicers</v>
      </c>
      <c r="D100" s="6" t="str">
        <f>'Inventory master'!D100</f>
        <v>Siemon</v>
      </c>
      <c r="E100" s="10" t="str">
        <f>'Inventory master'!E100</f>
        <v>185.96</v>
      </c>
      <c r="F100" s="10" t="str">
        <f>'Inventory master'!F100</f>
        <v>350.67</v>
      </c>
      <c r="G100" s="10" t="str">
        <f>'Inventory master'!G100</f>
        <v>55</v>
      </c>
      <c r="H100" s="8">
        <f>IFERROR(_xlfn.XLOOKUP(A100, 'Opening stock'!A100:A699, 'Opening stock'!E100:E699), "")</f>
        <v>825</v>
      </c>
      <c r="I100" s="8">
        <f>IFERROR(SUMIF(Table3[Item ID],'Inventory calculations'!A100,Table3[Quantity]),0)</f>
        <v>0</v>
      </c>
      <c r="J100" s="8">
        <f>IFERROR(SUMIF(Table4[Item ID],'Inventory calculations'!A100,Table4[Quantity Purchased]),0)</f>
        <v>0</v>
      </c>
      <c r="K100" s="10">
        <f t="shared" si="6"/>
        <v>825</v>
      </c>
      <c r="L100" s="6" t="str">
        <f t="shared" si="7"/>
        <v>OK</v>
      </c>
      <c r="M100" s="13">
        <f t="shared" si="4"/>
        <v>153417</v>
      </c>
      <c r="N100" s="8">
        <f>Table5[[#This Row],[Total Qty Sold]]*Table5[[#This Row],[Unit Price]]</f>
        <v>0</v>
      </c>
      <c r="O100" s="9"/>
      <c r="P100" s="40" t="str">
        <f ca="1">IF(Table5[[#This Row],[Last sale Date]]="","Never Sold",TODAY()-Table5[[#This Row],[Last sale Date]])</f>
        <v>Never Sold</v>
      </c>
      <c r="Q100" s="6" t="str">
        <f>IF(Table5[[#This Row],[Re order Level]]&lt;=Table5[[#This Row],[Current stock]],"ORDERASAP","OK BUT BE CHECKING")</f>
        <v>OK BUT BE CHECKING</v>
      </c>
      <c r="R100" s="6" t="str">
        <f t="shared" si="5"/>
        <v>ACTIVE</v>
      </c>
      <c r="S100" s="8">
        <f>IF(Table5[[#This Row],[DEADSTOCK FLAG]]="DEAD",Table5[[#This Row],[Inventory Value]],0)</f>
        <v>0</v>
      </c>
    </row>
    <row r="101" spans="1:19" x14ac:dyDescent="0.25">
      <c r="A101" s="24" t="str">
        <f>'Inventory master'!A101</f>
        <v>ITEM100-A</v>
      </c>
      <c r="B101" s="6" t="str">
        <f>'Inventory master'!B101</f>
        <v>1x8 PLC Splitter</v>
      </c>
      <c r="C101" s="6" t="str">
        <f>'Inventory master'!C101</f>
        <v>Splitters</v>
      </c>
      <c r="D101" s="6" t="str">
        <f>'Inventory master'!D101</f>
        <v>AFL</v>
      </c>
      <c r="E101" s="10" t="str">
        <f>'Inventory master'!E101</f>
        <v>691.44</v>
      </c>
      <c r="F101" s="10" t="str">
        <f>'Inventory master'!F101</f>
        <v>1277.38</v>
      </c>
      <c r="G101" s="10" t="str">
        <f>'Inventory master'!G101</f>
        <v>20</v>
      </c>
      <c r="H101" s="8">
        <f>IFERROR(_xlfn.XLOOKUP(A101, 'Opening stock'!A101:A700, 'Opening stock'!E101:E700), "")</f>
        <v>300</v>
      </c>
      <c r="I101" s="8">
        <f>IFERROR(SUMIF(Table3[Item ID],'Inventory calculations'!A101,Table3[Quantity]),0)</f>
        <v>0</v>
      </c>
      <c r="J101" s="8">
        <f>IFERROR(SUMIF(Table4[Item ID],'Inventory calculations'!A101,Table4[Quantity Purchased]),0)</f>
        <v>6</v>
      </c>
      <c r="K101" s="10">
        <f t="shared" si="6"/>
        <v>306</v>
      </c>
      <c r="L101" s="6" t="str">
        <f t="shared" si="7"/>
        <v>OK</v>
      </c>
      <c r="M101" s="13">
        <f t="shared" si="4"/>
        <v>211580.64</v>
      </c>
      <c r="N101" s="8">
        <f>Table5[[#This Row],[Total Qty Sold]]*Table5[[#This Row],[Unit Price]]</f>
        <v>0</v>
      </c>
      <c r="O101" s="9"/>
      <c r="P101" s="40" t="str">
        <f ca="1">IF(Table5[[#This Row],[Last sale Date]]="","Never Sold",TODAY()-Table5[[#This Row],[Last sale Date]])</f>
        <v>Never Sold</v>
      </c>
      <c r="Q101" s="6" t="str">
        <f>IF(Table5[[#This Row],[Re order Level]]&lt;=Table5[[#This Row],[Current stock]],"ORDERASAP","OK BUT BE CHECKING")</f>
        <v>OK BUT BE CHECKING</v>
      </c>
      <c r="R101" s="6" t="str">
        <f t="shared" si="5"/>
        <v>ACTIVE</v>
      </c>
      <c r="S101" s="8">
        <f>IF(Table5[[#This Row],[DEADSTOCK FLAG]]="DEAD",Table5[[#This Row],[Inventory Value]],0)</f>
        <v>0</v>
      </c>
    </row>
    <row r="102" spans="1:19" x14ac:dyDescent="0.25">
      <c r="A102" s="24" t="str">
        <f>'Inventory master'!A102</f>
        <v>ITEM101-A</v>
      </c>
      <c r="B102" s="6" t="str">
        <f>'Inventory master'!B102</f>
        <v>1x2 PLC Splitter</v>
      </c>
      <c r="C102" s="6" t="str">
        <f>'Inventory master'!C102</f>
        <v>Splitters</v>
      </c>
      <c r="D102" s="6" t="str">
        <f>'Inventory master'!D102</f>
        <v>Corning Inc.</v>
      </c>
      <c r="E102" s="10" t="str">
        <f>'Inventory master'!E102</f>
        <v>1496.56</v>
      </c>
      <c r="F102" s="10" t="str">
        <f>'Inventory master'!F102</f>
        <v>1991.0</v>
      </c>
      <c r="G102" s="10" t="str">
        <f>'Inventory master'!G102</f>
        <v>28</v>
      </c>
      <c r="H102" s="8">
        <f>IFERROR(_xlfn.XLOOKUP(A102, 'Opening stock'!A102:A701, 'Opening stock'!E102:E701), "")</f>
        <v>420</v>
      </c>
      <c r="I102" s="8">
        <f>IFERROR(SUMIF(Table3[Item ID],'Inventory calculations'!A102,Table3[Quantity]),0)</f>
        <v>0</v>
      </c>
      <c r="J102" s="8">
        <f>IFERROR(SUMIF(Table4[Item ID],'Inventory calculations'!A102,Table4[Quantity Purchased]),0)</f>
        <v>2</v>
      </c>
      <c r="K102" s="10">
        <f t="shared" si="6"/>
        <v>422</v>
      </c>
      <c r="L102" s="6" t="str">
        <f t="shared" si="7"/>
        <v>OK</v>
      </c>
      <c r="M102" s="13">
        <f t="shared" si="4"/>
        <v>631548.31999999995</v>
      </c>
      <c r="N102" s="8">
        <f>Table5[[#This Row],[Total Qty Sold]]*Table5[[#This Row],[Unit Price]]</f>
        <v>0</v>
      </c>
      <c r="O102" s="9"/>
      <c r="P102" s="40" t="str">
        <f ca="1">IF(Table5[[#This Row],[Last sale Date]]="","Never Sold",TODAY()-Table5[[#This Row],[Last sale Date]])</f>
        <v>Never Sold</v>
      </c>
      <c r="Q102" s="6" t="str">
        <f>IF(Table5[[#This Row],[Re order Level]]&lt;=Table5[[#This Row],[Current stock]],"ORDERASAP","OK BUT BE CHECKING")</f>
        <v>OK BUT BE CHECKING</v>
      </c>
      <c r="R102" s="6" t="str">
        <f t="shared" si="5"/>
        <v>ACTIVE</v>
      </c>
      <c r="S102" s="8">
        <f>IF(Table5[[#This Row],[DEADSTOCK FLAG]]="DEAD",Table5[[#This Row],[Inventory Value]],0)</f>
        <v>0</v>
      </c>
    </row>
    <row r="103" spans="1:19" x14ac:dyDescent="0.25">
      <c r="A103" s="24" t="str">
        <f>'Inventory master'!A103</f>
        <v>ITEM102-A</v>
      </c>
      <c r="B103" s="6" t="str">
        <f>'Inventory master'!B103</f>
        <v>FC UPC Connector</v>
      </c>
      <c r="C103" s="6" t="str">
        <f>'Inventory master'!C103</f>
        <v>Connectors</v>
      </c>
      <c r="D103" s="6" t="str">
        <f>'Inventory master'!D103</f>
        <v>AFL</v>
      </c>
      <c r="E103" s="10" t="str">
        <f>'Inventory master'!E103</f>
        <v>1130.17</v>
      </c>
      <c r="F103" s="10" t="str">
        <f>'Inventory master'!F103</f>
        <v>1707.35</v>
      </c>
      <c r="G103" s="10" t="str">
        <f>'Inventory master'!G103</f>
        <v>51</v>
      </c>
      <c r="H103" s="8">
        <f>IFERROR(_xlfn.XLOOKUP(A103, 'Opening stock'!A103:A702, 'Opening stock'!E103:E702), "")</f>
        <v>765</v>
      </c>
      <c r="I103" s="8">
        <f>IFERROR(SUMIF(Table3[Item ID],'Inventory calculations'!A103,Table3[Quantity]),0)</f>
        <v>5</v>
      </c>
      <c r="J103" s="8">
        <f>IFERROR(SUMIF(Table4[Item ID],'Inventory calculations'!A103,Table4[Quantity Purchased]),0)</f>
        <v>30</v>
      </c>
      <c r="K103" s="10">
        <f t="shared" si="6"/>
        <v>790</v>
      </c>
      <c r="L103" s="6" t="str">
        <f t="shared" si="7"/>
        <v>OK</v>
      </c>
      <c r="M103" s="13">
        <f t="shared" si="4"/>
        <v>892834.3</v>
      </c>
      <c r="N103" s="8">
        <f>Table5[[#This Row],[Total Qty Sold]]*Table5[[#This Row],[Unit Price]]</f>
        <v>8536.75</v>
      </c>
      <c r="O103" s="9">
        <f>IFERROR(_xlfn.MAXIFS(Table3[Date],Table3[Item ID],Table5[[#This Row],[Item ID]]),"")</f>
        <v>45302</v>
      </c>
      <c r="P103" s="40">
        <f ca="1">IF(Table5[[#This Row],[Last sale Date]]="","Never Sold",TODAY()-Table5[[#This Row],[Last sale Date]])</f>
        <v>750</v>
      </c>
      <c r="Q103" s="6" t="str">
        <f>IF(Table5[[#This Row],[Re order Level]]&lt;=Table5[[#This Row],[Current stock]],"ORDERASAP","OK BUT BE CHECKING")</f>
        <v>OK BUT BE CHECKING</v>
      </c>
      <c r="R103" s="6" t="str">
        <f t="shared" si="5"/>
        <v>ACTIVE</v>
      </c>
      <c r="S103" s="8">
        <f>IF(Table5[[#This Row],[DEADSTOCK FLAG]]="DEAD",Table5[[#This Row],[Inventory Value]],0)</f>
        <v>0</v>
      </c>
    </row>
    <row r="104" spans="1:19" x14ac:dyDescent="0.25">
      <c r="A104" s="24" t="str">
        <f>'Inventory master'!A104</f>
        <v>ITEM103-A</v>
      </c>
      <c r="B104" s="6" t="str">
        <f>'Inventory master'!B104</f>
        <v>CFP Transceiver</v>
      </c>
      <c r="C104" s="6" t="str">
        <f>'Inventory master'!C104</f>
        <v>Transceivers</v>
      </c>
      <c r="D104" s="6" t="str">
        <f>'Inventory master'!D104</f>
        <v>HellermannTyton</v>
      </c>
      <c r="E104" s="10" t="str">
        <f>'Inventory master'!E104</f>
        <v>1679.29</v>
      </c>
      <c r="F104" s="10" t="str">
        <f>'Inventory master'!F104</f>
        <v>2166.75</v>
      </c>
      <c r="G104" s="10" t="str">
        <f>'Inventory master'!G104</f>
        <v>28</v>
      </c>
      <c r="H104" s="8">
        <f>IFERROR(_xlfn.XLOOKUP(A104, 'Opening stock'!A104:A703, 'Opening stock'!E104:E703), "")</f>
        <v>420</v>
      </c>
      <c r="I104" s="8">
        <f>IFERROR(SUMIF(Table3[Item ID],'Inventory calculations'!A104,Table3[Quantity]),0)</f>
        <v>0</v>
      </c>
      <c r="J104" s="8">
        <f>IFERROR(SUMIF(Table4[Item ID],'Inventory calculations'!A104,Table4[Quantity Purchased]),0)</f>
        <v>11</v>
      </c>
      <c r="K104" s="10">
        <f t="shared" si="6"/>
        <v>431</v>
      </c>
      <c r="L104" s="6" t="str">
        <f t="shared" si="7"/>
        <v>OK</v>
      </c>
      <c r="M104" s="13">
        <f t="shared" si="4"/>
        <v>723773.99</v>
      </c>
      <c r="N104" s="8">
        <f>Table5[[#This Row],[Total Qty Sold]]*Table5[[#This Row],[Unit Price]]</f>
        <v>0</v>
      </c>
      <c r="O104" s="9">
        <f>IFERROR(_xlfn.MAXIFS(Table3[Date],Table3[Item ID],Table5[[#This Row],[Item ID]]),"")</f>
        <v>0</v>
      </c>
      <c r="P104" s="40">
        <f ca="1">IF(Table5[[#This Row],[Last sale Date]]="","Never Sold",TODAY()-Table5[[#This Row],[Last sale Date]])</f>
        <v>46052</v>
      </c>
      <c r="Q104" s="6" t="str">
        <f>IF(Table5[[#This Row],[Re order Level]]&lt;=Table5[[#This Row],[Current stock]],"ORDERASAP","OK BUT BE CHECKING")</f>
        <v>OK BUT BE CHECKING</v>
      </c>
      <c r="R104" s="6" t="str">
        <f t="shared" si="5"/>
        <v>ACTIVE</v>
      </c>
      <c r="S104" s="8">
        <f>IF(Table5[[#This Row],[DEADSTOCK FLAG]]="DEAD",Table5[[#This Row],[Inventory Value]],0)</f>
        <v>0</v>
      </c>
    </row>
    <row r="105" spans="1:19" x14ac:dyDescent="0.25">
      <c r="A105" s="24" t="str">
        <f>'Inventory master'!A105</f>
        <v>ITEM104-A</v>
      </c>
      <c r="B105" s="6" t="str">
        <f>'Inventory master'!B105</f>
        <v>Dome Enclosure</v>
      </c>
      <c r="C105" s="6" t="str">
        <f>'Inventory master'!C105</f>
        <v>Enclosures</v>
      </c>
      <c r="D105" s="6" t="str">
        <f>'Inventory master'!D105</f>
        <v>Corning Inc.</v>
      </c>
      <c r="E105" s="10" t="str">
        <f>'Inventory master'!E105</f>
        <v>281.54</v>
      </c>
      <c r="F105" s="10" t="str">
        <f>'Inventory master'!F105</f>
        <v>400.04</v>
      </c>
      <c r="G105" s="10" t="str">
        <f>'Inventory master'!G105</f>
        <v>91</v>
      </c>
      <c r="H105" s="8">
        <f>IFERROR(_xlfn.XLOOKUP(A105, 'Opening stock'!A105:A704, 'Opening stock'!E105:E704), "")</f>
        <v>1365</v>
      </c>
      <c r="I105" s="8">
        <f>IFERROR(SUMIF(Table3[Item ID],'Inventory calculations'!A105,Table3[Quantity]),0)</f>
        <v>9</v>
      </c>
      <c r="J105" s="8">
        <f>IFERROR(SUMIF(Table4[Item ID],'Inventory calculations'!A105,Table4[Quantity Purchased]),0)</f>
        <v>9</v>
      </c>
      <c r="K105" s="10">
        <f t="shared" si="6"/>
        <v>1365</v>
      </c>
      <c r="L105" s="6" t="str">
        <f t="shared" si="7"/>
        <v>OK</v>
      </c>
      <c r="M105" s="13">
        <f t="shared" si="4"/>
        <v>384302.10000000003</v>
      </c>
      <c r="N105" s="8">
        <f>Table5[[#This Row],[Total Qty Sold]]*Table5[[#This Row],[Unit Price]]</f>
        <v>3600.36</v>
      </c>
      <c r="O105" s="9">
        <f>IFERROR(_xlfn.MAXIFS(Table3[Date],Table3[Item ID],Table5[[#This Row],[Item ID]]),"")</f>
        <v>45763</v>
      </c>
      <c r="P105" s="40">
        <f ca="1">IF(Table5[[#This Row],[Last sale Date]]="","Never Sold",TODAY()-Table5[[#This Row],[Last sale Date]])</f>
        <v>289</v>
      </c>
      <c r="Q105" s="6" t="str">
        <f>IF(Table5[[#This Row],[Re order Level]]&lt;=Table5[[#This Row],[Current stock]],"ORDERASAP","OK BUT BE CHECKING")</f>
        <v>OK BUT BE CHECKING</v>
      </c>
      <c r="R105" s="6" t="str">
        <f t="shared" si="5"/>
        <v>ACTIVE</v>
      </c>
      <c r="S105" s="8">
        <f>IF(Table5[[#This Row],[DEADSTOCK FLAG]]="DEAD",Table5[[#This Row],[Inventory Value]],0)</f>
        <v>0</v>
      </c>
    </row>
    <row r="106" spans="1:19" x14ac:dyDescent="0.25">
      <c r="A106" s="24" t="str">
        <f>'Inventory master'!A106</f>
        <v>ITEM105-A</v>
      </c>
      <c r="B106" s="6" t="str">
        <f>'Inventory master'!B106</f>
        <v>MPO APC Connector</v>
      </c>
      <c r="C106" s="6" t="str">
        <f>'Inventory master'!C106</f>
        <v>Connectors</v>
      </c>
      <c r="D106" s="6" t="str">
        <f>'Inventory master'!D106</f>
        <v>Huber+Suhner</v>
      </c>
      <c r="E106" s="10" t="str">
        <f>'Inventory master'!E106</f>
        <v>1262.28</v>
      </c>
      <c r="F106" s="10" t="str">
        <f>'Inventory master'!F106</f>
        <v>1963.72</v>
      </c>
      <c r="G106" s="10" t="str">
        <f>'Inventory master'!G106</f>
        <v>13</v>
      </c>
      <c r="H106" s="8">
        <f>IFERROR(_xlfn.XLOOKUP(A106, 'Opening stock'!A106:A705, 'Opening stock'!E106:E705), "")</f>
        <v>195</v>
      </c>
      <c r="I106" s="8">
        <f>IFERROR(SUMIF(Table3[Item ID],'Inventory calculations'!A106,Table3[Quantity]),0)</f>
        <v>0</v>
      </c>
      <c r="J106" s="8">
        <f>IFERROR(SUMIF(Table4[Item ID],'Inventory calculations'!A106,Table4[Quantity Purchased]),0)</f>
        <v>8</v>
      </c>
      <c r="K106" s="10">
        <f t="shared" si="6"/>
        <v>203</v>
      </c>
      <c r="L106" s="6" t="str">
        <f t="shared" si="7"/>
        <v>OK</v>
      </c>
      <c r="M106" s="13">
        <f t="shared" si="4"/>
        <v>256242.84</v>
      </c>
      <c r="N106" s="8">
        <f>Table5[[#This Row],[Total Qty Sold]]*Table5[[#This Row],[Unit Price]]</f>
        <v>0</v>
      </c>
      <c r="O106" s="9"/>
      <c r="P106" s="40" t="str">
        <f ca="1">IF(Table5[[#This Row],[Last sale Date]]="","Never Sold",TODAY()-Table5[[#This Row],[Last sale Date]])</f>
        <v>Never Sold</v>
      </c>
      <c r="Q106" s="6" t="str">
        <f>IF(Table5[[#This Row],[Re order Level]]&lt;=Table5[[#This Row],[Current stock]],"ORDERASAP","OK BUT BE CHECKING")</f>
        <v>OK BUT BE CHECKING</v>
      </c>
      <c r="R106" s="6" t="str">
        <f t="shared" si="5"/>
        <v>ACTIVE</v>
      </c>
      <c r="S106" s="8">
        <f>IF(Table5[[#This Row],[DEADSTOCK FLAG]]="DEAD",Table5[[#This Row],[Inventory Value]],0)</f>
        <v>0</v>
      </c>
    </row>
    <row r="107" spans="1:19" x14ac:dyDescent="0.25">
      <c r="A107" s="24" t="str">
        <f>'Inventory master'!A107</f>
        <v>ITEM106-A</v>
      </c>
      <c r="B107" s="6" t="str">
        <f>'Inventory master'!B107</f>
        <v>1x4 PLC Splitter</v>
      </c>
      <c r="C107" s="6" t="str">
        <f>'Inventory master'!C107</f>
        <v>Splitters</v>
      </c>
      <c r="D107" s="6" t="str">
        <f>'Inventory master'!D107</f>
        <v>CommScope</v>
      </c>
      <c r="E107" s="10" t="str">
        <f>'Inventory master'!E107</f>
        <v>450.83</v>
      </c>
      <c r="F107" s="10" t="str">
        <f>'Inventory master'!F107</f>
        <v>520.66</v>
      </c>
      <c r="G107" s="10" t="str">
        <f>'Inventory master'!G107</f>
        <v>67</v>
      </c>
      <c r="H107" s="8">
        <f>IFERROR(_xlfn.XLOOKUP(A107, 'Opening stock'!A107:A706, 'Opening stock'!E107:E706), "")</f>
        <v>1005</v>
      </c>
      <c r="I107" s="8">
        <f>IFERROR(SUMIF(Table3[Item ID],'Inventory calculations'!A107,Table3[Quantity]),0)</f>
        <v>0</v>
      </c>
      <c r="J107" s="8">
        <f>IFERROR(SUMIF(Table4[Item ID],'Inventory calculations'!A107,Table4[Quantity Purchased]),0)</f>
        <v>10</v>
      </c>
      <c r="K107" s="10">
        <f t="shared" si="6"/>
        <v>1015</v>
      </c>
      <c r="L107" s="6" t="str">
        <f t="shared" si="7"/>
        <v>OK</v>
      </c>
      <c r="M107" s="13">
        <f t="shared" si="4"/>
        <v>457592.45</v>
      </c>
      <c r="N107" s="8">
        <f>Table5[[#This Row],[Total Qty Sold]]*Table5[[#This Row],[Unit Price]]</f>
        <v>0</v>
      </c>
      <c r="O107" s="9"/>
      <c r="P107" s="40" t="str">
        <f ca="1">IF(Table5[[#This Row],[Last sale Date]]="","Never Sold",TODAY()-Table5[[#This Row],[Last sale Date]])</f>
        <v>Never Sold</v>
      </c>
      <c r="Q107" s="6" t="str">
        <f>IF(Table5[[#This Row],[Re order Level]]&lt;=Table5[[#This Row],[Current stock]],"ORDERASAP","OK BUT BE CHECKING")</f>
        <v>OK BUT BE CHECKING</v>
      </c>
      <c r="R107" s="6" t="str">
        <f t="shared" si="5"/>
        <v>ACTIVE</v>
      </c>
      <c r="S107" s="8">
        <f>IF(Table5[[#This Row],[DEADSTOCK FLAG]]="DEAD",Table5[[#This Row],[Inventory Value]],0)</f>
        <v>0</v>
      </c>
    </row>
    <row r="108" spans="1:19" x14ac:dyDescent="0.25">
      <c r="A108" s="24" t="str">
        <f>'Inventory master'!A108</f>
        <v>ITEM107-A</v>
      </c>
      <c r="B108" s="6" t="str">
        <f>'Inventory master'!B108</f>
        <v>Armored Fiber Cable 500m</v>
      </c>
      <c r="C108" s="6" t="str">
        <f>'Inventory master'!C108</f>
        <v>Fiber Optic Cables</v>
      </c>
      <c r="D108" s="6" t="str">
        <f>'Inventory master'!D108</f>
        <v>HellermannTyton</v>
      </c>
      <c r="E108" s="10" t="str">
        <f>'Inventory master'!E108</f>
        <v>1093.91</v>
      </c>
      <c r="F108" s="10" t="str">
        <f>'Inventory master'!F108</f>
        <v>1623.2</v>
      </c>
      <c r="G108" s="10" t="str">
        <f>'Inventory master'!G108</f>
        <v>12</v>
      </c>
      <c r="H108" s="8">
        <f>IFERROR(_xlfn.XLOOKUP(A108, 'Opening stock'!A108:A707, 'Opening stock'!E108:E707), "")</f>
        <v>180</v>
      </c>
      <c r="I108" s="8">
        <f>IFERROR(SUMIF(Table3[Item ID],'Inventory calculations'!A108,Table3[Quantity]),0)</f>
        <v>0</v>
      </c>
      <c r="J108" s="8">
        <f>IFERROR(SUMIF(Table4[Item ID],'Inventory calculations'!A108,Table4[Quantity Purchased]),0)</f>
        <v>10</v>
      </c>
      <c r="K108" s="10">
        <f t="shared" si="6"/>
        <v>190</v>
      </c>
      <c r="L108" s="6" t="str">
        <f t="shared" si="7"/>
        <v>OK</v>
      </c>
      <c r="M108" s="13">
        <f t="shared" si="4"/>
        <v>207842.90000000002</v>
      </c>
      <c r="N108" s="8">
        <f>Table5[[#This Row],[Total Qty Sold]]*Table5[[#This Row],[Unit Price]]</f>
        <v>0</v>
      </c>
      <c r="O108" s="9"/>
      <c r="P108" s="40" t="str">
        <f ca="1">IF(Table5[[#This Row],[Last sale Date]]="","Never Sold",TODAY()-Table5[[#This Row],[Last sale Date]])</f>
        <v>Never Sold</v>
      </c>
      <c r="Q108" s="6" t="str">
        <f>IF(Table5[[#This Row],[Re order Level]]&lt;=Table5[[#This Row],[Current stock]],"ORDERASAP","OK BUT BE CHECKING")</f>
        <v>OK BUT BE CHECKING</v>
      </c>
      <c r="R108" s="6" t="str">
        <f t="shared" si="5"/>
        <v>ACTIVE</v>
      </c>
      <c r="S108" s="8">
        <f>IF(Table5[[#This Row],[DEADSTOCK FLAG]]="DEAD",Table5[[#This Row],[Inventory Value]],0)</f>
        <v>0</v>
      </c>
    </row>
    <row r="109" spans="1:19" x14ac:dyDescent="0.25">
      <c r="A109" s="24" t="str">
        <f>'Inventory master'!A109</f>
        <v>ITEM108-A</v>
      </c>
      <c r="B109" s="6" t="str">
        <f>'Inventory master'!B109</f>
        <v>QSFP28 Transceiver</v>
      </c>
      <c r="C109" s="6" t="str">
        <f>'Inventory master'!C109</f>
        <v>Transceivers</v>
      </c>
      <c r="D109" s="6" t="str">
        <f>'Inventory master'!D109</f>
        <v>Panduit</v>
      </c>
      <c r="E109" s="10" t="str">
        <f>'Inventory master'!E109</f>
        <v>1483.91</v>
      </c>
      <c r="F109" s="10" t="str">
        <f>'Inventory master'!F109</f>
        <v>1714.91</v>
      </c>
      <c r="G109" s="10" t="str">
        <f>'Inventory master'!G109</f>
        <v>91</v>
      </c>
      <c r="H109" s="8">
        <f>IFERROR(_xlfn.XLOOKUP(A109, 'Opening stock'!A109:A708, 'Opening stock'!E109:E708), "")</f>
        <v>1365</v>
      </c>
      <c r="I109" s="8">
        <f>IFERROR(SUMIF(Table3[Item ID],'Inventory calculations'!A109,Table3[Quantity]),0)</f>
        <v>0</v>
      </c>
      <c r="J109" s="8">
        <f>IFERROR(SUMIF(Table4[Item ID],'Inventory calculations'!A109,Table4[Quantity Purchased]),0)</f>
        <v>0</v>
      </c>
      <c r="K109" s="10">
        <f t="shared" si="6"/>
        <v>1365</v>
      </c>
      <c r="L109" s="6" t="str">
        <f t="shared" si="7"/>
        <v>OK</v>
      </c>
      <c r="M109" s="13">
        <f t="shared" si="4"/>
        <v>2025537.1500000001</v>
      </c>
      <c r="N109" s="8">
        <f>Table5[[#This Row],[Total Qty Sold]]*Table5[[#This Row],[Unit Price]]</f>
        <v>0</v>
      </c>
      <c r="O109" s="9"/>
      <c r="P109" s="40" t="str">
        <f ca="1">IF(Table5[[#This Row],[Last sale Date]]="","Never Sold",TODAY()-Table5[[#This Row],[Last sale Date]])</f>
        <v>Never Sold</v>
      </c>
      <c r="Q109" s="6" t="str">
        <f>IF(Table5[[#This Row],[Re order Level]]&lt;=Table5[[#This Row],[Current stock]],"ORDERASAP","OK BUT BE CHECKING")</f>
        <v>OK BUT BE CHECKING</v>
      </c>
      <c r="R109" s="6" t="str">
        <f t="shared" si="5"/>
        <v>ACTIVE</v>
      </c>
      <c r="S109" s="8">
        <f>IF(Table5[[#This Row],[DEADSTOCK FLAG]]="DEAD",Table5[[#This Row],[Inventory Value]],0)</f>
        <v>0</v>
      </c>
    </row>
    <row r="110" spans="1:19" x14ac:dyDescent="0.25">
      <c r="A110" s="24" t="str">
        <f>'Inventory master'!A110</f>
        <v>ITEM109-A</v>
      </c>
      <c r="B110" s="6" t="str">
        <f>'Inventory master'!B110</f>
        <v>Wall-Mount Enclosure</v>
      </c>
      <c r="C110" s="6" t="str">
        <f>'Inventory master'!C110</f>
        <v>Enclosures</v>
      </c>
      <c r="D110" s="6" t="str">
        <f>'Inventory master'!D110</f>
        <v>Panduit</v>
      </c>
      <c r="E110" s="10" t="str">
        <f>'Inventory master'!E110</f>
        <v>1019.84</v>
      </c>
      <c r="F110" s="10" t="str">
        <f>'Inventory master'!F110</f>
        <v>1201.89</v>
      </c>
      <c r="G110" s="10" t="str">
        <f>'Inventory master'!G110</f>
        <v>90</v>
      </c>
      <c r="H110" s="8">
        <f>IFERROR(_xlfn.XLOOKUP(A110, 'Opening stock'!A110:A709, 'Opening stock'!E110:E709), "")</f>
        <v>1350</v>
      </c>
      <c r="I110" s="8">
        <f>IFERROR(SUMIF(Table3[Item ID],'Inventory calculations'!A110,Table3[Quantity]),0)</f>
        <v>0</v>
      </c>
      <c r="J110" s="8">
        <f>IFERROR(SUMIF(Table4[Item ID],'Inventory calculations'!A110,Table4[Quantity Purchased]),0)</f>
        <v>0</v>
      </c>
      <c r="K110" s="10">
        <f t="shared" si="6"/>
        <v>1350</v>
      </c>
      <c r="L110" s="6" t="str">
        <f t="shared" si="7"/>
        <v>OK</v>
      </c>
      <c r="M110" s="13">
        <f t="shared" si="4"/>
        <v>1376784</v>
      </c>
      <c r="N110" s="8">
        <f>Table5[[#This Row],[Total Qty Sold]]*Table5[[#This Row],[Unit Price]]</f>
        <v>0</v>
      </c>
      <c r="O110" s="9"/>
      <c r="P110" s="40" t="str">
        <f ca="1">IF(Table5[[#This Row],[Last sale Date]]="","Never Sold",TODAY()-Table5[[#This Row],[Last sale Date]])</f>
        <v>Never Sold</v>
      </c>
      <c r="Q110" s="6" t="str">
        <f>IF(Table5[[#This Row],[Re order Level]]&lt;=Table5[[#This Row],[Current stock]],"ORDERASAP","OK BUT BE CHECKING")</f>
        <v>OK BUT BE CHECKING</v>
      </c>
      <c r="R110" s="6" t="str">
        <f t="shared" si="5"/>
        <v>ACTIVE</v>
      </c>
      <c r="S110" s="8">
        <f>IF(Table5[[#This Row],[DEADSTOCK FLAG]]="DEAD",Table5[[#This Row],[Inventory Value]],0)</f>
        <v>0</v>
      </c>
    </row>
    <row r="111" spans="1:19" x14ac:dyDescent="0.25">
      <c r="A111" s="24" t="str">
        <f>'Inventory master'!A111</f>
        <v>ITEM110-A</v>
      </c>
      <c r="B111" s="6" t="str">
        <f>'Inventory master'!B111</f>
        <v>SFP Transceiver</v>
      </c>
      <c r="C111" s="6" t="str">
        <f>'Inventory master'!C111</f>
        <v>Transceivers</v>
      </c>
      <c r="D111" s="6" t="str">
        <f>'Inventory master'!D111</f>
        <v>Leviton</v>
      </c>
      <c r="E111" s="10" t="str">
        <f>'Inventory master'!E111</f>
        <v>591.74</v>
      </c>
      <c r="F111" s="10" t="str">
        <f>'Inventory master'!F111</f>
        <v>1045.02</v>
      </c>
      <c r="G111" s="10" t="str">
        <f>'Inventory master'!G111</f>
        <v>33</v>
      </c>
      <c r="H111" s="8">
        <f>IFERROR(_xlfn.XLOOKUP(A111, 'Opening stock'!A111:A710, 'Opening stock'!E111:E710), "")</f>
        <v>495</v>
      </c>
      <c r="I111" s="8">
        <f>IFERROR(SUMIF(Table3[Item ID],'Inventory calculations'!A111,Table3[Quantity]),0)</f>
        <v>0</v>
      </c>
      <c r="J111" s="8">
        <f>IFERROR(SUMIF(Table4[Item ID],'Inventory calculations'!A111,Table4[Quantity Purchased]),0)</f>
        <v>10</v>
      </c>
      <c r="K111" s="10">
        <f t="shared" si="6"/>
        <v>505</v>
      </c>
      <c r="L111" s="6" t="str">
        <f t="shared" si="7"/>
        <v>OK</v>
      </c>
      <c r="M111" s="13">
        <f t="shared" si="4"/>
        <v>298828.7</v>
      </c>
      <c r="N111" s="8">
        <f>Table5[[#This Row],[Total Qty Sold]]*Table5[[#This Row],[Unit Price]]</f>
        <v>0</v>
      </c>
      <c r="O111" s="9"/>
      <c r="P111" s="40" t="str">
        <f ca="1">IF(Table5[[#This Row],[Last sale Date]]="","Never Sold",TODAY()-Table5[[#This Row],[Last sale Date]])</f>
        <v>Never Sold</v>
      </c>
      <c r="Q111" s="6" t="str">
        <f>IF(Table5[[#This Row],[Re order Level]]&lt;=Table5[[#This Row],[Current stock]],"ORDERASAP","OK BUT BE CHECKING")</f>
        <v>OK BUT BE CHECKING</v>
      </c>
      <c r="R111" s="6" t="str">
        <f t="shared" si="5"/>
        <v>ACTIVE</v>
      </c>
      <c r="S111" s="8">
        <f>IF(Table5[[#This Row],[DEADSTOCK FLAG]]="DEAD",Table5[[#This Row],[Inventory Value]],0)</f>
        <v>0</v>
      </c>
    </row>
    <row r="112" spans="1:19" x14ac:dyDescent="0.25">
      <c r="A112" s="24" t="str">
        <f>'Inventory master'!A112</f>
        <v>ITEM111-A</v>
      </c>
      <c r="B112" s="6" t="str">
        <f>'Inventory master'!B112</f>
        <v>Armored Fiber Cable 200m</v>
      </c>
      <c r="C112" s="6" t="str">
        <f>'Inventory master'!C112</f>
        <v>Fiber Optic Cables</v>
      </c>
      <c r="D112" s="6" t="str">
        <f>'Inventory master'!D112</f>
        <v>Prysmian Group</v>
      </c>
      <c r="E112" s="10" t="str">
        <f>'Inventory master'!E112</f>
        <v>269.73</v>
      </c>
      <c r="F112" s="10" t="str">
        <f>'Inventory master'!F112</f>
        <v>479.57</v>
      </c>
      <c r="G112" s="10" t="str">
        <f>'Inventory master'!G112</f>
        <v>55</v>
      </c>
      <c r="H112" s="8">
        <f>IFERROR(_xlfn.XLOOKUP(A112, 'Opening stock'!A112:A711, 'Opening stock'!E112:E711), "")</f>
        <v>825</v>
      </c>
      <c r="I112" s="8">
        <f>IFERROR(SUMIF(Table3[Item ID],'Inventory calculations'!A112,Table3[Quantity]),0)</f>
        <v>0</v>
      </c>
      <c r="J112" s="8">
        <f>IFERROR(SUMIF(Table4[Item ID],'Inventory calculations'!A112,Table4[Quantity Purchased]),0)</f>
        <v>4</v>
      </c>
      <c r="K112" s="10">
        <f t="shared" si="6"/>
        <v>829</v>
      </c>
      <c r="L112" s="6" t="str">
        <f t="shared" si="7"/>
        <v>OK</v>
      </c>
      <c r="M112" s="13">
        <f t="shared" si="4"/>
        <v>223606.17</v>
      </c>
      <c r="N112" s="8">
        <f>Table5[[#This Row],[Total Qty Sold]]*Table5[[#This Row],[Unit Price]]</f>
        <v>0</v>
      </c>
      <c r="O112" s="9"/>
      <c r="P112" s="40" t="str">
        <f ca="1">IF(Table5[[#This Row],[Last sale Date]]="","Never Sold",TODAY()-Table5[[#This Row],[Last sale Date]])</f>
        <v>Never Sold</v>
      </c>
      <c r="Q112" s="6" t="str">
        <f>IF(Table5[[#This Row],[Re order Level]]&lt;=Table5[[#This Row],[Current stock]],"ORDERASAP","OK BUT BE CHECKING")</f>
        <v>OK BUT BE CHECKING</v>
      </c>
      <c r="R112" s="6" t="str">
        <f t="shared" si="5"/>
        <v>ACTIVE</v>
      </c>
      <c r="S112" s="8">
        <f>IF(Table5[[#This Row],[DEADSTOCK FLAG]]="DEAD",Table5[[#This Row],[Inventory Value]],0)</f>
        <v>0</v>
      </c>
    </row>
    <row r="113" spans="1:19" x14ac:dyDescent="0.25">
      <c r="A113" s="24" t="str">
        <f>'Inventory master'!A113</f>
        <v>ITEM112-A</v>
      </c>
      <c r="B113" s="6" t="str">
        <f>'Inventory master'!B113</f>
        <v>Wall-Mount Enclosure</v>
      </c>
      <c r="C113" s="6" t="str">
        <f>'Inventory master'!C113</f>
        <v>Enclosures</v>
      </c>
      <c r="D113" s="6" t="str">
        <f>'Inventory master'!D113</f>
        <v>AFL</v>
      </c>
      <c r="E113" s="10" t="str">
        <f>'Inventory master'!E113</f>
        <v>1737.47</v>
      </c>
      <c r="F113" s="10" t="str">
        <f>'Inventory master'!F113</f>
        <v>3021.16</v>
      </c>
      <c r="G113" s="10" t="str">
        <f>'Inventory master'!G113</f>
        <v>38</v>
      </c>
      <c r="H113" s="8">
        <f>IFERROR(_xlfn.XLOOKUP(A113, 'Opening stock'!A113:A712, 'Opening stock'!E113:E712), "")</f>
        <v>570</v>
      </c>
      <c r="I113" s="8">
        <f>IFERROR(SUMIF(Table3[Item ID],'Inventory calculations'!A113,Table3[Quantity]),0)</f>
        <v>19</v>
      </c>
      <c r="J113" s="8">
        <f>IFERROR(SUMIF(Table4[Item ID],'Inventory calculations'!A113,Table4[Quantity Purchased]),0)</f>
        <v>0</v>
      </c>
      <c r="K113" s="10">
        <f t="shared" si="6"/>
        <v>551</v>
      </c>
      <c r="L113" s="6" t="str">
        <f t="shared" si="7"/>
        <v>OK</v>
      </c>
      <c r="M113" s="13">
        <f t="shared" si="4"/>
        <v>957345.97</v>
      </c>
      <c r="N113" s="8">
        <f>Table5[[#This Row],[Total Qty Sold]]*Table5[[#This Row],[Unit Price]]</f>
        <v>57402.039999999994</v>
      </c>
      <c r="O113" s="9">
        <f>IFERROR(_xlfn.MAXIFS(Table3[Date],Table3[Item ID],Table5[[#This Row],[Item ID]]),"")</f>
        <v>45428</v>
      </c>
      <c r="P113" s="40">
        <f ca="1">IF(Table5[[#This Row],[Last sale Date]]="","Never Sold",TODAY()-Table5[[#This Row],[Last sale Date]])</f>
        <v>624</v>
      </c>
      <c r="Q113" s="6" t="str">
        <f>IF(Table5[[#This Row],[Re order Level]]&lt;=Table5[[#This Row],[Current stock]],"ORDERASAP","OK BUT BE CHECKING")</f>
        <v>OK BUT BE CHECKING</v>
      </c>
      <c r="R113" s="6" t="str">
        <f t="shared" si="5"/>
        <v>ACTIVE</v>
      </c>
      <c r="S113" s="8">
        <f>IF(Table5[[#This Row],[DEADSTOCK FLAG]]="DEAD",Table5[[#This Row],[Inventory Value]],0)</f>
        <v>0</v>
      </c>
    </row>
    <row r="114" spans="1:19" x14ac:dyDescent="0.25">
      <c r="A114" s="24" t="str">
        <f>'Inventory master'!A114</f>
        <v>ITEM113-A</v>
      </c>
      <c r="B114" s="6" t="str">
        <f>'Inventory master'!B114</f>
        <v>Mechanical Splicer</v>
      </c>
      <c r="C114" s="6" t="str">
        <f>'Inventory master'!C114</f>
        <v>Splicers</v>
      </c>
      <c r="D114" s="6" t="str">
        <f>'Inventory master'!D114</f>
        <v>AFL</v>
      </c>
      <c r="E114" s="10" t="str">
        <f>'Inventory master'!E114</f>
        <v>1724.92</v>
      </c>
      <c r="F114" s="10" t="str">
        <f>'Inventory master'!F114</f>
        <v>2435.42</v>
      </c>
      <c r="G114" s="10" t="str">
        <f>'Inventory master'!G114</f>
        <v>70</v>
      </c>
      <c r="H114" s="8">
        <f>IFERROR(_xlfn.XLOOKUP(A114, 'Opening stock'!A114:A713, 'Opening stock'!E114:E713), "")</f>
        <v>1050</v>
      </c>
      <c r="I114" s="8">
        <f>IFERROR(SUMIF(Table3[Item ID],'Inventory calculations'!A114,Table3[Quantity]),0)</f>
        <v>0</v>
      </c>
      <c r="J114" s="8">
        <f>IFERROR(SUMIF(Table4[Item ID],'Inventory calculations'!A114,Table4[Quantity Purchased]),0)</f>
        <v>0</v>
      </c>
      <c r="K114" s="10">
        <f t="shared" si="6"/>
        <v>1050</v>
      </c>
      <c r="L114" s="6" t="str">
        <f t="shared" si="7"/>
        <v>OK</v>
      </c>
      <c r="M114" s="13">
        <f t="shared" si="4"/>
        <v>1811166</v>
      </c>
      <c r="N114" s="8">
        <f>Table5[[#This Row],[Total Qty Sold]]*Table5[[#This Row],[Unit Price]]</f>
        <v>0</v>
      </c>
      <c r="O114" s="9"/>
      <c r="P114" s="40" t="str">
        <f ca="1">IF(Table5[[#This Row],[Last sale Date]]="","Never Sold",TODAY()-Table5[[#This Row],[Last sale Date]])</f>
        <v>Never Sold</v>
      </c>
      <c r="Q114" s="6" t="str">
        <f>IF(Table5[[#This Row],[Re order Level]]&lt;=Table5[[#This Row],[Current stock]],"ORDERASAP","OK BUT BE CHECKING")</f>
        <v>OK BUT BE CHECKING</v>
      </c>
      <c r="R114" s="6" t="str">
        <f t="shared" si="5"/>
        <v>ACTIVE</v>
      </c>
      <c r="S114" s="8">
        <f>IF(Table5[[#This Row],[DEADSTOCK FLAG]]="DEAD",Table5[[#This Row],[Inventory Value]],0)</f>
        <v>0</v>
      </c>
    </row>
    <row r="115" spans="1:19" x14ac:dyDescent="0.25">
      <c r="A115" s="24" t="str">
        <f>'Inventory master'!A115</f>
        <v>ITEM114-A</v>
      </c>
      <c r="B115" s="6" t="str">
        <f>'Inventory master'!B115</f>
        <v>MTP UPC Connector</v>
      </c>
      <c r="C115" s="6" t="str">
        <f>'Inventory master'!C115</f>
        <v>Connectors</v>
      </c>
      <c r="D115" s="6" t="str">
        <f>'Inventory master'!D115</f>
        <v>CommScope</v>
      </c>
      <c r="E115" s="10" t="str">
        <f>'Inventory master'!E115</f>
        <v>1175.66</v>
      </c>
      <c r="F115" s="10" t="str">
        <f>'Inventory master'!F115</f>
        <v>1666.6</v>
      </c>
      <c r="G115" s="10" t="str">
        <f>'Inventory master'!G115</f>
        <v>92</v>
      </c>
      <c r="H115" s="8">
        <f>IFERROR(_xlfn.XLOOKUP(A115, 'Opening stock'!A115:A714, 'Opening stock'!E115:E714), "")</f>
        <v>1380</v>
      </c>
      <c r="I115" s="8">
        <f>IFERROR(SUMIF(Table3[Item ID],'Inventory calculations'!A115,Table3[Quantity]),0)</f>
        <v>0</v>
      </c>
      <c r="J115" s="8">
        <f>IFERROR(SUMIF(Table4[Item ID],'Inventory calculations'!A115,Table4[Quantity Purchased]),0)</f>
        <v>3</v>
      </c>
      <c r="K115" s="10">
        <f t="shared" si="6"/>
        <v>1383</v>
      </c>
      <c r="L115" s="6" t="str">
        <f t="shared" si="7"/>
        <v>OK</v>
      </c>
      <c r="M115" s="13">
        <f t="shared" si="4"/>
        <v>1625937.78</v>
      </c>
      <c r="N115" s="8">
        <f>Table5[[#This Row],[Total Qty Sold]]*Table5[[#This Row],[Unit Price]]</f>
        <v>0</v>
      </c>
      <c r="O115" s="9"/>
      <c r="P115" s="40" t="str">
        <f ca="1">IF(Table5[[#This Row],[Last sale Date]]="","Never Sold",TODAY()-Table5[[#This Row],[Last sale Date]])</f>
        <v>Never Sold</v>
      </c>
      <c r="Q115" s="6" t="str">
        <f>IF(Table5[[#This Row],[Re order Level]]&lt;=Table5[[#This Row],[Current stock]],"ORDERASAP","OK BUT BE CHECKING")</f>
        <v>OK BUT BE CHECKING</v>
      </c>
      <c r="R115" s="6" t="str">
        <f t="shared" si="5"/>
        <v>ACTIVE</v>
      </c>
      <c r="S115" s="8">
        <f>IF(Table5[[#This Row],[DEADSTOCK FLAG]]="DEAD",Table5[[#This Row],[Inventory Value]],0)</f>
        <v>0</v>
      </c>
    </row>
    <row r="116" spans="1:19" x14ac:dyDescent="0.25">
      <c r="A116" s="24" t="str">
        <f>'Inventory master'!A116</f>
        <v>ITEM115-A</v>
      </c>
      <c r="B116" s="6" t="str">
        <f>'Inventory master'!B116</f>
        <v>1x8 PLC Splitter</v>
      </c>
      <c r="C116" s="6" t="str">
        <f>'Inventory master'!C116</f>
        <v>Splitters</v>
      </c>
      <c r="D116" s="6" t="str">
        <f>'Inventory master'!D116</f>
        <v>CommScope</v>
      </c>
      <c r="E116" s="10" t="str">
        <f>'Inventory master'!E116</f>
        <v>673.43</v>
      </c>
      <c r="F116" s="10" t="str">
        <f>'Inventory master'!F116</f>
        <v>863.84</v>
      </c>
      <c r="G116" s="10" t="str">
        <f>'Inventory master'!G116</f>
        <v>23</v>
      </c>
      <c r="H116" s="8">
        <f>IFERROR(_xlfn.XLOOKUP(A116, 'Opening stock'!A116:A715, 'Opening stock'!E116:E715), "")</f>
        <v>345</v>
      </c>
      <c r="I116" s="8">
        <f>IFERROR(SUMIF(Table3[Item ID],'Inventory calculations'!A116,Table3[Quantity]),0)</f>
        <v>100</v>
      </c>
      <c r="J116" s="8">
        <f>IFERROR(SUMIF(Table4[Item ID],'Inventory calculations'!A116,Table4[Quantity Purchased]),0)</f>
        <v>400</v>
      </c>
      <c r="K116" s="10">
        <f t="shared" si="6"/>
        <v>645</v>
      </c>
      <c r="L116" s="6" t="str">
        <f t="shared" si="7"/>
        <v>OK</v>
      </c>
      <c r="M116" s="13">
        <f t="shared" si="4"/>
        <v>434362.35</v>
      </c>
      <c r="N116" s="8">
        <f>Table5[[#This Row],[Total Qty Sold]]*Table5[[#This Row],[Unit Price]]</f>
        <v>86384</v>
      </c>
      <c r="O116" s="9">
        <f>IFERROR(_xlfn.MAXIFS(Table3[Date],Table3[Item ID],Table5[[#This Row],[Item ID]]),"")</f>
        <v>45946</v>
      </c>
      <c r="P116" s="40">
        <f ca="1">IF(Table5[[#This Row],[Last sale Date]]="","Never Sold",TODAY()-Table5[[#This Row],[Last sale Date]])</f>
        <v>106</v>
      </c>
      <c r="Q116" s="6" t="str">
        <f>IF(Table5[[#This Row],[Re order Level]]&lt;=Table5[[#This Row],[Current stock]],"ORDERASAP","OK BUT BE CHECKING")</f>
        <v>OK BUT BE CHECKING</v>
      </c>
      <c r="R116" s="6" t="str">
        <f t="shared" si="5"/>
        <v>ACTIVE</v>
      </c>
      <c r="S116" s="8">
        <f>IF(Table5[[#This Row],[DEADSTOCK FLAG]]="DEAD",Table5[[#This Row],[Inventory Value]],0)</f>
        <v>0</v>
      </c>
    </row>
    <row r="117" spans="1:19" x14ac:dyDescent="0.25">
      <c r="A117" s="24" t="str">
        <f>'Inventory master'!A117</f>
        <v>ITEM116-A</v>
      </c>
      <c r="B117" s="6" t="str">
        <f>'Inventory master'!B117</f>
        <v>Fiber Optic Polisher</v>
      </c>
      <c r="C117" s="6" t="str">
        <f>'Inventory master'!C117</f>
        <v>Tools</v>
      </c>
      <c r="D117" s="6" t="str">
        <f>'Inventory master'!D117</f>
        <v>Amphenol</v>
      </c>
      <c r="E117" s="10" t="str">
        <f>'Inventory master'!E117</f>
        <v>1736.73</v>
      </c>
      <c r="F117" s="10" t="str">
        <f>'Inventory master'!F117</f>
        <v>3142.46</v>
      </c>
      <c r="G117" s="10" t="str">
        <f>'Inventory master'!G117</f>
        <v>57</v>
      </c>
      <c r="H117" s="8">
        <f>IFERROR(_xlfn.XLOOKUP(A117, 'Opening stock'!A117:A716, 'Opening stock'!E117:E716), "")</f>
        <v>855</v>
      </c>
      <c r="I117" s="8">
        <f>IFERROR(SUMIF(Table3[Item ID],'Inventory calculations'!A117,Table3[Quantity]),0)</f>
        <v>0</v>
      </c>
      <c r="J117" s="8">
        <f>IFERROR(SUMIF(Table4[Item ID],'Inventory calculations'!A117,Table4[Quantity Purchased]),0)</f>
        <v>0</v>
      </c>
      <c r="K117" s="10">
        <f t="shared" si="6"/>
        <v>855</v>
      </c>
      <c r="L117" s="6" t="str">
        <f t="shared" si="7"/>
        <v>OK</v>
      </c>
      <c r="M117" s="13">
        <f t="shared" si="4"/>
        <v>1484904.15</v>
      </c>
      <c r="N117" s="8">
        <f>Table5[[#This Row],[Total Qty Sold]]*Table5[[#This Row],[Unit Price]]</f>
        <v>0</v>
      </c>
      <c r="O117" s="9"/>
      <c r="P117" s="40" t="str">
        <f ca="1">IF(Table5[[#This Row],[Last sale Date]]="","Never Sold",TODAY()-Table5[[#This Row],[Last sale Date]])</f>
        <v>Never Sold</v>
      </c>
      <c r="Q117" s="6" t="str">
        <f>IF(Table5[[#This Row],[Re order Level]]&lt;=Table5[[#This Row],[Current stock]],"ORDERASAP","OK BUT BE CHECKING")</f>
        <v>OK BUT BE CHECKING</v>
      </c>
      <c r="R117" s="6" t="str">
        <f t="shared" si="5"/>
        <v>ACTIVE</v>
      </c>
      <c r="S117" s="8">
        <f>IF(Table5[[#This Row],[DEADSTOCK FLAG]]="DEAD",Table5[[#This Row],[Inventory Value]],0)</f>
        <v>0</v>
      </c>
    </row>
    <row r="118" spans="1:19" x14ac:dyDescent="0.25">
      <c r="A118" s="24" t="str">
        <f>'Inventory master'!A118</f>
        <v>ITEM117-A</v>
      </c>
      <c r="B118" s="6" t="str">
        <f>'Inventory master'!B118</f>
        <v>QSFP Transceiver</v>
      </c>
      <c r="C118" s="6" t="str">
        <f>'Inventory master'!C118</f>
        <v>Transceivers</v>
      </c>
      <c r="D118" s="6" t="str">
        <f>'Inventory master'!D118</f>
        <v>Amphenol</v>
      </c>
      <c r="E118" s="10" t="str">
        <f>'Inventory master'!E118</f>
        <v>344.81</v>
      </c>
      <c r="F118" s="10" t="str">
        <f>'Inventory master'!F118</f>
        <v>458.13</v>
      </c>
      <c r="G118" s="10" t="str">
        <f>'Inventory master'!G118</f>
        <v>13</v>
      </c>
      <c r="H118" s="8">
        <f>IFERROR(_xlfn.XLOOKUP(A118, 'Opening stock'!A118:A717, 'Opening stock'!E118:E717), "")</f>
        <v>195</v>
      </c>
      <c r="I118" s="8">
        <f>IFERROR(SUMIF(Table3[Item ID],'Inventory calculations'!A118,Table3[Quantity]),0)</f>
        <v>0</v>
      </c>
      <c r="J118" s="8">
        <f>IFERROR(SUMIF(Table4[Item ID],'Inventory calculations'!A118,Table4[Quantity Purchased]),0)</f>
        <v>18</v>
      </c>
      <c r="K118" s="10">
        <f t="shared" si="6"/>
        <v>213</v>
      </c>
      <c r="L118" s="6" t="str">
        <f t="shared" si="7"/>
        <v>OK</v>
      </c>
      <c r="M118" s="13">
        <f t="shared" si="4"/>
        <v>73444.53</v>
      </c>
      <c r="N118" s="8">
        <f>Table5[[#This Row],[Total Qty Sold]]*Table5[[#This Row],[Unit Price]]</f>
        <v>0</v>
      </c>
      <c r="O118" s="9"/>
      <c r="P118" s="40" t="str">
        <f ca="1">IF(Table5[[#This Row],[Last sale Date]]="","Never Sold",TODAY()-Table5[[#This Row],[Last sale Date]])</f>
        <v>Never Sold</v>
      </c>
      <c r="Q118" s="6" t="str">
        <f>IF(Table5[[#This Row],[Re order Level]]&lt;=Table5[[#This Row],[Current stock]],"ORDERASAP","OK BUT BE CHECKING")</f>
        <v>OK BUT BE CHECKING</v>
      </c>
      <c r="R118" s="6" t="str">
        <f t="shared" si="5"/>
        <v>ACTIVE</v>
      </c>
      <c r="S118" s="8">
        <f>IF(Table5[[#This Row],[DEADSTOCK FLAG]]="DEAD",Table5[[#This Row],[Inventory Value]],0)</f>
        <v>0</v>
      </c>
    </row>
    <row r="119" spans="1:19" x14ac:dyDescent="0.25">
      <c r="A119" s="24" t="str">
        <f>'Inventory master'!A119</f>
        <v>ITEM118-A</v>
      </c>
      <c r="B119" s="6" t="str">
        <f>'Inventory master'!B119</f>
        <v>1x4 PLC Splitter</v>
      </c>
      <c r="C119" s="6" t="str">
        <f>'Inventory master'!C119</f>
        <v>Splitters</v>
      </c>
      <c r="D119" s="6" t="str">
        <f>'Inventory master'!D119</f>
        <v>AFL</v>
      </c>
      <c r="E119" s="10" t="str">
        <f>'Inventory master'!E119</f>
        <v>1371.06</v>
      </c>
      <c r="F119" s="10" t="str">
        <f>'Inventory master'!F119</f>
        <v>2335.39</v>
      </c>
      <c r="G119" s="10" t="str">
        <f>'Inventory master'!G119</f>
        <v>59</v>
      </c>
      <c r="H119" s="8">
        <f>IFERROR(_xlfn.XLOOKUP(A119, 'Opening stock'!A119:A718, 'Opening stock'!E119:E718), "")</f>
        <v>885</v>
      </c>
      <c r="I119" s="8">
        <f>IFERROR(SUMIF(Table3[Item ID],'Inventory calculations'!A119,Table3[Quantity]),0)</f>
        <v>0</v>
      </c>
      <c r="J119" s="8">
        <f>IFERROR(SUMIF(Table4[Item ID],'Inventory calculations'!A119,Table4[Quantity Purchased]),0)</f>
        <v>44</v>
      </c>
      <c r="K119" s="10">
        <f t="shared" si="6"/>
        <v>929</v>
      </c>
      <c r="L119" s="6" t="str">
        <f t="shared" si="7"/>
        <v>OK</v>
      </c>
      <c r="M119" s="13">
        <f t="shared" si="4"/>
        <v>1273714.74</v>
      </c>
      <c r="N119" s="8">
        <f>Table5[[#This Row],[Total Qty Sold]]*Table5[[#This Row],[Unit Price]]</f>
        <v>0</v>
      </c>
      <c r="O119" s="9"/>
      <c r="P119" s="40" t="str">
        <f ca="1">IF(Table5[[#This Row],[Last sale Date]]="","Never Sold",TODAY()-Table5[[#This Row],[Last sale Date]])</f>
        <v>Never Sold</v>
      </c>
      <c r="Q119" s="6" t="str">
        <f>IF(Table5[[#This Row],[Re order Level]]&lt;=Table5[[#This Row],[Current stock]],"ORDERASAP","OK BUT BE CHECKING")</f>
        <v>OK BUT BE CHECKING</v>
      </c>
      <c r="R119" s="6" t="str">
        <f t="shared" si="5"/>
        <v>ACTIVE</v>
      </c>
      <c r="S119" s="8">
        <f>IF(Table5[[#This Row],[DEADSTOCK FLAG]]="DEAD",Table5[[#This Row],[Inventory Value]],0)</f>
        <v>0</v>
      </c>
    </row>
    <row r="120" spans="1:19" x14ac:dyDescent="0.25">
      <c r="A120" s="24" t="str">
        <f>'Inventory master'!A120</f>
        <v>ITEM119-A</v>
      </c>
      <c r="B120" s="6" t="str">
        <f>'Inventory master'!B120</f>
        <v>Armored Fiber Cable 500m</v>
      </c>
      <c r="C120" s="6" t="str">
        <f>'Inventory master'!C120</f>
        <v>Fiber Optic Cables</v>
      </c>
      <c r="D120" s="6" t="str">
        <f>'Inventory master'!D120</f>
        <v>Panduit</v>
      </c>
      <c r="E120" s="10" t="str">
        <f>'Inventory master'!E120</f>
        <v>889.36</v>
      </c>
      <c r="F120" s="10" t="str">
        <f>'Inventory master'!F120</f>
        <v>1412.33</v>
      </c>
      <c r="G120" s="10" t="str">
        <f>'Inventory master'!G120</f>
        <v>37</v>
      </c>
      <c r="H120" s="8">
        <f>IFERROR(_xlfn.XLOOKUP(A120, 'Opening stock'!A120:A719, 'Opening stock'!E120:E719), "")</f>
        <v>555</v>
      </c>
      <c r="I120" s="8">
        <f>IFERROR(SUMIF(Table3[Item ID],'Inventory calculations'!A120,Table3[Quantity]),0)</f>
        <v>9</v>
      </c>
      <c r="J120" s="8">
        <f>IFERROR(SUMIF(Table4[Item ID],'Inventory calculations'!A120,Table4[Quantity Purchased]),0)</f>
        <v>18</v>
      </c>
      <c r="K120" s="10">
        <f t="shared" si="6"/>
        <v>564</v>
      </c>
      <c r="L120" s="6" t="str">
        <f t="shared" si="7"/>
        <v>OK</v>
      </c>
      <c r="M120" s="13">
        <f t="shared" si="4"/>
        <v>501599.04</v>
      </c>
      <c r="N120" s="8">
        <f>Table5[[#This Row],[Total Qty Sold]]*Table5[[#This Row],[Unit Price]]</f>
        <v>12710.97</v>
      </c>
      <c r="O120" s="9">
        <f>IFERROR(_xlfn.MAXIFS(Table3[Date],Table3[Item ID],Table5[[#This Row],[Item ID]]),"")</f>
        <v>45768</v>
      </c>
      <c r="P120" s="40">
        <f ca="1">IF(Table5[[#This Row],[Last sale Date]]="","Never Sold",TODAY()-Table5[[#This Row],[Last sale Date]])</f>
        <v>284</v>
      </c>
      <c r="Q120" s="6" t="str">
        <f>IF(Table5[[#This Row],[Re order Level]]&lt;=Table5[[#This Row],[Current stock]],"ORDERASAP","OK BUT BE CHECKING")</f>
        <v>OK BUT BE CHECKING</v>
      </c>
      <c r="R120" s="6" t="str">
        <f t="shared" si="5"/>
        <v>ACTIVE</v>
      </c>
      <c r="S120" s="8">
        <f>IF(Table5[[#This Row],[DEADSTOCK FLAG]]="DEAD",Table5[[#This Row],[Inventory Value]],0)</f>
        <v>0</v>
      </c>
    </row>
    <row r="121" spans="1:19" x14ac:dyDescent="0.25">
      <c r="A121" s="24" t="str">
        <f>'Inventory master'!A121</f>
        <v>ITEM120-A</v>
      </c>
      <c r="B121" s="6" t="str">
        <f>'Inventory master'!B121</f>
        <v>Fixed Attenuator 1dB</v>
      </c>
      <c r="C121" s="6" t="str">
        <f>'Inventory master'!C121</f>
        <v>Attenuators</v>
      </c>
      <c r="D121" s="6" t="str">
        <f>'Inventory master'!D121</f>
        <v>Prysmian Group</v>
      </c>
      <c r="E121" s="10" t="str">
        <f>'Inventory master'!E121</f>
        <v>612.46</v>
      </c>
      <c r="F121" s="10" t="str">
        <f>'Inventory master'!F121</f>
        <v>956.82</v>
      </c>
      <c r="G121" s="10" t="str">
        <f>'Inventory master'!G121</f>
        <v>43</v>
      </c>
      <c r="H121" s="8">
        <f>IFERROR(_xlfn.XLOOKUP(A121, 'Opening stock'!A121:A720, 'Opening stock'!E121:E720), "")</f>
        <v>645</v>
      </c>
      <c r="I121" s="8">
        <f>IFERROR(SUMIF(Table3[Item ID],'Inventory calculations'!A121,Table3[Quantity]),0)</f>
        <v>0</v>
      </c>
      <c r="J121" s="8">
        <f>IFERROR(SUMIF(Table4[Item ID],'Inventory calculations'!A121,Table4[Quantity Purchased]),0)</f>
        <v>0</v>
      </c>
      <c r="K121" s="10">
        <f t="shared" si="6"/>
        <v>645</v>
      </c>
      <c r="L121" s="6" t="str">
        <f t="shared" si="7"/>
        <v>OK</v>
      </c>
      <c r="M121" s="13">
        <f t="shared" si="4"/>
        <v>395036.7</v>
      </c>
      <c r="N121" s="8">
        <f>Table5[[#This Row],[Total Qty Sold]]*Table5[[#This Row],[Unit Price]]</f>
        <v>0</v>
      </c>
      <c r="O121" s="9"/>
      <c r="P121" s="40" t="str">
        <f ca="1">IF(Table5[[#This Row],[Last sale Date]]="","Never Sold",TODAY()-Table5[[#This Row],[Last sale Date]])</f>
        <v>Never Sold</v>
      </c>
      <c r="Q121" s="6" t="str">
        <f>IF(Table5[[#This Row],[Re order Level]]&lt;=Table5[[#This Row],[Current stock]],"ORDERASAP","OK BUT BE CHECKING")</f>
        <v>OK BUT BE CHECKING</v>
      </c>
      <c r="R121" s="6" t="str">
        <f t="shared" si="5"/>
        <v>ACTIVE</v>
      </c>
      <c r="S121" s="8">
        <f>IF(Table5[[#This Row],[DEADSTOCK FLAG]]="DEAD",Table5[[#This Row],[Inventory Value]],0)</f>
        <v>0</v>
      </c>
    </row>
    <row r="122" spans="1:19" x14ac:dyDescent="0.25">
      <c r="A122" s="24" t="str">
        <f>'Inventory master'!A122</f>
        <v>ITEM121-A</v>
      </c>
      <c r="B122" s="6" t="str">
        <f>'Inventory master'!B122</f>
        <v>Fiber Cleaner</v>
      </c>
      <c r="C122" s="6" t="str">
        <f>'Inventory master'!C122</f>
        <v>Accessories</v>
      </c>
      <c r="D122" s="6" t="str">
        <f>'Inventory master'!D122</f>
        <v>TE Connectivity</v>
      </c>
      <c r="E122" s="10" t="str">
        <f>'Inventory master'!E122</f>
        <v>1731.94</v>
      </c>
      <c r="F122" s="10" t="str">
        <f>'Inventory master'!F122</f>
        <v>3379.01</v>
      </c>
      <c r="G122" s="10" t="str">
        <f>'Inventory master'!G122</f>
        <v>13</v>
      </c>
      <c r="H122" s="8">
        <f>IFERROR(_xlfn.XLOOKUP(A122, 'Opening stock'!A122:A721, 'Opening stock'!E122:E721), "")</f>
        <v>195</v>
      </c>
      <c r="I122" s="8">
        <f>IFERROR(SUMIF(Table3[Item ID],'Inventory calculations'!A122,Table3[Quantity]),0)</f>
        <v>0</v>
      </c>
      <c r="J122" s="8">
        <f>IFERROR(SUMIF(Table4[Item ID],'Inventory calculations'!A122,Table4[Quantity Purchased]),0)</f>
        <v>0</v>
      </c>
      <c r="K122" s="10">
        <f t="shared" si="6"/>
        <v>195</v>
      </c>
      <c r="L122" s="6" t="str">
        <f t="shared" si="7"/>
        <v>OK</v>
      </c>
      <c r="M122" s="13">
        <f t="shared" si="4"/>
        <v>337728.3</v>
      </c>
      <c r="N122" s="8">
        <f>Table5[[#This Row],[Total Qty Sold]]*Table5[[#This Row],[Unit Price]]</f>
        <v>0</v>
      </c>
      <c r="O122" s="9"/>
      <c r="P122" s="40" t="str">
        <f ca="1">IF(Table5[[#This Row],[Last sale Date]]="","Never Sold",TODAY()-Table5[[#This Row],[Last sale Date]])</f>
        <v>Never Sold</v>
      </c>
      <c r="Q122" s="6" t="str">
        <f>IF(Table5[[#This Row],[Re order Level]]&lt;=Table5[[#This Row],[Current stock]],"ORDERASAP","OK BUT BE CHECKING")</f>
        <v>OK BUT BE CHECKING</v>
      </c>
      <c r="R122" s="6" t="str">
        <f t="shared" si="5"/>
        <v>ACTIVE</v>
      </c>
      <c r="S122" s="8">
        <f>IF(Table5[[#This Row],[DEADSTOCK FLAG]]="DEAD",Table5[[#This Row],[Inventory Value]],0)</f>
        <v>0</v>
      </c>
    </row>
    <row r="123" spans="1:19" x14ac:dyDescent="0.25">
      <c r="A123" s="24" t="str">
        <f>'Inventory master'!A123</f>
        <v>ITEM122-A</v>
      </c>
      <c r="B123" s="6" t="str">
        <f>'Inventory master'!B123</f>
        <v>QSFP28 Transceiver</v>
      </c>
      <c r="C123" s="6" t="str">
        <f>'Inventory master'!C123</f>
        <v>Transceivers</v>
      </c>
      <c r="D123" s="6" t="str">
        <f>'Inventory master'!D123</f>
        <v>HellermannTyton</v>
      </c>
      <c r="E123" s="10" t="str">
        <f>'Inventory master'!E123</f>
        <v>1803.27</v>
      </c>
      <c r="F123" s="10" t="str">
        <f>'Inventory master'!F123</f>
        <v>3013.85</v>
      </c>
      <c r="G123" s="10" t="str">
        <f>'Inventory master'!G123</f>
        <v>50</v>
      </c>
      <c r="H123" s="8">
        <f>IFERROR(_xlfn.XLOOKUP(A123, 'Opening stock'!A123:A722, 'Opening stock'!E123:E722), "")</f>
        <v>750</v>
      </c>
      <c r="I123" s="8">
        <f>IFERROR(SUMIF(Table3[Item ID],'Inventory calculations'!A123,Table3[Quantity]),0)</f>
        <v>0</v>
      </c>
      <c r="J123" s="8">
        <f>IFERROR(SUMIF(Table4[Item ID],'Inventory calculations'!A123,Table4[Quantity Purchased]),0)</f>
        <v>6</v>
      </c>
      <c r="K123" s="10">
        <f t="shared" si="6"/>
        <v>756</v>
      </c>
      <c r="L123" s="6" t="str">
        <f t="shared" si="7"/>
        <v>OK</v>
      </c>
      <c r="M123" s="13">
        <f t="shared" si="4"/>
        <v>1363272.1199999999</v>
      </c>
      <c r="N123" s="8">
        <f>Table5[[#This Row],[Total Qty Sold]]*Table5[[#This Row],[Unit Price]]</f>
        <v>0</v>
      </c>
      <c r="O123" s="9"/>
      <c r="P123" s="40" t="str">
        <f ca="1">IF(Table5[[#This Row],[Last sale Date]]="","Never Sold",TODAY()-Table5[[#This Row],[Last sale Date]])</f>
        <v>Never Sold</v>
      </c>
      <c r="Q123" s="6" t="str">
        <f>IF(Table5[[#This Row],[Re order Level]]&lt;=Table5[[#This Row],[Current stock]],"ORDERASAP","OK BUT BE CHECKING")</f>
        <v>OK BUT BE CHECKING</v>
      </c>
      <c r="R123" s="6" t="str">
        <f t="shared" si="5"/>
        <v>ACTIVE</v>
      </c>
      <c r="S123" s="8">
        <f>IF(Table5[[#This Row],[DEADSTOCK FLAG]]="DEAD",Table5[[#This Row],[Inventory Value]],0)</f>
        <v>0</v>
      </c>
    </row>
    <row r="124" spans="1:19" x14ac:dyDescent="0.25">
      <c r="A124" s="24" t="str">
        <f>'Inventory master'!A124</f>
        <v>ITEM123-A</v>
      </c>
      <c r="B124" s="6" t="str">
        <f>'Inventory master'!B124</f>
        <v>1x8 PLC Splitter</v>
      </c>
      <c r="C124" s="6" t="str">
        <f>'Inventory master'!C124</f>
        <v>Splitters</v>
      </c>
      <c r="D124" s="6" t="str">
        <f>'Inventory master'!D124</f>
        <v>HellermannTyton</v>
      </c>
      <c r="E124" s="10" t="str">
        <f>'Inventory master'!E124</f>
        <v>176.85</v>
      </c>
      <c r="F124" s="10" t="str">
        <f>'Inventory master'!F124</f>
        <v>227.12</v>
      </c>
      <c r="G124" s="10" t="str">
        <f>'Inventory master'!G124</f>
        <v>80</v>
      </c>
      <c r="H124" s="8">
        <f>IFERROR(_xlfn.XLOOKUP(A124, 'Opening stock'!A124:A723, 'Opening stock'!E124:E723), "")</f>
        <v>1200</v>
      </c>
      <c r="I124" s="8">
        <f>IFERROR(SUMIF(Table3[Item ID],'Inventory calculations'!A124,Table3[Quantity]),0)</f>
        <v>0</v>
      </c>
      <c r="J124" s="8">
        <f>IFERROR(SUMIF(Table4[Item ID],'Inventory calculations'!A124,Table4[Quantity Purchased]),0)</f>
        <v>0</v>
      </c>
      <c r="K124" s="10">
        <f t="shared" si="6"/>
        <v>1200</v>
      </c>
      <c r="L124" s="6" t="str">
        <f t="shared" si="7"/>
        <v>OK</v>
      </c>
      <c r="M124" s="13">
        <f t="shared" si="4"/>
        <v>212220</v>
      </c>
      <c r="N124" s="8">
        <f>Table5[[#This Row],[Total Qty Sold]]*Table5[[#This Row],[Unit Price]]</f>
        <v>0</v>
      </c>
      <c r="O124" s="9"/>
      <c r="P124" s="40" t="str">
        <f ca="1">IF(Table5[[#This Row],[Last sale Date]]="","Never Sold",TODAY()-Table5[[#This Row],[Last sale Date]])</f>
        <v>Never Sold</v>
      </c>
      <c r="Q124" s="6" t="str">
        <f>IF(Table5[[#This Row],[Re order Level]]&lt;=Table5[[#This Row],[Current stock]],"ORDERASAP","OK BUT BE CHECKING")</f>
        <v>OK BUT BE CHECKING</v>
      </c>
      <c r="R124" s="6" t="str">
        <f t="shared" si="5"/>
        <v>ACTIVE</v>
      </c>
      <c r="S124" s="8">
        <f>IF(Table5[[#This Row],[DEADSTOCK FLAG]]="DEAD",Table5[[#This Row],[Inventory Value]],0)</f>
        <v>0</v>
      </c>
    </row>
    <row r="125" spans="1:19" x14ac:dyDescent="0.25">
      <c r="A125" s="24" t="str">
        <f>'Inventory master'!A125</f>
        <v>ITEM124-A</v>
      </c>
      <c r="B125" s="6" t="str">
        <f>'Inventory master'!B125</f>
        <v>1x2 PLC Splitter</v>
      </c>
      <c r="C125" s="6" t="str">
        <f>'Inventory master'!C125</f>
        <v>Splitters</v>
      </c>
      <c r="D125" s="6" t="str">
        <f>'Inventory master'!D125</f>
        <v>Leviton</v>
      </c>
      <c r="E125" s="10" t="str">
        <f>'Inventory master'!E125</f>
        <v>98.25</v>
      </c>
      <c r="F125" s="10" t="str">
        <f>'Inventory master'!F125</f>
        <v>164.96</v>
      </c>
      <c r="G125" s="10" t="str">
        <f>'Inventory master'!G125</f>
        <v>90</v>
      </c>
      <c r="H125" s="8">
        <f>IFERROR(_xlfn.XLOOKUP(A125, 'Opening stock'!A125:A724, 'Opening stock'!E125:E724), "")</f>
        <v>1350</v>
      </c>
      <c r="I125" s="8">
        <f>IFERROR(SUMIF(Table3[Item ID],'Inventory calculations'!A125,Table3[Quantity]),0)</f>
        <v>0</v>
      </c>
      <c r="J125" s="8">
        <f>IFERROR(SUMIF(Table4[Item ID],'Inventory calculations'!A125,Table4[Quantity Purchased]),0)</f>
        <v>11</v>
      </c>
      <c r="K125" s="10">
        <f t="shared" si="6"/>
        <v>1361</v>
      </c>
      <c r="L125" s="6" t="str">
        <f t="shared" si="7"/>
        <v>OK</v>
      </c>
      <c r="M125" s="13">
        <f t="shared" si="4"/>
        <v>133718.25</v>
      </c>
      <c r="N125" s="8">
        <f>Table5[[#This Row],[Total Qty Sold]]*Table5[[#This Row],[Unit Price]]</f>
        <v>0</v>
      </c>
      <c r="O125" s="9"/>
      <c r="P125" s="40" t="str">
        <f ca="1">IF(Table5[[#This Row],[Last sale Date]]="","Never Sold",TODAY()-Table5[[#This Row],[Last sale Date]])</f>
        <v>Never Sold</v>
      </c>
      <c r="Q125" s="6" t="str">
        <f>IF(Table5[[#This Row],[Re order Level]]&lt;=Table5[[#This Row],[Current stock]],"ORDERASAP","OK BUT BE CHECKING")</f>
        <v>OK BUT BE CHECKING</v>
      </c>
      <c r="R125" s="6" t="str">
        <f t="shared" si="5"/>
        <v>ACTIVE</v>
      </c>
      <c r="S125" s="8">
        <f>IF(Table5[[#This Row],[DEADSTOCK FLAG]]="DEAD",Table5[[#This Row],[Inventory Value]],0)</f>
        <v>0</v>
      </c>
    </row>
    <row r="126" spans="1:19" x14ac:dyDescent="0.25">
      <c r="A126" s="24" t="str">
        <f>'Inventory master'!A126</f>
        <v>ITEM125-A</v>
      </c>
      <c r="B126" s="6" t="str">
        <f>'Inventory master'!B126</f>
        <v>Wall-Mount Enclosure</v>
      </c>
      <c r="C126" s="6" t="str">
        <f>'Inventory master'!C126</f>
        <v>Enclosures</v>
      </c>
      <c r="D126" s="6" t="str">
        <f>'Inventory master'!D126</f>
        <v>Huber+Suhner</v>
      </c>
      <c r="E126" s="10" t="str">
        <f>'Inventory master'!E126</f>
        <v>328.14</v>
      </c>
      <c r="F126" s="10" t="str">
        <f>'Inventory master'!F126</f>
        <v>549.71</v>
      </c>
      <c r="G126" s="10" t="str">
        <f>'Inventory master'!G126</f>
        <v>69</v>
      </c>
      <c r="H126" s="8">
        <f>IFERROR(_xlfn.XLOOKUP(A126, 'Opening stock'!A126:A725, 'Opening stock'!E126:E725), "")</f>
        <v>1035</v>
      </c>
      <c r="I126" s="8">
        <f>IFERROR(SUMIF(Table3[Item ID],'Inventory calculations'!A126,Table3[Quantity]),0)</f>
        <v>0</v>
      </c>
      <c r="J126" s="8">
        <f>IFERROR(SUMIF(Table4[Item ID],'Inventory calculations'!A126,Table4[Quantity Purchased]),0)</f>
        <v>0</v>
      </c>
      <c r="K126" s="10">
        <f t="shared" si="6"/>
        <v>1035</v>
      </c>
      <c r="L126" s="6" t="str">
        <f t="shared" si="7"/>
        <v>OK</v>
      </c>
      <c r="M126" s="13">
        <f t="shared" si="4"/>
        <v>339624.89999999997</v>
      </c>
      <c r="N126" s="8">
        <f>Table5[[#This Row],[Total Qty Sold]]*Table5[[#This Row],[Unit Price]]</f>
        <v>0</v>
      </c>
      <c r="O126" s="9"/>
      <c r="P126" s="40" t="str">
        <f ca="1">IF(Table5[[#This Row],[Last sale Date]]="","Never Sold",TODAY()-Table5[[#This Row],[Last sale Date]])</f>
        <v>Never Sold</v>
      </c>
      <c r="Q126" s="6" t="str">
        <f>IF(Table5[[#This Row],[Re order Level]]&lt;=Table5[[#This Row],[Current stock]],"ORDERASAP","OK BUT BE CHECKING")</f>
        <v>OK BUT BE CHECKING</v>
      </c>
      <c r="R126" s="6" t="str">
        <f t="shared" si="5"/>
        <v>ACTIVE</v>
      </c>
      <c r="S126" s="8">
        <f>IF(Table5[[#This Row],[DEADSTOCK FLAG]]="DEAD",Table5[[#This Row],[Inventory Value]],0)</f>
        <v>0</v>
      </c>
    </row>
    <row r="127" spans="1:19" x14ac:dyDescent="0.25">
      <c r="A127" s="24" t="str">
        <f>'Inventory master'!A127</f>
        <v>ITEM126-A</v>
      </c>
      <c r="B127" s="6" t="str">
        <f>'Inventory master'!B127</f>
        <v>72-Port Fiber Patch Panel</v>
      </c>
      <c r="C127" s="6" t="str">
        <f>'Inventory master'!C127</f>
        <v>Patch Panels</v>
      </c>
      <c r="D127" s="6" t="str">
        <f>'Inventory master'!D127</f>
        <v>Leviton</v>
      </c>
      <c r="E127" s="10" t="str">
        <f>'Inventory master'!E127</f>
        <v>712.33</v>
      </c>
      <c r="F127" s="10" t="str">
        <f>'Inventory master'!F127</f>
        <v>869.05</v>
      </c>
      <c r="G127" s="10" t="str">
        <f>'Inventory master'!G127</f>
        <v>92</v>
      </c>
      <c r="H127" s="8">
        <f>IFERROR(_xlfn.XLOOKUP(A127, 'Opening stock'!A127:A726, 'Opening stock'!E127:E726), "")</f>
        <v>1380</v>
      </c>
      <c r="I127" s="8">
        <f>IFERROR(SUMIF(Table3[Item ID],'Inventory calculations'!A127,Table3[Quantity]),0)</f>
        <v>10</v>
      </c>
      <c r="J127" s="8">
        <f>IFERROR(SUMIF(Table4[Item ID],'Inventory calculations'!A127,Table4[Quantity Purchased]),0)</f>
        <v>0</v>
      </c>
      <c r="K127" s="10">
        <f t="shared" si="6"/>
        <v>1370</v>
      </c>
      <c r="L127" s="6" t="str">
        <f t="shared" si="7"/>
        <v>OK</v>
      </c>
      <c r="M127" s="13">
        <f t="shared" si="4"/>
        <v>975892.10000000009</v>
      </c>
      <c r="N127" s="8">
        <f>Table5[[#This Row],[Total Qty Sold]]*Table5[[#This Row],[Unit Price]]</f>
        <v>8690.5</v>
      </c>
      <c r="O127" s="9">
        <f>IFERROR(_xlfn.MAXIFS(Table3[Date],Table3[Item ID],Table5[[#This Row],[Item ID]]),"")</f>
        <v>45739</v>
      </c>
      <c r="P127" s="40">
        <f ca="1">IF(Table5[[#This Row],[Last sale Date]]="","Never Sold",TODAY()-Table5[[#This Row],[Last sale Date]])</f>
        <v>313</v>
      </c>
      <c r="Q127" s="6" t="str">
        <f>IF(Table5[[#This Row],[Re order Level]]&lt;=Table5[[#This Row],[Current stock]],"ORDERASAP","OK BUT BE CHECKING")</f>
        <v>OK BUT BE CHECKING</v>
      </c>
      <c r="R127" s="6" t="str">
        <f t="shared" si="5"/>
        <v>ACTIVE</v>
      </c>
      <c r="S127" s="8">
        <f>IF(Table5[[#This Row],[DEADSTOCK FLAG]]="DEAD",Table5[[#This Row],[Inventory Value]],0)</f>
        <v>0</v>
      </c>
    </row>
    <row r="128" spans="1:19" x14ac:dyDescent="0.25">
      <c r="A128" s="24" t="str">
        <f>'Inventory master'!A128</f>
        <v>ITEM127-A</v>
      </c>
      <c r="B128" s="6" t="str">
        <f>'Inventory master'!B128</f>
        <v>Fusion Splicer</v>
      </c>
      <c r="C128" s="6" t="str">
        <f>'Inventory master'!C128</f>
        <v>Splicers</v>
      </c>
      <c r="D128" s="6" t="str">
        <f>'Inventory master'!D128</f>
        <v>Belden</v>
      </c>
      <c r="E128" s="10" t="str">
        <f>'Inventory master'!E128</f>
        <v>1796.17</v>
      </c>
      <c r="F128" s="10" t="str">
        <f>'Inventory master'!F128</f>
        <v>2063.15</v>
      </c>
      <c r="G128" s="10" t="str">
        <f>'Inventory master'!G128</f>
        <v>29</v>
      </c>
      <c r="H128" s="8">
        <f>IFERROR(_xlfn.XLOOKUP(A128, 'Opening stock'!A128:A727, 'Opening stock'!E128:E727), "")</f>
        <v>435</v>
      </c>
      <c r="I128" s="8">
        <f>IFERROR(SUMIF(Table3[Item ID],'Inventory calculations'!A128,Table3[Quantity]),0)</f>
        <v>0</v>
      </c>
      <c r="J128" s="8">
        <f>IFERROR(SUMIF(Table4[Item ID],'Inventory calculations'!A128,Table4[Quantity Purchased]),0)</f>
        <v>0</v>
      </c>
      <c r="K128" s="10">
        <f t="shared" si="6"/>
        <v>435</v>
      </c>
      <c r="L128" s="6" t="str">
        <f t="shared" si="7"/>
        <v>OK</v>
      </c>
      <c r="M128" s="13">
        <f t="shared" si="4"/>
        <v>781333.95000000007</v>
      </c>
      <c r="N128" s="8">
        <f>Table5[[#This Row],[Total Qty Sold]]*Table5[[#This Row],[Unit Price]]</f>
        <v>0</v>
      </c>
      <c r="O128" s="9"/>
      <c r="P128" s="40" t="str">
        <f ca="1">IF(Table5[[#This Row],[Last sale Date]]="","Never Sold",TODAY()-Table5[[#This Row],[Last sale Date]])</f>
        <v>Never Sold</v>
      </c>
      <c r="Q128" s="6" t="str">
        <f>IF(Table5[[#This Row],[Re order Level]]&lt;=Table5[[#This Row],[Current stock]],"ORDERASAP","OK BUT BE CHECKING")</f>
        <v>OK BUT BE CHECKING</v>
      </c>
      <c r="R128" s="6" t="str">
        <f t="shared" si="5"/>
        <v>ACTIVE</v>
      </c>
      <c r="S128" s="8">
        <f>IF(Table5[[#This Row],[DEADSTOCK FLAG]]="DEAD",Table5[[#This Row],[Inventory Value]],0)</f>
        <v>0</v>
      </c>
    </row>
    <row r="129" spans="1:19" x14ac:dyDescent="0.25">
      <c r="A129" s="24" t="str">
        <f>'Inventory master'!A129</f>
        <v>ITEM128-A</v>
      </c>
      <c r="B129" s="6" t="str">
        <f>'Inventory master'!B129</f>
        <v>Fusion Splicer</v>
      </c>
      <c r="C129" s="6" t="str">
        <f>'Inventory master'!C129</f>
        <v>Splicers</v>
      </c>
      <c r="D129" s="6" t="str">
        <f>'Inventory master'!D129</f>
        <v>Siemon</v>
      </c>
      <c r="E129" s="10" t="str">
        <f>'Inventory master'!E129</f>
        <v>1267.94</v>
      </c>
      <c r="F129" s="10" t="str">
        <f>'Inventory master'!F129</f>
        <v>2270.84</v>
      </c>
      <c r="G129" s="10" t="str">
        <f>'Inventory master'!G129</f>
        <v>84</v>
      </c>
      <c r="H129" s="8">
        <f>IFERROR(_xlfn.XLOOKUP(A129, 'Opening stock'!A129:A728, 'Opening stock'!E129:E728), "")</f>
        <v>1260</v>
      </c>
      <c r="I129" s="8">
        <f>IFERROR(SUMIF(Table3[Item ID],'Inventory calculations'!A129,Table3[Quantity]),0)</f>
        <v>0</v>
      </c>
      <c r="J129" s="8">
        <f>IFERROR(SUMIF(Table4[Item ID],'Inventory calculations'!A129,Table4[Quantity Purchased]),0)</f>
        <v>12</v>
      </c>
      <c r="K129" s="10">
        <f t="shared" si="6"/>
        <v>1272</v>
      </c>
      <c r="L129" s="6" t="str">
        <f t="shared" si="7"/>
        <v>OK</v>
      </c>
      <c r="M129" s="13">
        <f t="shared" si="4"/>
        <v>1612819.6800000002</v>
      </c>
      <c r="N129" s="8">
        <f>Table5[[#This Row],[Total Qty Sold]]*Table5[[#This Row],[Unit Price]]</f>
        <v>0</v>
      </c>
      <c r="O129" s="9"/>
      <c r="P129" s="40" t="str">
        <f ca="1">IF(Table5[[#This Row],[Last sale Date]]="","Never Sold",TODAY()-Table5[[#This Row],[Last sale Date]])</f>
        <v>Never Sold</v>
      </c>
      <c r="Q129" s="6" t="str">
        <f>IF(Table5[[#This Row],[Re order Level]]&lt;=Table5[[#This Row],[Current stock]],"ORDERASAP","OK BUT BE CHECKING")</f>
        <v>OK BUT BE CHECKING</v>
      </c>
      <c r="R129" s="6" t="str">
        <f t="shared" si="5"/>
        <v>ACTIVE</v>
      </c>
      <c r="S129" s="8">
        <f>IF(Table5[[#This Row],[DEADSTOCK FLAG]]="DEAD",Table5[[#This Row],[Inventory Value]],0)</f>
        <v>0</v>
      </c>
    </row>
    <row r="130" spans="1:19" x14ac:dyDescent="0.25">
      <c r="A130" s="24" t="str">
        <f>'Inventory master'!A130</f>
        <v>ITEM129-A</v>
      </c>
      <c r="B130" s="6" t="str">
        <f>'Inventory master'!B130</f>
        <v>Wall-Mount Enclosure</v>
      </c>
      <c r="C130" s="6" t="str">
        <f>'Inventory master'!C130</f>
        <v>Enclosures</v>
      </c>
      <c r="D130" s="6" t="str">
        <f>'Inventory master'!D130</f>
        <v>Panduit</v>
      </c>
      <c r="E130" s="10" t="str">
        <f>'Inventory master'!E130</f>
        <v>710.38</v>
      </c>
      <c r="F130" s="10" t="str">
        <f>'Inventory master'!F130</f>
        <v>1320.49</v>
      </c>
      <c r="G130" s="10" t="str">
        <f>'Inventory master'!G130</f>
        <v>73</v>
      </c>
      <c r="H130" s="8">
        <f>IFERROR(_xlfn.XLOOKUP(A130, 'Opening stock'!A130:A729, 'Opening stock'!E130:E729), "")</f>
        <v>1095</v>
      </c>
      <c r="I130" s="8">
        <f>IFERROR(SUMIF(Table3[Item ID],'Inventory calculations'!A130,Table3[Quantity]),0)</f>
        <v>0</v>
      </c>
      <c r="J130" s="8">
        <f>IFERROR(SUMIF(Table4[Item ID],'Inventory calculations'!A130,Table4[Quantity Purchased]),0)</f>
        <v>1</v>
      </c>
      <c r="K130" s="10">
        <f t="shared" si="6"/>
        <v>1096</v>
      </c>
      <c r="L130" s="6" t="str">
        <f t="shared" si="7"/>
        <v>OK</v>
      </c>
      <c r="M130" s="13">
        <f t="shared" ref="M130:M193" si="8">K130*E130</f>
        <v>778576.48</v>
      </c>
      <c r="N130" s="8">
        <f>Table5[[#This Row],[Total Qty Sold]]*Table5[[#This Row],[Unit Price]]</f>
        <v>0</v>
      </c>
      <c r="O130" s="9"/>
      <c r="P130" s="40" t="str">
        <f ca="1">IF(Table5[[#This Row],[Last sale Date]]="","Never Sold",TODAY()-Table5[[#This Row],[Last sale Date]])</f>
        <v>Never Sold</v>
      </c>
      <c r="Q130" s="6" t="str">
        <f>IF(Table5[[#This Row],[Re order Level]]&lt;=Table5[[#This Row],[Current stock]],"ORDERASAP","OK BUT BE CHECKING")</f>
        <v>OK BUT BE CHECKING</v>
      </c>
      <c r="R130" s="6" t="str">
        <f t="shared" ref="R130:R193" si="9">IF(AND(ISNUMBER(B130), B130 &gt; 60), "DEAD", "ACTIVE")</f>
        <v>ACTIVE</v>
      </c>
      <c r="S130" s="8">
        <f>IF(Table5[[#This Row],[DEADSTOCK FLAG]]="DEAD",Table5[[#This Row],[Inventory Value]],0)</f>
        <v>0</v>
      </c>
    </row>
    <row r="131" spans="1:19" x14ac:dyDescent="0.25">
      <c r="A131" s="24" t="str">
        <f>'Inventory master'!A131</f>
        <v>ITEM130-A</v>
      </c>
      <c r="B131" s="6" t="str">
        <f>'Inventory master'!B131</f>
        <v>Rack-Mount Enclosure</v>
      </c>
      <c r="C131" s="6" t="str">
        <f>'Inventory master'!C131</f>
        <v>Enclosures</v>
      </c>
      <c r="D131" s="6" t="str">
        <f>'Inventory master'!D131</f>
        <v>Prysmian Group</v>
      </c>
      <c r="E131" s="10" t="str">
        <f>'Inventory master'!E131</f>
        <v>650.46</v>
      </c>
      <c r="F131" s="10" t="str">
        <f>'Inventory master'!F131</f>
        <v>1178.36</v>
      </c>
      <c r="G131" s="10" t="str">
        <f>'Inventory master'!G131</f>
        <v>18</v>
      </c>
      <c r="H131" s="8">
        <f>IFERROR(_xlfn.XLOOKUP(A131, 'Opening stock'!A131:A730, 'Opening stock'!E131:E730), "")</f>
        <v>270</v>
      </c>
      <c r="I131" s="8">
        <f>IFERROR(SUMIF(Table3[Item ID],'Inventory calculations'!A131,Table3[Quantity]),0)</f>
        <v>0</v>
      </c>
      <c r="J131" s="8">
        <f>IFERROR(SUMIF(Table4[Item ID],'Inventory calculations'!A131,Table4[Quantity Purchased]),0)</f>
        <v>12</v>
      </c>
      <c r="K131" s="10">
        <f t="shared" ref="K131:K194" si="10">H131+J131-I131</f>
        <v>282</v>
      </c>
      <c r="L131" s="6" t="str">
        <f t="shared" ref="L131:L194" si="11">IF(K131&lt;0,"STOCK ISSUE","OK")</f>
        <v>OK</v>
      </c>
      <c r="M131" s="13">
        <f t="shared" si="8"/>
        <v>183429.72</v>
      </c>
      <c r="N131" s="8">
        <f>Table5[[#This Row],[Total Qty Sold]]*Table5[[#This Row],[Unit Price]]</f>
        <v>0</v>
      </c>
      <c r="O131" s="9"/>
      <c r="P131" s="40" t="str">
        <f ca="1">IF(Table5[[#This Row],[Last sale Date]]="","Never Sold",TODAY()-Table5[[#This Row],[Last sale Date]])</f>
        <v>Never Sold</v>
      </c>
      <c r="Q131" s="6" t="str">
        <f>IF(Table5[[#This Row],[Re order Level]]&lt;=Table5[[#This Row],[Current stock]],"ORDERASAP","OK BUT BE CHECKING")</f>
        <v>OK BUT BE CHECKING</v>
      </c>
      <c r="R131" s="6" t="str">
        <f t="shared" si="9"/>
        <v>ACTIVE</v>
      </c>
      <c r="S131" s="8">
        <f>IF(Table5[[#This Row],[DEADSTOCK FLAG]]="DEAD",Table5[[#This Row],[Inventory Value]],0)</f>
        <v>0</v>
      </c>
    </row>
    <row r="132" spans="1:19" x14ac:dyDescent="0.25">
      <c r="A132" s="24" t="str">
        <f>'Inventory master'!A132</f>
        <v>ITEM131-A</v>
      </c>
      <c r="B132" s="6" t="str">
        <f>'Inventory master'!B132</f>
        <v>Fiber Adapter</v>
      </c>
      <c r="C132" s="6" t="str">
        <f>'Inventory master'!C132</f>
        <v>Accessories</v>
      </c>
      <c r="D132" s="6" t="str">
        <f>'Inventory master'!D132</f>
        <v>Siemon</v>
      </c>
      <c r="E132" s="10" t="str">
        <f>'Inventory master'!E132</f>
        <v>395.89</v>
      </c>
      <c r="F132" s="10" t="str">
        <f>'Inventory master'!F132</f>
        <v>614.71</v>
      </c>
      <c r="G132" s="10" t="str">
        <f>'Inventory master'!G132</f>
        <v>49</v>
      </c>
      <c r="H132" s="8">
        <f>IFERROR(_xlfn.XLOOKUP(A132, 'Opening stock'!A132:A731, 'Opening stock'!E132:E731), "")</f>
        <v>735</v>
      </c>
      <c r="I132" s="8">
        <f>IFERROR(SUMIF(Table3[Item ID],'Inventory calculations'!A132,Table3[Quantity]),0)</f>
        <v>0</v>
      </c>
      <c r="J132" s="8">
        <f>IFERROR(SUMIF(Table4[Item ID],'Inventory calculations'!A132,Table4[Quantity Purchased]),0)</f>
        <v>31</v>
      </c>
      <c r="K132" s="10">
        <f t="shared" si="10"/>
        <v>766</v>
      </c>
      <c r="L132" s="6" t="str">
        <f t="shared" si="11"/>
        <v>OK</v>
      </c>
      <c r="M132" s="13">
        <f t="shared" si="8"/>
        <v>303251.74</v>
      </c>
      <c r="N132" s="8">
        <f>Table5[[#This Row],[Total Qty Sold]]*Table5[[#This Row],[Unit Price]]</f>
        <v>0</v>
      </c>
      <c r="O132" s="9"/>
      <c r="P132" s="40" t="str">
        <f ca="1">IF(Table5[[#This Row],[Last sale Date]]="","Never Sold",TODAY()-Table5[[#This Row],[Last sale Date]])</f>
        <v>Never Sold</v>
      </c>
      <c r="Q132" s="6" t="str">
        <f>IF(Table5[[#This Row],[Re order Level]]&lt;=Table5[[#This Row],[Current stock]],"ORDERASAP","OK BUT BE CHECKING")</f>
        <v>OK BUT BE CHECKING</v>
      </c>
      <c r="R132" s="6" t="str">
        <f t="shared" si="9"/>
        <v>ACTIVE</v>
      </c>
      <c r="S132" s="8">
        <f>IF(Table5[[#This Row],[DEADSTOCK FLAG]]="DEAD",Table5[[#This Row],[Inventory Value]],0)</f>
        <v>0</v>
      </c>
    </row>
    <row r="133" spans="1:19" x14ac:dyDescent="0.25">
      <c r="A133" s="24" t="str">
        <f>'Inventory master'!A133</f>
        <v>ITEM132-A</v>
      </c>
      <c r="B133" s="6" t="str">
        <f>'Inventory master'!B133</f>
        <v>Fixed Attenuator 2dB</v>
      </c>
      <c r="C133" s="6" t="str">
        <f>'Inventory master'!C133</f>
        <v>Attenuators</v>
      </c>
      <c r="D133" s="6" t="str">
        <f>'Inventory master'!D133</f>
        <v>Siemon</v>
      </c>
      <c r="E133" s="10" t="str">
        <f>'Inventory master'!E133</f>
        <v>1060.45</v>
      </c>
      <c r="F133" s="10" t="str">
        <f>'Inventory master'!F133</f>
        <v>1702.45</v>
      </c>
      <c r="G133" s="10" t="str">
        <f>'Inventory master'!G133</f>
        <v>96</v>
      </c>
      <c r="H133" s="8">
        <f>IFERROR(_xlfn.XLOOKUP(A133, 'Opening stock'!A133:A732, 'Opening stock'!E133:E732), "")</f>
        <v>1440</v>
      </c>
      <c r="I133" s="8">
        <f>IFERROR(SUMIF(Table3[Item ID],'Inventory calculations'!A133,Table3[Quantity]),0)</f>
        <v>0</v>
      </c>
      <c r="J133" s="8">
        <f>IFERROR(SUMIF(Table4[Item ID],'Inventory calculations'!A133,Table4[Quantity Purchased]),0)</f>
        <v>0</v>
      </c>
      <c r="K133" s="10">
        <f t="shared" si="10"/>
        <v>1440</v>
      </c>
      <c r="L133" s="6" t="str">
        <f t="shared" si="11"/>
        <v>OK</v>
      </c>
      <c r="M133" s="13">
        <f t="shared" si="8"/>
        <v>1527048</v>
      </c>
      <c r="N133" s="8">
        <f>Table5[[#This Row],[Total Qty Sold]]*Table5[[#This Row],[Unit Price]]</f>
        <v>0</v>
      </c>
      <c r="O133" s="9"/>
      <c r="P133" s="40" t="str">
        <f ca="1">IF(Table5[[#This Row],[Last sale Date]]="","Never Sold",TODAY()-Table5[[#This Row],[Last sale Date]])</f>
        <v>Never Sold</v>
      </c>
      <c r="Q133" s="6" t="str">
        <f>IF(Table5[[#This Row],[Re order Level]]&lt;=Table5[[#This Row],[Current stock]],"ORDERASAP","OK BUT BE CHECKING")</f>
        <v>OK BUT BE CHECKING</v>
      </c>
      <c r="R133" s="6" t="str">
        <f t="shared" si="9"/>
        <v>ACTIVE</v>
      </c>
      <c r="S133" s="8">
        <f>IF(Table5[[#This Row],[DEADSTOCK FLAG]]="DEAD",Table5[[#This Row],[Inventory Value]],0)</f>
        <v>0</v>
      </c>
    </row>
    <row r="134" spans="1:19" x14ac:dyDescent="0.25">
      <c r="A134" s="24" t="str">
        <f>'Inventory master'!A134</f>
        <v>ITEM133-A</v>
      </c>
      <c r="B134" s="6" t="str">
        <f>'Inventory master'!B134</f>
        <v>1x4 PLC Splitter</v>
      </c>
      <c r="C134" s="6" t="str">
        <f>'Inventory master'!C134</f>
        <v>Splitters</v>
      </c>
      <c r="D134" s="6" t="str">
        <f>'Inventory master'!D134</f>
        <v>CommScope</v>
      </c>
      <c r="E134" s="10" t="str">
        <f>'Inventory master'!E134</f>
        <v>643.43</v>
      </c>
      <c r="F134" s="10" t="str">
        <f>'Inventory master'!F134</f>
        <v>1271.58</v>
      </c>
      <c r="G134" s="10" t="str">
        <f>'Inventory master'!G134</f>
        <v>78</v>
      </c>
      <c r="H134" s="8">
        <f>IFERROR(_xlfn.XLOOKUP(A134, 'Opening stock'!A134:A733, 'Opening stock'!E134:E733), "")</f>
        <v>1170</v>
      </c>
      <c r="I134" s="8">
        <f>IFERROR(SUMIF(Table3[Item ID],'Inventory calculations'!A134,Table3[Quantity]),0)</f>
        <v>0</v>
      </c>
      <c r="J134" s="8">
        <f>IFERROR(SUMIF(Table4[Item ID],'Inventory calculations'!A134,Table4[Quantity Purchased]),0)</f>
        <v>0</v>
      </c>
      <c r="K134" s="10">
        <f t="shared" si="10"/>
        <v>1170</v>
      </c>
      <c r="L134" s="6" t="str">
        <f t="shared" si="11"/>
        <v>OK</v>
      </c>
      <c r="M134" s="13">
        <f t="shared" si="8"/>
        <v>752813.1</v>
      </c>
      <c r="N134" s="8">
        <f>Table5[[#This Row],[Total Qty Sold]]*Table5[[#This Row],[Unit Price]]</f>
        <v>0</v>
      </c>
      <c r="O134" s="9"/>
      <c r="P134" s="40" t="str">
        <f ca="1">IF(Table5[[#This Row],[Last sale Date]]="","Never Sold",TODAY()-Table5[[#This Row],[Last sale Date]])</f>
        <v>Never Sold</v>
      </c>
      <c r="Q134" s="6" t="str">
        <f>IF(Table5[[#This Row],[Re order Level]]&lt;=Table5[[#This Row],[Current stock]],"ORDERASAP","OK BUT BE CHECKING")</f>
        <v>OK BUT BE CHECKING</v>
      </c>
      <c r="R134" s="6" t="str">
        <f t="shared" si="9"/>
        <v>ACTIVE</v>
      </c>
      <c r="S134" s="8">
        <f>IF(Table5[[#This Row],[DEADSTOCK FLAG]]="DEAD",Table5[[#This Row],[Inventory Value]],0)</f>
        <v>0</v>
      </c>
    </row>
    <row r="135" spans="1:19" x14ac:dyDescent="0.25">
      <c r="A135" s="24" t="str">
        <f>'Inventory master'!A135</f>
        <v>ITEM134-A</v>
      </c>
      <c r="B135" s="6" t="str">
        <f>'Inventory master'!B135</f>
        <v>SC UPC Connector</v>
      </c>
      <c r="C135" s="6" t="str">
        <f>'Inventory master'!C135</f>
        <v>Connectors</v>
      </c>
      <c r="D135" s="6" t="str">
        <f>'Inventory master'!D135</f>
        <v>Prysmian Group</v>
      </c>
      <c r="E135" s="10" t="str">
        <f>'Inventory master'!E135</f>
        <v>440.53</v>
      </c>
      <c r="F135" s="10" t="str">
        <f>'Inventory master'!F135</f>
        <v>686.25</v>
      </c>
      <c r="G135" s="10" t="str">
        <f>'Inventory master'!G135</f>
        <v>45</v>
      </c>
      <c r="H135" s="8">
        <f>IFERROR(_xlfn.XLOOKUP(A135, 'Opening stock'!A135:A734, 'Opening stock'!E135:E734), "")</f>
        <v>675</v>
      </c>
      <c r="I135" s="8">
        <f>IFERROR(SUMIF(Table3[Item ID],'Inventory calculations'!A135,Table3[Quantity]),0)</f>
        <v>13</v>
      </c>
      <c r="J135" s="8">
        <f>IFERROR(SUMIF(Table4[Item ID],'Inventory calculations'!A135,Table4[Quantity Purchased]),0)</f>
        <v>13</v>
      </c>
      <c r="K135" s="10">
        <f t="shared" si="10"/>
        <v>675</v>
      </c>
      <c r="L135" s="6" t="str">
        <f t="shared" si="11"/>
        <v>OK</v>
      </c>
      <c r="M135" s="13">
        <f t="shared" si="8"/>
        <v>297357.75</v>
      </c>
      <c r="N135" s="8">
        <f>Table5[[#This Row],[Total Qty Sold]]*Table5[[#This Row],[Unit Price]]</f>
        <v>8921.25</v>
      </c>
      <c r="O135" s="9">
        <f>IFERROR(_xlfn.MAXIFS(Table3[Date],Table3[Item ID],Table5[[#This Row],[Item ID]]),"")</f>
        <v>45370</v>
      </c>
      <c r="P135" s="40">
        <f ca="1">IF(Table5[[#This Row],[Last sale Date]]="","Never Sold",TODAY()-Table5[[#This Row],[Last sale Date]])</f>
        <v>682</v>
      </c>
      <c r="Q135" s="6" t="str">
        <f>IF(Table5[[#This Row],[Re order Level]]&lt;=Table5[[#This Row],[Current stock]],"ORDERASAP","OK BUT BE CHECKING")</f>
        <v>OK BUT BE CHECKING</v>
      </c>
      <c r="R135" s="6" t="str">
        <f t="shared" si="9"/>
        <v>ACTIVE</v>
      </c>
      <c r="S135" s="8">
        <f>IF(Table5[[#This Row],[DEADSTOCK FLAG]]="DEAD",Table5[[#This Row],[Inventory Value]],0)</f>
        <v>0</v>
      </c>
    </row>
    <row r="136" spans="1:19" x14ac:dyDescent="0.25">
      <c r="A136" s="24" t="str">
        <f>'Inventory master'!A136</f>
        <v>ITEM135-A</v>
      </c>
      <c r="B136" s="6" t="str">
        <f>'Inventory master'!B136</f>
        <v>48-Port Fiber Patch Panel</v>
      </c>
      <c r="C136" s="6" t="str">
        <f>'Inventory master'!C136</f>
        <v>Patch Panels</v>
      </c>
      <c r="D136" s="6" t="str">
        <f>'Inventory master'!D136</f>
        <v>TE Connectivity</v>
      </c>
      <c r="E136" s="10" t="str">
        <f>'Inventory master'!E136</f>
        <v>1351.42</v>
      </c>
      <c r="F136" s="10" t="str">
        <f>'Inventory master'!F136</f>
        <v>1598.19</v>
      </c>
      <c r="G136" s="10" t="str">
        <f>'Inventory master'!G136</f>
        <v>85</v>
      </c>
      <c r="H136" s="8">
        <f>IFERROR(_xlfn.XLOOKUP(A136, 'Opening stock'!A136:A735, 'Opening stock'!E136:E735), "")</f>
        <v>1275</v>
      </c>
      <c r="I136" s="8">
        <f>IFERROR(SUMIF(Table3[Item ID],'Inventory calculations'!A136,Table3[Quantity]),0)</f>
        <v>0</v>
      </c>
      <c r="J136" s="8">
        <f>IFERROR(SUMIF(Table4[Item ID],'Inventory calculations'!A136,Table4[Quantity Purchased]),0)</f>
        <v>26</v>
      </c>
      <c r="K136" s="10">
        <f t="shared" si="10"/>
        <v>1301</v>
      </c>
      <c r="L136" s="6" t="str">
        <f t="shared" si="11"/>
        <v>OK</v>
      </c>
      <c r="M136" s="13">
        <f t="shared" si="8"/>
        <v>1758197.4200000002</v>
      </c>
      <c r="N136" s="8">
        <f>Table5[[#This Row],[Total Qty Sold]]*Table5[[#This Row],[Unit Price]]</f>
        <v>0</v>
      </c>
      <c r="O136" s="9"/>
      <c r="P136" s="40" t="str">
        <f ca="1">IF(Table5[[#This Row],[Last sale Date]]="","Never Sold",TODAY()-Table5[[#This Row],[Last sale Date]])</f>
        <v>Never Sold</v>
      </c>
      <c r="Q136" s="6" t="str">
        <f>IF(Table5[[#This Row],[Re order Level]]&lt;=Table5[[#This Row],[Current stock]],"ORDERASAP","OK BUT BE CHECKING")</f>
        <v>OK BUT BE CHECKING</v>
      </c>
      <c r="R136" s="6" t="str">
        <f t="shared" si="9"/>
        <v>ACTIVE</v>
      </c>
      <c r="S136" s="8">
        <f>IF(Table5[[#This Row],[DEADSTOCK FLAG]]="DEAD",Table5[[#This Row],[Inventory Value]],0)</f>
        <v>0</v>
      </c>
    </row>
    <row r="137" spans="1:19" x14ac:dyDescent="0.25">
      <c r="A137" s="24" t="str">
        <f>'Inventory master'!A137</f>
        <v>ITEM136-A</v>
      </c>
      <c r="B137" s="6" t="str">
        <f>'Inventory master'!B137</f>
        <v>1x32 PLC Splitter</v>
      </c>
      <c r="C137" s="6" t="str">
        <f>'Inventory master'!C137</f>
        <v>Splitters</v>
      </c>
      <c r="D137" s="6" t="str">
        <f>'Inventory master'!D137</f>
        <v>TE Connectivity</v>
      </c>
      <c r="E137" s="10" t="str">
        <f>'Inventory master'!E137</f>
        <v>1145.27</v>
      </c>
      <c r="F137" s="10" t="str">
        <f>'Inventory master'!F137</f>
        <v>1964.34</v>
      </c>
      <c r="G137" s="10" t="str">
        <f>'Inventory master'!G137</f>
        <v>66</v>
      </c>
      <c r="H137" s="8">
        <f>IFERROR(_xlfn.XLOOKUP(A137, 'Opening stock'!A137:A736, 'Opening stock'!E137:E736), "")</f>
        <v>990</v>
      </c>
      <c r="I137" s="8">
        <f>IFERROR(SUMIF(Table3[Item ID],'Inventory calculations'!A137,Table3[Quantity]),0)</f>
        <v>0</v>
      </c>
      <c r="J137" s="8">
        <f>IFERROR(SUMIF(Table4[Item ID],'Inventory calculations'!A137,Table4[Quantity Purchased]),0)</f>
        <v>17</v>
      </c>
      <c r="K137" s="10">
        <f t="shared" si="10"/>
        <v>1007</v>
      </c>
      <c r="L137" s="6" t="str">
        <f t="shared" si="11"/>
        <v>OK</v>
      </c>
      <c r="M137" s="13">
        <f t="shared" si="8"/>
        <v>1153286.8899999999</v>
      </c>
      <c r="N137" s="8">
        <f>Table5[[#This Row],[Total Qty Sold]]*Table5[[#This Row],[Unit Price]]</f>
        <v>0</v>
      </c>
      <c r="O137" s="9"/>
      <c r="P137" s="40" t="str">
        <f ca="1">IF(Table5[[#This Row],[Last sale Date]]="","Never Sold",TODAY()-Table5[[#This Row],[Last sale Date]])</f>
        <v>Never Sold</v>
      </c>
      <c r="Q137" s="6" t="str">
        <f>IF(Table5[[#This Row],[Re order Level]]&lt;=Table5[[#This Row],[Current stock]],"ORDERASAP","OK BUT BE CHECKING")</f>
        <v>OK BUT BE CHECKING</v>
      </c>
      <c r="R137" s="6" t="str">
        <f t="shared" si="9"/>
        <v>ACTIVE</v>
      </c>
      <c r="S137" s="8">
        <f>IF(Table5[[#This Row],[DEADSTOCK FLAG]]="DEAD",Table5[[#This Row],[Inventory Value]],0)</f>
        <v>0</v>
      </c>
    </row>
    <row r="138" spans="1:19" x14ac:dyDescent="0.25">
      <c r="A138" s="24" t="str">
        <f>'Inventory master'!A138</f>
        <v>ITEM137-A</v>
      </c>
      <c r="B138" s="6" t="str">
        <f>'Inventory master'!B138</f>
        <v>Indoor Fiber Cable 100m</v>
      </c>
      <c r="C138" s="6" t="str">
        <f>'Inventory master'!C138</f>
        <v>Fiber Optic Cables</v>
      </c>
      <c r="D138" s="6" t="str">
        <f>'Inventory master'!D138</f>
        <v>AFL</v>
      </c>
      <c r="E138" s="10" t="str">
        <f>'Inventory master'!E138</f>
        <v>1968.65</v>
      </c>
      <c r="F138" s="10" t="str">
        <f>'Inventory master'!F138</f>
        <v>2381.8</v>
      </c>
      <c r="G138" s="10" t="str">
        <f>'Inventory master'!G138</f>
        <v>82</v>
      </c>
      <c r="H138" s="8">
        <f>IFERROR(_xlfn.XLOOKUP(A138, 'Opening stock'!A138:A737, 'Opening stock'!E138:E737), "")</f>
        <v>1230</v>
      </c>
      <c r="I138" s="8">
        <f>IFERROR(SUMIF(Table3[Item ID],'Inventory calculations'!A138,Table3[Quantity]),0)</f>
        <v>6</v>
      </c>
      <c r="J138" s="8">
        <f>IFERROR(SUMIF(Table4[Item ID],'Inventory calculations'!A138,Table4[Quantity Purchased]),0)</f>
        <v>0</v>
      </c>
      <c r="K138" s="10">
        <f t="shared" si="10"/>
        <v>1224</v>
      </c>
      <c r="L138" s="6" t="str">
        <f t="shared" si="11"/>
        <v>OK</v>
      </c>
      <c r="M138" s="13">
        <f t="shared" si="8"/>
        <v>2409627.6</v>
      </c>
      <c r="N138" s="8">
        <f>Table5[[#This Row],[Total Qty Sold]]*Table5[[#This Row],[Unit Price]]</f>
        <v>14290.800000000001</v>
      </c>
      <c r="O138" s="9">
        <f>IFERROR(_xlfn.MAXIFS(Table3[Date],Table3[Item ID],Table5[[#This Row],[Item ID]]),"")</f>
        <v>45640</v>
      </c>
      <c r="P138" s="40">
        <f ca="1">IF(Table5[[#This Row],[Last sale Date]]="","Never Sold",TODAY()-Table5[[#This Row],[Last sale Date]])</f>
        <v>412</v>
      </c>
      <c r="Q138" s="6" t="str">
        <f>IF(Table5[[#This Row],[Re order Level]]&lt;=Table5[[#This Row],[Current stock]],"ORDERASAP","OK BUT BE CHECKING")</f>
        <v>OK BUT BE CHECKING</v>
      </c>
      <c r="R138" s="6" t="str">
        <f t="shared" si="9"/>
        <v>ACTIVE</v>
      </c>
      <c r="S138" s="8">
        <f>IF(Table5[[#This Row],[DEADSTOCK FLAG]]="DEAD",Table5[[#This Row],[Inventory Value]],0)</f>
        <v>0</v>
      </c>
    </row>
    <row r="139" spans="1:19" x14ac:dyDescent="0.25">
      <c r="A139" s="24" t="str">
        <f>'Inventory master'!A139</f>
        <v>ITEM138-A</v>
      </c>
      <c r="B139" s="6" t="str">
        <f>'Inventory master'!B139</f>
        <v>Rack-Mount Enclosure</v>
      </c>
      <c r="C139" s="6" t="str">
        <f>'Inventory master'!C139</f>
        <v>Enclosures</v>
      </c>
      <c r="D139" s="6" t="str">
        <f>'Inventory master'!D139</f>
        <v>Leviton</v>
      </c>
      <c r="E139" s="10" t="str">
        <f>'Inventory master'!E139</f>
        <v>249.46</v>
      </c>
      <c r="F139" s="10" t="str">
        <f>'Inventory master'!F139</f>
        <v>405.93</v>
      </c>
      <c r="G139" s="10" t="str">
        <f>'Inventory master'!G139</f>
        <v>39</v>
      </c>
      <c r="H139" s="8">
        <f>IFERROR(_xlfn.XLOOKUP(A139, 'Opening stock'!A139:A738, 'Opening stock'!E139:E738), "")</f>
        <v>585</v>
      </c>
      <c r="I139" s="8">
        <f>IFERROR(SUMIF(Table3[Item ID],'Inventory calculations'!A139,Table3[Quantity]),0)</f>
        <v>0</v>
      </c>
      <c r="J139" s="8">
        <f>IFERROR(SUMIF(Table4[Item ID],'Inventory calculations'!A139,Table4[Quantity Purchased]),0)</f>
        <v>3</v>
      </c>
      <c r="K139" s="10">
        <f t="shared" si="10"/>
        <v>588</v>
      </c>
      <c r="L139" s="6" t="str">
        <f t="shared" si="11"/>
        <v>OK</v>
      </c>
      <c r="M139" s="13">
        <f t="shared" si="8"/>
        <v>146682.48000000001</v>
      </c>
      <c r="N139" s="8">
        <f>Table5[[#This Row],[Total Qty Sold]]*Table5[[#This Row],[Unit Price]]</f>
        <v>0</v>
      </c>
      <c r="O139" s="9"/>
      <c r="P139" s="40" t="str">
        <f ca="1">IF(Table5[[#This Row],[Last sale Date]]="","Never Sold",TODAY()-Table5[[#This Row],[Last sale Date]])</f>
        <v>Never Sold</v>
      </c>
      <c r="Q139" s="6" t="str">
        <f>IF(Table5[[#This Row],[Re order Level]]&lt;=Table5[[#This Row],[Current stock]],"ORDERASAP","OK BUT BE CHECKING")</f>
        <v>OK BUT BE CHECKING</v>
      </c>
      <c r="R139" s="6" t="str">
        <f t="shared" si="9"/>
        <v>ACTIVE</v>
      </c>
      <c r="S139" s="8">
        <f>IF(Table5[[#This Row],[DEADSTOCK FLAG]]="DEAD",Table5[[#This Row],[Inventory Value]],0)</f>
        <v>0</v>
      </c>
    </row>
    <row r="140" spans="1:19" x14ac:dyDescent="0.25">
      <c r="A140" s="24" t="str">
        <f>'Inventory master'!A140</f>
        <v>ITEM139-A</v>
      </c>
      <c r="B140" s="6" t="str">
        <f>'Inventory master'!B140</f>
        <v>Dome Enclosure</v>
      </c>
      <c r="C140" s="6" t="str">
        <f>'Inventory master'!C140</f>
        <v>Enclosures</v>
      </c>
      <c r="D140" s="6" t="str">
        <f>'Inventory master'!D140</f>
        <v>Corning Inc.</v>
      </c>
      <c r="E140" s="10" t="str">
        <f>'Inventory master'!E140</f>
        <v>1015.35</v>
      </c>
      <c r="F140" s="10" t="str">
        <f>'Inventory master'!F140</f>
        <v>1556.48</v>
      </c>
      <c r="G140" s="10" t="str">
        <f>'Inventory master'!G140</f>
        <v>65</v>
      </c>
      <c r="H140" s="8">
        <f>IFERROR(_xlfn.XLOOKUP(A140, 'Opening stock'!A140:A739, 'Opening stock'!E140:E739), "")</f>
        <v>975</v>
      </c>
      <c r="I140" s="8">
        <f>IFERROR(SUMIF(Table3[Item ID],'Inventory calculations'!A140,Table3[Quantity]),0)</f>
        <v>0</v>
      </c>
      <c r="J140" s="8">
        <f>IFERROR(SUMIF(Table4[Item ID],'Inventory calculations'!A140,Table4[Quantity Purchased]),0)</f>
        <v>4</v>
      </c>
      <c r="K140" s="10">
        <f t="shared" si="10"/>
        <v>979</v>
      </c>
      <c r="L140" s="6" t="str">
        <f t="shared" si="11"/>
        <v>OK</v>
      </c>
      <c r="M140" s="13">
        <f t="shared" si="8"/>
        <v>994027.65</v>
      </c>
      <c r="N140" s="8">
        <f>Table5[[#This Row],[Total Qty Sold]]*Table5[[#This Row],[Unit Price]]</f>
        <v>0</v>
      </c>
      <c r="O140" s="9"/>
      <c r="P140" s="40" t="str">
        <f ca="1">IF(Table5[[#This Row],[Last sale Date]]="","Never Sold",TODAY()-Table5[[#This Row],[Last sale Date]])</f>
        <v>Never Sold</v>
      </c>
      <c r="Q140" s="6" t="str">
        <f>IF(Table5[[#This Row],[Re order Level]]&lt;=Table5[[#This Row],[Current stock]],"ORDERASAP","OK BUT BE CHECKING")</f>
        <v>OK BUT BE CHECKING</v>
      </c>
      <c r="R140" s="6" t="str">
        <f t="shared" si="9"/>
        <v>ACTIVE</v>
      </c>
      <c r="S140" s="8">
        <f>IF(Table5[[#This Row],[DEADSTOCK FLAG]]="DEAD",Table5[[#This Row],[Inventory Value]],0)</f>
        <v>0</v>
      </c>
    </row>
    <row r="141" spans="1:19" x14ac:dyDescent="0.25">
      <c r="A141" s="24" t="str">
        <f>'Inventory master'!A141</f>
        <v>ITEM140-A</v>
      </c>
      <c r="B141" s="6" t="str">
        <f>'Inventory master'!B141</f>
        <v>1x16 PLC Splitter</v>
      </c>
      <c r="C141" s="6" t="str">
        <f>'Inventory master'!C141</f>
        <v>Splitters</v>
      </c>
      <c r="D141" s="6" t="str">
        <f>'Inventory master'!D141</f>
        <v>CommScope</v>
      </c>
      <c r="E141" s="10" t="str">
        <f>'Inventory master'!E141</f>
        <v>1173.48</v>
      </c>
      <c r="F141" s="10" t="str">
        <f>'Inventory master'!F141</f>
        <v>1316.43</v>
      </c>
      <c r="G141" s="10" t="str">
        <f>'Inventory master'!G141</f>
        <v>85</v>
      </c>
      <c r="H141" s="8">
        <f>IFERROR(_xlfn.XLOOKUP(A141, 'Opening stock'!A141:A740, 'Opening stock'!E141:E740), "")</f>
        <v>1275</v>
      </c>
      <c r="I141" s="8">
        <f>IFERROR(SUMIF(Table3[Item ID],'Inventory calculations'!A141,Table3[Quantity]),0)</f>
        <v>9</v>
      </c>
      <c r="J141" s="8">
        <f>IFERROR(SUMIF(Table4[Item ID],'Inventory calculations'!A141,Table4[Quantity Purchased]),0)</f>
        <v>0</v>
      </c>
      <c r="K141" s="10">
        <f t="shared" si="10"/>
        <v>1266</v>
      </c>
      <c r="L141" s="6" t="str">
        <f t="shared" si="11"/>
        <v>OK</v>
      </c>
      <c r="M141" s="13">
        <f t="shared" si="8"/>
        <v>1485625.68</v>
      </c>
      <c r="N141" s="8">
        <f>Table5[[#This Row],[Total Qty Sold]]*Table5[[#This Row],[Unit Price]]</f>
        <v>11847.87</v>
      </c>
      <c r="O141" s="9">
        <f>IFERROR(_xlfn.MAXIFS(Table3[Date],Table3[Item ID],Table5[[#This Row],[Item ID]]),"")</f>
        <v>45825</v>
      </c>
      <c r="P141" s="40">
        <f ca="1">IF(Table5[[#This Row],[Last sale Date]]="","Never Sold",TODAY()-Table5[[#This Row],[Last sale Date]])</f>
        <v>227</v>
      </c>
      <c r="Q141" s="6" t="str">
        <f>IF(Table5[[#This Row],[Re order Level]]&lt;=Table5[[#This Row],[Current stock]],"ORDERASAP","OK BUT BE CHECKING")</f>
        <v>OK BUT BE CHECKING</v>
      </c>
      <c r="R141" s="6" t="str">
        <f t="shared" si="9"/>
        <v>ACTIVE</v>
      </c>
      <c r="S141" s="8">
        <f>IF(Table5[[#This Row],[DEADSTOCK FLAG]]="DEAD",Table5[[#This Row],[Inventory Value]],0)</f>
        <v>0</v>
      </c>
    </row>
    <row r="142" spans="1:19" x14ac:dyDescent="0.25">
      <c r="A142" s="24" t="str">
        <f>'Inventory master'!A142</f>
        <v>ITEM141-A</v>
      </c>
      <c r="B142" s="6" t="str">
        <f>'Inventory master'!B142</f>
        <v>12-Port Fiber Patch Panel</v>
      </c>
      <c r="C142" s="6" t="str">
        <f>'Inventory master'!C142</f>
        <v>Patch Panels</v>
      </c>
      <c r="D142" s="6" t="str">
        <f>'Inventory master'!D142</f>
        <v>Panduit</v>
      </c>
      <c r="E142" s="10" t="str">
        <f>'Inventory master'!E142</f>
        <v>309.75</v>
      </c>
      <c r="F142" s="10" t="str">
        <f>'Inventory master'!F142</f>
        <v>557.61</v>
      </c>
      <c r="G142" s="10" t="str">
        <f>'Inventory master'!G142</f>
        <v>54</v>
      </c>
      <c r="H142" s="8">
        <f>IFERROR(_xlfn.XLOOKUP(A142, 'Opening stock'!A142:A741, 'Opening stock'!E142:E741), "")</f>
        <v>810</v>
      </c>
      <c r="I142" s="8">
        <f>IFERROR(SUMIF(Table3[Item ID],'Inventory calculations'!A142,Table3[Quantity]),0)</f>
        <v>182</v>
      </c>
      <c r="J142" s="8">
        <f>IFERROR(SUMIF(Table4[Item ID],'Inventory calculations'!A142,Table4[Quantity Purchased]),0)</f>
        <v>7</v>
      </c>
      <c r="K142" s="10">
        <f t="shared" si="10"/>
        <v>635</v>
      </c>
      <c r="L142" s="6" t="str">
        <f t="shared" si="11"/>
        <v>OK</v>
      </c>
      <c r="M142" s="13">
        <f t="shared" si="8"/>
        <v>196691.25</v>
      </c>
      <c r="N142" s="8">
        <f>Table5[[#This Row],[Total Qty Sold]]*Table5[[#This Row],[Unit Price]]</f>
        <v>101485.02</v>
      </c>
      <c r="O142" s="9">
        <f>IFERROR(_xlfn.MAXIFS(Table3[Date],Table3[Item ID],Table5[[#This Row],[Item ID]]),"")</f>
        <v>45998</v>
      </c>
      <c r="P142" s="40">
        <f ca="1">IF(Table5[[#This Row],[Last sale Date]]="","Never Sold",TODAY()-Table5[[#This Row],[Last sale Date]])</f>
        <v>54</v>
      </c>
      <c r="Q142" s="6" t="str">
        <f>IF(Table5[[#This Row],[Re order Level]]&lt;=Table5[[#This Row],[Current stock]],"ORDERASAP","OK BUT BE CHECKING")</f>
        <v>OK BUT BE CHECKING</v>
      </c>
      <c r="R142" s="6" t="str">
        <f t="shared" si="9"/>
        <v>ACTIVE</v>
      </c>
      <c r="S142" s="8">
        <f>IF(Table5[[#This Row],[DEADSTOCK FLAG]]="DEAD",Table5[[#This Row],[Inventory Value]],0)</f>
        <v>0</v>
      </c>
    </row>
    <row r="143" spans="1:19" x14ac:dyDescent="0.25">
      <c r="A143" s="24" t="str">
        <f>'Inventory master'!A143</f>
        <v>ITEM142-A</v>
      </c>
      <c r="B143" s="6" t="str">
        <f>'Inventory master'!B143</f>
        <v>Outdoor Fiber Cable 100m</v>
      </c>
      <c r="C143" s="6" t="str">
        <f>'Inventory master'!C143</f>
        <v>Fiber Optic Cables</v>
      </c>
      <c r="D143" s="6" t="str">
        <f>'Inventory master'!D143</f>
        <v>Amphenol</v>
      </c>
      <c r="E143" s="10" t="str">
        <f>'Inventory master'!E143</f>
        <v>1486.39</v>
      </c>
      <c r="F143" s="10" t="str">
        <f>'Inventory master'!F143</f>
        <v>2583.89</v>
      </c>
      <c r="G143" s="10" t="str">
        <f>'Inventory master'!G143</f>
        <v>68</v>
      </c>
      <c r="H143" s="8">
        <f>IFERROR(_xlfn.XLOOKUP(A143, 'Opening stock'!A143:A742, 'Opening stock'!E143:E742), "")</f>
        <v>1020</v>
      </c>
      <c r="I143" s="8">
        <f>IFERROR(SUMIF(Table3[Item ID],'Inventory calculations'!A143,Table3[Quantity]),0)</f>
        <v>0</v>
      </c>
      <c r="J143" s="8">
        <f>IFERROR(SUMIF(Table4[Item ID],'Inventory calculations'!A143,Table4[Quantity Purchased]),0)</f>
        <v>21</v>
      </c>
      <c r="K143" s="10">
        <f t="shared" si="10"/>
        <v>1041</v>
      </c>
      <c r="L143" s="6" t="str">
        <f t="shared" si="11"/>
        <v>OK</v>
      </c>
      <c r="M143" s="13">
        <f t="shared" si="8"/>
        <v>1547331.99</v>
      </c>
      <c r="N143" s="8">
        <f>Table5[[#This Row],[Total Qty Sold]]*Table5[[#This Row],[Unit Price]]</f>
        <v>0</v>
      </c>
      <c r="O143" s="9"/>
      <c r="P143" s="40" t="str">
        <f ca="1">IF(Table5[[#This Row],[Last sale Date]]="","Never Sold",TODAY()-Table5[[#This Row],[Last sale Date]])</f>
        <v>Never Sold</v>
      </c>
      <c r="Q143" s="6" t="str">
        <f>IF(Table5[[#This Row],[Re order Level]]&lt;=Table5[[#This Row],[Current stock]],"ORDERASAP","OK BUT BE CHECKING")</f>
        <v>OK BUT BE CHECKING</v>
      </c>
      <c r="R143" s="6" t="str">
        <f t="shared" si="9"/>
        <v>ACTIVE</v>
      </c>
      <c r="S143" s="8">
        <f>IF(Table5[[#This Row],[DEADSTOCK FLAG]]="DEAD",Table5[[#This Row],[Inventory Value]],0)</f>
        <v>0</v>
      </c>
    </row>
    <row r="144" spans="1:19" x14ac:dyDescent="0.25">
      <c r="A144" s="24" t="str">
        <f>'Inventory master'!A144</f>
        <v>ITEM143-A</v>
      </c>
      <c r="B144" s="6" t="str">
        <f>'Inventory master'!B144</f>
        <v>48-Port Fiber Patch Panel</v>
      </c>
      <c r="C144" s="6" t="str">
        <f>'Inventory master'!C144</f>
        <v>Patch Panels</v>
      </c>
      <c r="D144" s="6" t="str">
        <f>'Inventory master'!D144</f>
        <v>Prysmian Group</v>
      </c>
      <c r="E144" s="10" t="str">
        <f>'Inventory master'!E144</f>
        <v>1989.14</v>
      </c>
      <c r="F144" s="10" t="str">
        <f>'Inventory master'!F144</f>
        <v>3164.57</v>
      </c>
      <c r="G144" s="10" t="str">
        <f>'Inventory master'!G144</f>
        <v>25</v>
      </c>
      <c r="H144" s="8">
        <f>IFERROR(_xlfn.XLOOKUP(A144, 'Opening stock'!A144:A743, 'Opening stock'!E144:E743), "")</f>
        <v>375</v>
      </c>
      <c r="I144" s="8">
        <f>IFERROR(SUMIF(Table3[Item ID],'Inventory calculations'!A144,Table3[Quantity]),0)</f>
        <v>0</v>
      </c>
      <c r="J144" s="8">
        <f>IFERROR(SUMIF(Table4[Item ID],'Inventory calculations'!A144,Table4[Quantity Purchased]),0)</f>
        <v>10</v>
      </c>
      <c r="K144" s="10">
        <f t="shared" si="10"/>
        <v>385</v>
      </c>
      <c r="L144" s="6" t="str">
        <f t="shared" si="11"/>
        <v>OK</v>
      </c>
      <c r="M144" s="13">
        <f t="shared" si="8"/>
        <v>765818.9</v>
      </c>
      <c r="N144" s="8">
        <f>Table5[[#This Row],[Total Qty Sold]]*Table5[[#This Row],[Unit Price]]</f>
        <v>0</v>
      </c>
      <c r="O144" s="9"/>
      <c r="P144" s="40" t="str">
        <f ca="1">IF(Table5[[#This Row],[Last sale Date]]="","Never Sold",TODAY()-Table5[[#This Row],[Last sale Date]])</f>
        <v>Never Sold</v>
      </c>
      <c r="Q144" s="6" t="str">
        <f>IF(Table5[[#This Row],[Re order Level]]&lt;=Table5[[#This Row],[Current stock]],"ORDERASAP","OK BUT BE CHECKING")</f>
        <v>OK BUT BE CHECKING</v>
      </c>
      <c r="R144" s="6" t="str">
        <f t="shared" si="9"/>
        <v>ACTIVE</v>
      </c>
      <c r="S144" s="8">
        <f>IF(Table5[[#This Row],[DEADSTOCK FLAG]]="DEAD",Table5[[#This Row],[Inventory Value]],0)</f>
        <v>0</v>
      </c>
    </row>
    <row r="145" spans="1:19" x14ac:dyDescent="0.25">
      <c r="A145" s="24" t="str">
        <f>'Inventory master'!A145</f>
        <v>ITEM144-A</v>
      </c>
      <c r="B145" s="6" t="str">
        <f>'Inventory master'!B145</f>
        <v>48-Port Fiber Patch Panel</v>
      </c>
      <c r="C145" s="6" t="str">
        <f>'Inventory master'!C145</f>
        <v>Patch Panels</v>
      </c>
      <c r="D145" s="6" t="str">
        <f>'Inventory master'!D145</f>
        <v>CommScope</v>
      </c>
      <c r="E145" s="10" t="str">
        <f>'Inventory master'!E145</f>
        <v>130.98</v>
      </c>
      <c r="F145" s="10" t="str">
        <f>'Inventory master'!F145</f>
        <v>219.69</v>
      </c>
      <c r="G145" s="10" t="str">
        <f>'Inventory master'!G145</f>
        <v>82</v>
      </c>
      <c r="H145" s="8">
        <f>IFERROR(_xlfn.XLOOKUP(A145, 'Opening stock'!A145:A744, 'Opening stock'!E145:E744), "")</f>
        <v>1230</v>
      </c>
      <c r="I145" s="8">
        <f>IFERROR(SUMIF(Table3[Item ID],'Inventory calculations'!A145,Table3[Quantity]),0)</f>
        <v>0</v>
      </c>
      <c r="J145" s="8">
        <f>IFERROR(SUMIF(Table4[Item ID],'Inventory calculations'!A145,Table4[Quantity Purchased]),0)</f>
        <v>1</v>
      </c>
      <c r="K145" s="10">
        <f t="shared" si="10"/>
        <v>1231</v>
      </c>
      <c r="L145" s="6" t="str">
        <f t="shared" si="11"/>
        <v>OK</v>
      </c>
      <c r="M145" s="13">
        <f t="shared" si="8"/>
        <v>161236.37999999998</v>
      </c>
      <c r="N145" s="8">
        <f>Table5[[#This Row],[Total Qty Sold]]*Table5[[#This Row],[Unit Price]]</f>
        <v>0</v>
      </c>
      <c r="O145" s="9"/>
      <c r="P145" s="40" t="str">
        <f ca="1">IF(Table5[[#This Row],[Last sale Date]]="","Never Sold",TODAY()-Table5[[#This Row],[Last sale Date]])</f>
        <v>Never Sold</v>
      </c>
      <c r="Q145" s="6" t="str">
        <f>IF(Table5[[#This Row],[Re order Level]]&lt;=Table5[[#This Row],[Current stock]],"ORDERASAP","OK BUT BE CHECKING")</f>
        <v>OK BUT BE CHECKING</v>
      </c>
      <c r="R145" s="6" t="str">
        <f t="shared" si="9"/>
        <v>ACTIVE</v>
      </c>
      <c r="S145" s="8">
        <f>IF(Table5[[#This Row],[DEADSTOCK FLAG]]="DEAD",Table5[[#This Row],[Inventory Value]],0)</f>
        <v>0</v>
      </c>
    </row>
    <row r="146" spans="1:19" x14ac:dyDescent="0.25">
      <c r="A146" s="24" t="str">
        <f>'Inventory master'!A146</f>
        <v>ITEM145-A</v>
      </c>
      <c r="B146" s="6" t="str">
        <f>'Inventory master'!B146</f>
        <v>1x32 PLC Splitter</v>
      </c>
      <c r="C146" s="6" t="str">
        <f>'Inventory master'!C146</f>
        <v>Splitters</v>
      </c>
      <c r="D146" s="6" t="str">
        <f>'Inventory master'!D146</f>
        <v>TE Connectivity</v>
      </c>
      <c r="E146" s="10" t="str">
        <f>'Inventory master'!E146</f>
        <v>1359.87</v>
      </c>
      <c r="F146" s="10" t="str">
        <f>'Inventory master'!F146</f>
        <v>1566.69</v>
      </c>
      <c r="G146" s="10" t="str">
        <f>'Inventory master'!G146</f>
        <v>64</v>
      </c>
      <c r="H146" s="8">
        <f>IFERROR(_xlfn.XLOOKUP(A146, 'Opening stock'!A146:A745, 'Opening stock'!E146:E745), "")</f>
        <v>960</v>
      </c>
      <c r="I146" s="8">
        <f>IFERROR(SUMIF(Table3[Item ID],'Inventory calculations'!A146,Table3[Quantity]),0)</f>
        <v>18</v>
      </c>
      <c r="J146" s="8">
        <f>IFERROR(SUMIF(Table4[Item ID],'Inventory calculations'!A146,Table4[Quantity Purchased]),0)</f>
        <v>26</v>
      </c>
      <c r="K146" s="10">
        <f t="shared" si="10"/>
        <v>968</v>
      </c>
      <c r="L146" s="6" t="str">
        <f t="shared" si="11"/>
        <v>OK</v>
      </c>
      <c r="M146" s="13">
        <f t="shared" si="8"/>
        <v>1316354.1599999999</v>
      </c>
      <c r="N146" s="8">
        <f>Table5[[#This Row],[Total Qty Sold]]*Table5[[#This Row],[Unit Price]]</f>
        <v>28200.420000000002</v>
      </c>
      <c r="O146" s="9">
        <f>IFERROR(_xlfn.MAXIFS(Table3[Date],Table3[Item ID],Table5[[#This Row],[Item ID]]),"")</f>
        <v>45734</v>
      </c>
      <c r="P146" s="40">
        <f ca="1">IF(Table5[[#This Row],[Last sale Date]]="","Never Sold",TODAY()-Table5[[#This Row],[Last sale Date]])</f>
        <v>318</v>
      </c>
      <c r="Q146" s="6" t="str">
        <f>IF(Table5[[#This Row],[Re order Level]]&lt;=Table5[[#This Row],[Current stock]],"ORDERASAP","OK BUT BE CHECKING")</f>
        <v>OK BUT BE CHECKING</v>
      </c>
      <c r="R146" s="6" t="str">
        <f t="shared" si="9"/>
        <v>ACTIVE</v>
      </c>
      <c r="S146" s="8">
        <f>IF(Table5[[#This Row],[DEADSTOCK FLAG]]="DEAD",Table5[[#This Row],[Inventory Value]],0)</f>
        <v>0</v>
      </c>
    </row>
    <row r="147" spans="1:19" x14ac:dyDescent="0.25">
      <c r="A147" s="24" t="str">
        <f>'Inventory master'!A147</f>
        <v>ITEM146-A</v>
      </c>
      <c r="B147" s="6" t="str">
        <f>'Inventory master'!B147</f>
        <v>1x8 PLC Splitter</v>
      </c>
      <c r="C147" s="6" t="str">
        <f>'Inventory master'!C147</f>
        <v>Splitters</v>
      </c>
      <c r="D147" s="6" t="str">
        <f>'Inventory master'!D147</f>
        <v>Panduit</v>
      </c>
      <c r="E147" s="10" t="str">
        <f>'Inventory master'!E147</f>
        <v>1452.2</v>
      </c>
      <c r="F147" s="10" t="str">
        <f>'Inventory master'!F147</f>
        <v>2720.41</v>
      </c>
      <c r="G147" s="10" t="str">
        <f>'Inventory master'!G147</f>
        <v>48</v>
      </c>
      <c r="H147" s="8">
        <f>IFERROR(_xlfn.XLOOKUP(A147, 'Opening stock'!A147:A746, 'Opening stock'!E147:E746), "")</f>
        <v>720</v>
      </c>
      <c r="I147" s="8">
        <f>IFERROR(SUMIF(Table3[Item ID],'Inventory calculations'!A147,Table3[Quantity]),0)</f>
        <v>0</v>
      </c>
      <c r="J147" s="8">
        <f>IFERROR(SUMIF(Table4[Item ID],'Inventory calculations'!A147,Table4[Quantity Purchased]),0)</f>
        <v>11</v>
      </c>
      <c r="K147" s="10">
        <f t="shared" si="10"/>
        <v>731</v>
      </c>
      <c r="L147" s="6" t="str">
        <f t="shared" si="11"/>
        <v>OK</v>
      </c>
      <c r="M147" s="13">
        <f t="shared" si="8"/>
        <v>1061558.2</v>
      </c>
      <c r="N147" s="8">
        <f>Table5[[#This Row],[Total Qty Sold]]*Table5[[#This Row],[Unit Price]]</f>
        <v>0</v>
      </c>
      <c r="O147" s="9"/>
      <c r="P147" s="40" t="str">
        <f ca="1">IF(Table5[[#This Row],[Last sale Date]]="","Never Sold",TODAY()-Table5[[#This Row],[Last sale Date]])</f>
        <v>Never Sold</v>
      </c>
      <c r="Q147" s="6" t="str">
        <f>IF(Table5[[#This Row],[Re order Level]]&lt;=Table5[[#This Row],[Current stock]],"ORDERASAP","OK BUT BE CHECKING")</f>
        <v>OK BUT BE CHECKING</v>
      </c>
      <c r="R147" s="6" t="str">
        <f t="shared" si="9"/>
        <v>ACTIVE</v>
      </c>
      <c r="S147" s="8">
        <f>IF(Table5[[#This Row],[DEADSTOCK FLAG]]="DEAD",Table5[[#This Row],[Inventory Value]],0)</f>
        <v>0</v>
      </c>
    </row>
    <row r="148" spans="1:19" x14ac:dyDescent="0.25">
      <c r="A148" s="24" t="str">
        <f>'Inventory master'!A148</f>
        <v>ITEM147-A</v>
      </c>
      <c r="B148" s="6" t="str">
        <f>'Inventory master'!B148</f>
        <v>Indoor Fiber Cable 100m</v>
      </c>
      <c r="C148" s="6" t="str">
        <f>'Inventory master'!C148</f>
        <v>Fiber Optic Cables</v>
      </c>
      <c r="D148" s="6" t="str">
        <f>'Inventory master'!D148</f>
        <v>TE Connectivity</v>
      </c>
      <c r="E148" s="10" t="str">
        <f>'Inventory master'!E148</f>
        <v>775.41</v>
      </c>
      <c r="F148" s="10" t="str">
        <f>'Inventory master'!F148</f>
        <v>1381.41</v>
      </c>
      <c r="G148" s="10" t="str">
        <f>'Inventory master'!G148</f>
        <v>51</v>
      </c>
      <c r="H148" s="8">
        <f>IFERROR(_xlfn.XLOOKUP(A148, 'Opening stock'!A148:A747, 'Opening stock'!E148:E747), "")</f>
        <v>765</v>
      </c>
      <c r="I148" s="8">
        <f>IFERROR(SUMIF(Table3[Item ID],'Inventory calculations'!A148,Table3[Quantity]),0)</f>
        <v>9</v>
      </c>
      <c r="J148" s="8">
        <f>IFERROR(SUMIF(Table4[Item ID],'Inventory calculations'!A148,Table4[Quantity Purchased]),0)</f>
        <v>0</v>
      </c>
      <c r="K148" s="10">
        <f t="shared" si="10"/>
        <v>756</v>
      </c>
      <c r="L148" s="6" t="str">
        <f t="shared" si="11"/>
        <v>OK</v>
      </c>
      <c r="M148" s="13">
        <f t="shared" si="8"/>
        <v>586209.96</v>
      </c>
      <c r="N148" s="8">
        <f>Table5[[#This Row],[Total Qty Sold]]*Table5[[#This Row],[Unit Price]]</f>
        <v>12432.69</v>
      </c>
      <c r="O148" s="9">
        <f>IFERROR(_xlfn.MAXIFS(Table3[Date],Table3[Item ID],Table5[[#This Row],[Item ID]]),"")</f>
        <v>45571</v>
      </c>
      <c r="P148" s="40">
        <f ca="1">IF(Table5[[#This Row],[Last sale Date]]="","Never Sold",TODAY()-Table5[[#This Row],[Last sale Date]])</f>
        <v>481</v>
      </c>
      <c r="Q148" s="6" t="str">
        <f>IF(Table5[[#This Row],[Re order Level]]&lt;=Table5[[#This Row],[Current stock]],"ORDERASAP","OK BUT BE CHECKING")</f>
        <v>OK BUT BE CHECKING</v>
      </c>
      <c r="R148" s="6" t="str">
        <f t="shared" si="9"/>
        <v>ACTIVE</v>
      </c>
      <c r="S148" s="8">
        <f>IF(Table5[[#This Row],[DEADSTOCK FLAG]]="DEAD",Table5[[#This Row],[Inventory Value]],0)</f>
        <v>0</v>
      </c>
    </row>
    <row r="149" spans="1:19" x14ac:dyDescent="0.25">
      <c r="A149" s="24" t="str">
        <f>'Inventory master'!A149</f>
        <v>ITEM148-A</v>
      </c>
      <c r="B149" s="6" t="str">
        <f>'Inventory master'!B149</f>
        <v>1x32 PLC Splitter</v>
      </c>
      <c r="C149" s="6" t="str">
        <f>'Inventory master'!C149</f>
        <v>Splitters</v>
      </c>
      <c r="D149" s="6" t="str">
        <f>'Inventory master'!D149</f>
        <v>TE Connectivity</v>
      </c>
      <c r="E149" s="10" t="str">
        <f>'Inventory master'!E149</f>
        <v>1417.31</v>
      </c>
      <c r="F149" s="10" t="str">
        <f>'Inventory master'!F149</f>
        <v>2395.4</v>
      </c>
      <c r="G149" s="10" t="str">
        <f>'Inventory master'!G149</f>
        <v>86</v>
      </c>
      <c r="H149" s="8">
        <f>IFERROR(_xlfn.XLOOKUP(A149, 'Opening stock'!A149:A748, 'Opening stock'!E149:E748), "")</f>
        <v>1290</v>
      </c>
      <c r="I149" s="8">
        <f>IFERROR(SUMIF(Table3[Item ID],'Inventory calculations'!A149,Table3[Quantity]),0)</f>
        <v>0</v>
      </c>
      <c r="J149" s="8">
        <f>IFERROR(SUMIF(Table4[Item ID],'Inventory calculations'!A149,Table4[Quantity Purchased]),0)</f>
        <v>0</v>
      </c>
      <c r="K149" s="10">
        <f t="shared" si="10"/>
        <v>1290</v>
      </c>
      <c r="L149" s="6" t="str">
        <f t="shared" si="11"/>
        <v>OK</v>
      </c>
      <c r="M149" s="13">
        <f t="shared" si="8"/>
        <v>1828329.9</v>
      </c>
      <c r="N149" s="8">
        <f>Table5[[#This Row],[Total Qty Sold]]*Table5[[#This Row],[Unit Price]]</f>
        <v>0</v>
      </c>
      <c r="O149" s="9"/>
      <c r="P149" s="40" t="str">
        <f ca="1">IF(Table5[[#This Row],[Last sale Date]]="","Never Sold",TODAY()-Table5[[#This Row],[Last sale Date]])</f>
        <v>Never Sold</v>
      </c>
      <c r="Q149" s="6" t="str">
        <f>IF(Table5[[#This Row],[Re order Level]]&lt;=Table5[[#This Row],[Current stock]],"ORDERASAP","OK BUT BE CHECKING")</f>
        <v>OK BUT BE CHECKING</v>
      </c>
      <c r="R149" s="6" t="str">
        <f t="shared" si="9"/>
        <v>ACTIVE</v>
      </c>
      <c r="S149" s="8">
        <f>IF(Table5[[#This Row],[DEADSTOCK FLAG]]="DEAD",Table5[[#This Row],[Inventory Value]],0)</f>
        <v>0</v>
      </c>
    </row>
    <row r="150" spans="1:19" x14ac:dyDescent="0.25">
      <c r="A150" s="24" t="str">
        <f>'Inventory master'!A150</f>
        <v>ITEM149-A</v>
      </c>
      <c r="B150" s="6" t="str">
        <f>'Inventory master'!B150</f>
        <v>QSFP Transceiver</v>
      </c>
      <c r="C150" s="6" t="str">
        <f>'Inventory master'!C150</f>
        <v>Transceivers</v>
      </c>
      <c r="D150" s="6" t="str">
        <f>'Inventory master'!D150</f>
        <v>Amphenol</v>
      </c>
      <c r="E150" s="10" t="str">
        <f>'Inventory master'!E150</f>
        <v>1801.69</v>
      </c>
      <c r="F150" s="10" t="str">
        <f>'Inventory master'!F150</f>
        <v>2159.55</v>
      </c>
      <c r="G150" s="10" t="str">
        <f>'Inventory master'!G150</f>
        <v>37</v>
      </c>
      <c r="H150" s="8">
        <f>IFERROR(_xlfn.XLOOKUP(A150, 'Opening stock'!A150:A749, 'Opening stock'!E150:E749), "")</f>
        <v>555</v>
      </c>
      <c r="I150" s="8">
        <f>IFERROR(SUMIF(Table3[Item ID],'Inventory calculations'!A150,Table3[Quantity]),0)</f>
        <v>0</v>
      </c>
      <c r="J150" s="8">
        <f>IFERROR(SUMIF(Table4[Item ID],'Inventory calculations'!A150,Table4[Quantity Purchased]),0)</f>
        <v>0</v>
      </c>
      <c r="K150" s="10">
        <f t="shared" si="10"/>
        <v>555</v>
      </c>
      <c r="L150" s="6" t="str">
        <f t="shared" si="11"/>
        <v>OK</v>
      </c>
      <c r="M150" s="13">
        <f t="shared" si="8"/>
        <v>999937.95000000007</v>
      </c>
      <c r="N150" s="8">
        <f>Table5[[#This Row],[Total Qty Sold]]*Table5[[#This Row],[Unit Price]]</f>
        <v>0</v>
      </c>
      <c r="O150" s="9"/>
      <c r="P150" s="40" t="str">
        <f ca="1">IF(Table5[[#This Row],[Last sale Date]]="","Never Sold",TODAY()-Table5[[#This Row],[Last sale Date]])</f>
        <v>Never Sold</v>
      </c>
      <c r="Q150" s="6" t="str">
        <f>IF(Table5[[#This Row],[Re order Level]]&lt;=Table5[[#This Row],[Current stock]],"ORDERASAP","OK BUT BE CHECKING")</f>
        <v>OK BUT BE CHECKING</v>
      </c>
      <c r="R150" s="6" t="str">
        <f t="shared" si="9"/>
        <v>ACTIVE</v>
      </c>
      <c r="S150" s="8">
        <f>IF(Table5[[#This Row],[DEADSTOCK FLAG]]="DEAD",Table5[[#This Row],[Inventory Value]],0)</f>
        <v>0</v>
      </c>
    </row>
    <row r="151" spans="1:19" x14ac:dyDescent="0.25">
      <c r="A151" s="24" t="str">
        <f>'Inventory master'!A151</f>
        <v>ITEM150-A</v>
      </c>
      <c r="B151" s="6" t="str">
        <f>'Inventory master'!B151</f>
        <v>Fiber Cleaner</v>
      </c>
      <c r="C151" s="6" t="str">
        <f>'Inventory master'!C151</f>
        <v>Accessories</v>
      </c>
      <c r="D151" s="6" t="str">
        <f>'Inventory master'!D151</f>
        <v>Belden</v>
      </c>
      <c r="E151" s="10" t="str">
        <f>'Inventory master'!E151</f>
        <v>299.29</v>
      </c>
      <c r="F151" s="10" t="str">
        <f>'Inventory master'!F151</f>
        <v>349.06</v>
      </c>
      <c r="G151" s="10" t="str">
        <f>'Inventory master'!G151</f>
        <v>81</v>
      </c>
      <c r="H151" s="8">
        <f>IFERROR(_xlfn.XLOOKUP(A151, 'Opening stock'!A151:A750, 'Opening stock'!E151:E750), "")</f>
        <v>1215</v>
      </c>
      <c r="I151" s="8">
        <f>IFERROR(SUMIF(Table3[Item ID],'Inventory calculations'!A151,Table3[Quantity]),0)</f>
        <v>0</v>
      </c>
      <c r="J151" s="8">
        <f>IFERROR(SUMIF(Table4[Item ID],'Inventory calculations'!A151,Table4[Quantity Purchased]),0)</f>
        <v>0</v>
      </c>
      <c r="K151" s="10">
        <f t="shared" si="10"/>
        <v>1215</v>
      </c>
      <c r="L151" s="6" t="str">
        <f t="shared" si="11"/>
        <v>OK</v>
      </c>
      <c r="M151" s="13">
        <f t="shared" si="8"/>
        <v>363637.35000000003</v>
      </c>
      <c r="N151" s="8">
        <f>Table5[[#This Row],[Total Qty Sold]]*Table5[[#This Row],[Unit Price]]</f>
        <v>0</v>
      </c>
      <c r="O151" s="9"/>
      <c r="P151" s="40" t="str">
        <f ca="1">IF(Table5[[#This Row],[Last sale Date]]="","Never Sold",TODAY()-Table5[[#This Row],[Last sale Date]])</f>
        <v>Never Sold</v>
      </c>
      <c r="Q151" s="6" t="str">
        <f>IF(Table5[[#This Row],[Re order Level]]&lt;=Table5[[#This Row],[Current stock]],"ORDERASAP","OK BUT BE CHECKING")</f>
        <v>OK BUT BE CHECKING</v>
      </c>
      <c r="R151" s="6" t="str">
        <f t="shared" si="9"/>
        <v>ACTIVE</v>
      </c>
      <c r="S151" s="8">
        <f>IF(Table5[[#This Row],[DEADSTOCK FLAG]]="DEAD",Table5[[#This Row],[Inventory Value]],0)</f>
        <v>0</v>
      </c>
    </row>
    <row r="152" spans="1:19" x14ac:dyDescent="0.25">
      <c r="A152" s="24" t="str">
        <f>'Inventory master'!A152</f>
        <v>ITEM151-A</v>
      </c>
      <c r="B152" s="6" t="str">
        <f>'Inventory master'!B152</f>
        <v>MTP UPC Connector</v>
      </c>
      <c r="C152" s="6" t="str">
        <f>'Inventory master'!C152</f>
        <v>Connectors</v>
      </c>
      <c r="D152" s="6" t="str">
        <f>'Inventory master'!D152</f>
        <v>HellermannTyton</v>
      </c>
      <c r="E152" s="10" t="str">
        <f>'Inventory master'!E152</f>
        <v>1567.24</v>
      </c>
      <c r="F152" s="10" t="str">
        <f>'Inventory master'!F152</f>
        <v>2166.32</v>
      </c>
      <c r="G152" s="10" t="str">
        <f>'Inventory master'!G152</f>
        <v>34</v>
      </c>
      <c r="H152" s="8">
        <f>IFERROR(_xlfn.XLOOKUP(A152, 'Opening stock'!A152:A751, 'Opening stock'!E152:E751), "")</f>
        <v>510</v>
      </c>
      <c r="I152" s="8">
        <f>IFERROR(SUMIF(Table3[Item ID],'Inventory calculations'!A152,Table3[Quantity]),0)</f>
        <v>0</v>
      </c>
      <c r="J152" s="8">
        <f>IFERROR(SUMIF(Table4[Item ID],'Inventory calculations'!A152,Table4[Quantity Purchased]),0)</f>
        <v>12</v>
      </c>
      <c r="K152" s="10">
        <f t="shared" si="10"/>
        <v>522</v>
      </c>
      <c r="L152" s="6" t="str">
        <f t="shared" si="11"/>
        <v>OK</v>
      </c>
      <c r="M152" s="13">
        <f t="shared" si="8"/>
        <v>818099.28</v>
      </c>
      <c r="N152" s="8">
        <f>Table5[[#This Row],[Total Qty Sold]]*Table5[[#This Row],[Unit Price]]</f>
        <v>0</v>
      </c>
      <c r="O152" s="9"/>
      <c r="P152" s="40" t="str">
        <f ca="1">IF(Table5[[#This Row],[Last sale Date]]="","Never Sold",TODAY()-Table5[[#This Row],[Last sale Date]])</f>
        <v>Never Sold</v>
      </c>
      <c r="Q152" s="6" t="str">
        <f>IF(Table5[[#This Row],[Re order Level]]&lt;=Table5[[#This Row],[Current stock]],"ORDERASAP","OK BUT BE CHECKING")</f>
        <v>OK BUT BE CHECKING</v>
      </c>
      <c r="R152" s="6" t="str">
        <f t="shared" si="9"/>
        <v>ACTIVE</v>
      </c>
      <c r="S152" s="8">
        <f>IF(Table5[[#This Row],[DEADSTOCK FLAG]]="DEAD",Table5[[#This Row],[Inventory Value]],0)</f>
        <v>0</v>
      </c>
    </row>
    <row r="153" spans="1:19" x14ac:dyDescent="0.25">
      <c r="A153" s="24" t="str">
        <f>'Inventory master'!A153</f>
        <v>ITEM152-A</v>
      </c>
      <c r="B153" s="6" t="str">
        <f>'Inventory master'!B153</f>
        <v>Multi-Mode Fiber Cable 200m</v>
      </c>
      <c r="C153" s="6" t="str">
        <f>'Inventory master'!C153</f>
        <v>Fiber Optic Cables</v>
      </c>
      <c r="D153" s="6" t="str">
        <f>'Inventory master'!D153</f>
        <v>Panduit</v>
      </c>
      <c r="E153" s="10" t="str">
        <f>'Inventory master'!E153</f>
        <v>1068.98</v>
      </c>
      <c r="F153" s="10" t="str">
        <f>'Inventory master'!F153</f>
        <v>1688.32</v>
      </c>
      <c r="G153" s="10" t="str">
        <f>'Inventory master'!G153</f>
        <v>31</v>
      </c>
      <c r="H153" s="8">
        <f>IFERROR(_xlfn.XLOOKUP(A153, 'Opening stock'!A153:A752, 'Opening stock'!E153:E752), "")</f>
        <v>465</v>
      </c>
      <c r="I153" s="8">
        <f>IFERROR(SUMIF(Table3[Item ID],'Inventory calculations'!A153,Table3[Quantity]),0)</f>
        <v>0</v>
      </c>
      <c r="J153" s="8">
        <f>IFERROR(SUMIF(Table4[Item ID],'Inventory calculations'!A153,Table4[Quantity Purchased]),0)</f>
        <v>11</v>
      </c>
      <c r="K153" s="10">
        <f t="shared" si="10"/>
        <v>476</v>
      </c>
      <c r="L153" s="6" t="str">
        <f t="shared" si="11"/>
        <v>OK</v>
      </c>
      <c r="M153" s="13">
        <f t="shared" si="8"/>
        <v>508834.48</v>
      </c>
      <c r="N153" s="8">
        <f>Table5[[#This Row],[Total Qty Sold]]*Table5[[#This Row],[Unit Price]]</f>
        <v>0</v>
      </c>
      <c r="O153" s="9"/>
      <c r="P153" s="40" t="str">
        <f ca="1">IF(Table5[[#This Row],[Last sale Date]]="","Never Sold",TODAY()-Table5[[#This Row],[Last sale Date]])</f>
        <v>Never Sold</v>
      </c>
      <c r="Q153" s="6" t="str">
        <f>IF(Table5[[#This Row],[Re order Level]]&lt;=Table5[[#This Row],[Current stock]],"ORDERASAP","OK BUT BE CHECKING")</f>
        <v>OK BUT BE CHECKING</v>
      </c>
      <c r="R153" s="6" t="str">
        <f t="shared" si="9"/>
        <v>ACTIVE</v>
      </c>
      <c r="S153" s="8">
        <f>IF(Table5[[#This Row],[DEADSTOCK FLAG]]="DEAD",Table5[[#This Row],[Inventory Value]],0)</f>
        <v>0</v>
      </c>
    </row>
    <row r="154" spans="1:19" x14ac:dyDescent="0.25">
      <c r="A154" s="24" t="str">
        <f>'Inventory master'!A154</f>
        <v>ITEM153-A</v>
      </c>
      <c r="B154" s="6" t="str">
        <f>'Inventory master'!B154</f>
        <v>Pedestal Enclosure</v>
      </c>
      <c r="C154" s="6" t="str">
        <f>'Inventory master'!C154</f>
        <v>Enclosures</v>
      </c>
      <c r="D154" s="6" t="str">
        <f>'Inventory master'!D154</f>
        <v>CommScope</v>
      </c>
      <c r="E154" s="10" t="str">
        <f>'Inventory master'!E154</f>
        <v>506.25</v>
      </c>
      <c r="F154" s="10" t="str">
        <f>'Inventory master'!F154</f>
        <v>569.4</v>
      </c>
      <c r="G154" s="10" t="str">
        <f>'Inventory master'!G154</f>
        <v>38</v>
      </c>
      <c r="H154" s="8">
        <f>IFERROR(_xlfn.XLOOKUP(A154, 'Opening stock'!A154:A753, 'Opening stock'!E154:E753), "")</f>
        <v>570</v>
      </c>
      <c r="I154" s="8">
        <f>IFERROR(SUMIF(Table3[Item ID],'Inventory calculations'!A154,Table3[Quantity]),0)</f>
        <v>0</v>
      </c>
      <c r="J154" s="8">
        <f>IFERROR(SUMIF(Table4[Item ID],'Inventory calculations'!A154,Table4[Quantity Purchased]),0)</f>
        <v>11</v>
      </c>
      <c r="K154" s="10">
        <f t="shared" si="10"/>
        <v>581</v>
      </c>
      <c r="L154" s="6" t="str">
        <f t="shared" si="11"/>
        <v>OK</v>
      </c>
      <c r="M154" s="13">
        <f t="shared" si="8"/>
        <v>294131.25</v>
      </c>
      <c r="N154" s="8">
        <f>Table5[[#This Row],[Total Qty Sold]]*Table5[[#This Row],[Unit Price]]</f>
        <v>0</v>
      </c>
      <c r="O154" s="9"/>
      <c r="P154" s="40" t="str">
        <f ca="1">IF(Table5[[#This Row],[Last sale Date]]="","Never Sold",TODAY()-Table5[[#This Row],[Last sale Date]])</f>
        <v>Never Sold</v>
      </c>
      <c r="Q154" s="6" t="str">
        <f>IF(Table5[[#This Row],[Re order Level]]&lt;=Table5[[#This Row],[Current stock]],"ORDERASAP","OK BUT BE CHECKING")</f>
        <v>OK BUT BE CHECKING</v>
      </c>
      <c r="R154" s="6" t="str">
        <f t="shared" si="9"/>
        <v>ACTIVE</v>
      </c>
      <c r="S154" s="8">
        <f>IF(Table5[[#This Row],[DEADSTOCK FLAG]]="DEAD",Table5[[#This Row],[Inventory Value]],0)</f>
        <v>0</v>
      </c>
    </row>
    <row r="155" spans="1:19" x14ac:dyDescent="0.25">
      <c r="A155" s="24" t="str">
        <f>'Inventory master'!A155</f>
        <v>ITEM154-A</v>
      </c>
      <c r="B155" s="6" t="str">
        <f>'Inventory master'!B155</f>
        <v>Fiber Optic Tester</v>
      </c>
      <c r="C155" s="6" t="str">
        <f>'Inventory master'!C155</f>
        <v>Tools</v>
      </c>
      <c r="D155" s="6" t="str">
        <f>'Inventory master'!D155</f>
        <v>HellermannTyton</v>
      </c>
      <c r="E155" s="10" t="str">
        <f>'Inventory master'!E155</f>
        <v>556.68</v>
      </c>
      <c r="F155" s="10" t="str">
        <f>'Inventory master'!F155</f>
        <v>1001.84</v>
      </c>
      <c r="G155" s="10" t="str">
        <f>'Inventory master'!G155</f>
        <v>65</v>
      </c>
      <c r="H155" s="8">
        <f>IFERROR(_xlfn.XLOOKUP(A155, 'Opening stock'!A155:A754, 'Opening stock'!E155:E754), "")</f>
        <v>975</v>
      </c>
      <c r="I155" s="8">
        <f>IFERROR(SUMIF(Table3[Item ID],'Inventory calculations'!A155,Table3[Quantity]),0)</f>
        <v>0</v>
      </c>
      <c r="J155" s="8">
        <f>IFERROR(SUMIF(Table4[Item ID],'Inventory calculations'!A155,Table4[Quantity Purchased]),0)</f>
        <v>3</v>
      </c>
      <c r="K155" s="10">
        <f t="shared" si="10"/>
        <v>978</v>
      </c>
      <c r="L155" s="6" t="str">
        <f t="shared" si="11"/>
        <v>OK</v>
      </c>
      <c r="M155" s="13">
        <f t="shared" si="8"/>
        <v>544433.03999999992</v>
      </c>
      <c r="N155" s="8">
        <f>Table5[[#This Row],[Total Qty Sold]]*Table5[[#This Row],[Unit Price]]</f>
        <v>0</v>
      </c>
      <c r="O155" s="9"/>
      <c r="P155" s="40" t="str">
        <f ca="1">IF(Table5[[#This Row],[Last sale Date]]="","Never Sold",TODAY()-Table5[[#This Row],[Last sale Date]])</f>
        <v>Never Sold</v>
      </c>
      <c r="Q155" s="6" t="str">
        <f>IF(Table5[[#This Row],[Re order Level]]&lt;=Table5[[#This Row],[Current stock]],"ORDERASAP","OK BUT BE CHECKING")</f>
        <v>OK BUT BE CHECKING</v>
      </c>
      <c r="R155" s="6" t="str">
        <f t="shared" si="9"/>
        <v>ACTIVE</v>
      </c>
      <c r="S155" s="8">
        <f>IF(Table5[[#This Row],[DEADSTOCK FLAG]]="DEAD",Table5[[#This Row],[Inventory Value]],0)</f>
        <v>0</v>
      </c>
    </row>
    <row r="156" spans="1:19" x14ac:dyDescent="0.25">
      <c r="A156" s="24" t="str">
        <f>'Inventory master'!A156</f>
        <v>ITEM155-A</v>
      </c>
      <c r="B156" s="6" t="str">
        <f>'Inventory master'!B156</f>
        <v>Mechanical Splicer</v>
      </c>
      <c r="C156" s="6" t="str">
        <f>'Inventory master'!C156</f>
        <v>Splicers</v>
      </c>
      <c r="D156" s="6" t="str">
        <f>'Inventory master'!D156</f>
        <v>Leviton</v>
      </c>
      <c r="E156" s="10" t="str">
        <f>'Inventory master'!E156</f>
        <v>1636.56</v>
      </c>
      <c r="F156" s="10" t="str">
        <f>'Inventory master'!F156</f>
        <v>2991.32</v>
      </c>
      <c r="G156" s="10" t="str">
        <f>'Inventory master'!G156</f>
        <v>85</v>
      </c>
      <c r="H156" s="8">
        <f>IFERROR(_xlfn.XLOOKUP(A156, 'Opening stock'!A156:A755, 'Opening stock'!E156:E755), "")</f>
        <v>1275</v>
      </c>
      <c r="I156" s="8">
        <f>IFERROR(SUMIF(Table3[Item ID],'Inventory calculations'!A156,Table3[Quantity]),0)</f>
        <v>0</v>
      </c>
      <c r="J156" s="8">
        <f>IFERROR(SUMIF(Table4[Item ID],'Inventory calculations'!A156,Table4[Quantity Purchased]),0)</f>
        <v>0</v>
      </c>
      <c r="K156" s="10">
        <f t="shared" si="10"/>
        <v>1275</v>
      </c>
      <c r="L156" s="6" t="str">
        <f t="shared" si="11"/>
        <v>OK</v>
      </c>
      <c r="M156" s="13">
        <f t="shared" si="8"/>
        <v>2086614</v>
      </c>
      <c r="N156" s="8">
        <f>Table5[[#This Row],[Total Qty Sold]]*Table5[[#This Row],[Unit Price]]</f>
        <v>0</v>
      </c>
      <c r="O156" s="9"/>
      <c r="P156" s="40" t="str">
        <f ca="1">IF(Table5[[#This Row],[Last sale Date]]="","Never Sold",TODAY()-Table5[[#This Row],[Last sale Date]])</f>
        <v>Never Sold</v>
      </c>
      <c r="Q156" s="6" t="str">
        <f>IF(Table5[[#This Row],[Re order Level]]&lt;=Table5[[#This Row],[Current stock]],"ORDERASAP","OK BUT BE CHECKING")</f>
        <v>OK BUT BE CHECKING</v>
      </c>
      <c r="R156" s="6" t="str">
        <f t="shared" si="9"/>
        <v>ACTIVE</v>
      </c>
      <c r="S156" s="8">
        <f>IF(Table5[[#This Row],[DEADSTOCK FLAG]]="DEAD",Table5[[#This Row],[Inventory Value]],0)</f>
        <v>0</v>
      </c>
    </row>
    <row r="157" spans="1:19" x14ac:dyDescent="0.25">
      <c r="A157" s="24" t="str">
        <f>'Inventory master'!A157</f>
        <v>ITEM156-A</v>
      </c>
      <c r="B157" s="6" t="str">
        <f>'Inventory master'!B157</f>
        <v>Pedestal Enclosure</v>
      </c>
      <c r="C157" s="6" t="str">
        <f>'Inventory master'!C157</f>
        <v>Enclosures</v>
      </c>
      <c r="D157" s="6" t="str">
        <f>'Inventory master'!D157</f>
        <v>Prysmian Group</v>
      </c>
      <c r="E157" s="10" t="str">
        <f>'Inventory master'!E157</f>
        <v>1019.63</v>
      </c>
      <c r="F157" s="10" t="str">
        <f>'Inventory master'!F157</f>
        <v>1892.72</v>
      </c>
      <c r="G157" s="10" t="str">
        <f>'Inventory master'!G157</f>
        <v>10</v>
      </c>
      <c r="H157" s="8">
        <f>IFERROR(_xlfn.XLOOKUP(A157, 'Opening stock'!A157:A756, 'Opening stock'!E157:E756), "")</f>
        <v>150</v>
      </c>
      <c r="I157" s="8">
        <f>IFERROR(SUMIF(Table3[Item ID],'Inventory calculations'!A157,Table3[Quantity]),0)</f>
        <v>0</v>
      </c>
      <c r="J157" s="8">
        <f>IFERROR(SUMIF(Table4[Item ID],'Inventory calculations'!A157,Table4[Quantity Purchased]),0)</f>
        <v>5</v>
      </c>
      <c r="K157" s="10">
        <f t="shared" si="10"/>
        <v>155</v>
      </c>
      <c r="L157" s="6" t="str">
        <f t="shared" si="11"/>
        <v>OK</v>
      </c>
      <c r="M157" s="13">
        <f t="shared" si="8"/>
        <v>158042.65</v>
      </c>
      <c r="N157" s="8">
        <f>Table5[[#This Row],[Total Qty Sold]]*Table5[[#This Row],[Unit Price]]</f>
        <v>0</v>
      </c>
      <c r="O157" s="9"/>
      <c r="P157" s="40" t="str">
        <f ca="1">IF(Table5[[#This Row],[Last sale Date]]="","Never Sold",TODAY()-Table5[[#This Row],[Last sale Date]])</f>
        <v>Never Sold</v>
      </c>
      <c r="Q157" s="6" t="str">
        <f>IF(Table5[[#This Row],[Re order Level]]&lt;=Table5[[#This Row],[Current stock]],"ORDERASAP","OK BUT BE CHECKING")</f>
        <v>OK BUT BE CHECKING</v>
      </c>
      <c r="R157" s="6" t="str">
        <f t="shared" si="9"/>
        <v>ACTIVE</v>
      </c>
      <c r="S157" s="8">
        <f>IF(Table5[[#This Row],[DEADSTOCK FLAG]]="DEAD",Table5[[#This Row],[Inventory Value]],0)</f>
        <v>0</v>
      </c>
    </row>
    <row r="158" spans="1:19" x14ac:dyDescent="0.25">
      <c r="A158" s="24" t="str">
        <f>'Inventory master'!A158</f>
        <v>ITEM157-A</v>
      </c>
      <c r="B158" s="6" t="str">
        <f>'Inventory master'!B158</f>
        <v>12-Port Fiber Patch Panel</v>
      </c>
      <c r="C158" s="6" t="str">
        <f>'Inventory master'!C158</f>
        <v>Patch Panels</v>
      </c>
      <c r="D158" s="6" t="str">
        <f>'Inventory master'!D158</f>
        <v>CommScope</v>
      </c>
      <c r="E158" s="10" t="str">
        <f>'Inventory master'!E158</f>
        <v>1472.3</v>
      </c>
      <c r="F158" s="10" t="str">
        <f>'Inventory master'!F158</f>
        <v>2015.11</v>
      </c>
      <c r="G158" s="10" t="str">
        <f>'Inventory master'!G158</f>
        <v>63</v>
      </c>
      <c r="H158" s="8">
        <f>IFERROR(_xlfn.XLOOKUP(A158, 'Opening stock'!A158:A757, 'Opening stock'!E158:E757), "")</f>
        <v>945</v>
      </c>
      <c r="I158" s="8">
        <f>IFERROR(SUMIF(Table3[Item ID],'Inventory calculations'!A158,Table3[Quantity]),0)</f>
        <v>12</v>
      </c>
      <c r="J158" s="8">
        <f>IFERROR(SUMIF(Table4[Item ID],'Inventory calculations'!A158,Table4[Quantity Purchased]),0)</f>
        <v>21</v>
      </c>
      <c r="K158" s="10">
        <f t="shared" si="10"/>
        <v>954</v>
      </c>
      <c r="L158" s="6" t="str">
        <f t="shared" si="11"/>
        <v>OK</v>
      </c>
      <c r="M158" s="13">
        <f t="shared" si="8"/>
        <v>1404574.2</v>
      </c>
      <c r="N158" s="8">
        <f>Table5[[#This Row],[Total Qty Sold]]*Table5[[#This Row],[Unit Price]]</f>
        <v>24181.32</v>
      </c>
      <c r="O158" s="9">
        <f>IFERROR(_xlfn.MAXIFS(Table3[Date],Table3[Item ID],Table5[[#This Row],[Item ID]]),"")</f>
        <v>45563</v>
      </c>
      <c r="P158" s="40">
        <f ca="1">IF(Table5[[#This Row],[Last sale Date]]="","Never Sold",TODAY()-Table5[[#This Row],[Last sale Date]])</f>
        <v>489</v>
      </c>
      <c r="Q158" s="6" t="str">
        <f>IF(Table5[[#This Row],[Re order Level]]&lt;=Table5[[#This Row],[Current stock]],"ORDERASAP","OK BUT BE CHECKING")</f>
        <v>OK BUT BE CHECKING</v>
      </c>
      <c r="R158" s="6" t="str">
        <f t="shared" si="9"/>
        <v>ACTIVE</v>
      </c>
      <c r="S158" s="8">
        <f>IF(Table5[[#This Row],[DEADSTOCK FLAG]]="DEAD",Table5[[#This Row],[Inventory Value]],0)</f>
        <v>0</v>
      </c>
    </row>
    <row r="159" spans="1:19" x14ac:dyDescent="0.25">
      <c r="A159" s="24" t="str">
        <f>'Inventory master'!A159</f>
        <v>ITEM158-A</v>
      </c>
      <c r="B159" s="6" t="str">
        <f>'Inventory master'!B159</f>
        <v>Fixed Attenuator 3dB</v>
      </c>
      <c r="C159" s="6" t="str">
        <f>'Inventory master'!C159</f>
        <v>Attenuators</v>
      </c>
      <c r="D159" s="6" t="str">
        <f>'Inventory master'!D159</f>
        <v>TE Connectivity</v>
      </c>
      <c r="E159" s="10" t="str">
        <f>'Inventory master'!E159</f>
        <v>1896.27</v>
      </c>
      <c r="F159" s="10" t="str">
        <f>'Inventory master'!F159</f>
        <v>3407.56</v>
      </c>
      <c r="G159" s="10" t="str">
        <f>'Inventory master'!G159</f>
        <v>31</v>
      </c>
      <c r="H159" s="8">
        <f>IFERROR(_xlfn.XLOOKUP(A159, 'Opening stock'!A159:A758, 'Opening stock'!E159:E758), "")</f>
        <v>465</v>
      </c>
      <c r="I159" s="8">
        <f>IFERROR(SUMIF(Table3[Item ID],'Inventory calculations'!A159,Table3[Quantity]),0)</f>
        <v>0</v>
      </c>
      <c r="J159" s="8">
        <f>IFERROR(SUMIF(Table4[Item ID],'Inventory calculations'!A159,Table4[Quantity Purchased]),0)</f>
        <v>5</v>
      </c>
      <c r="K159" s="10">
        <f t="shared" si="10"/>
        <v>470</v>
      </c>
      <c r="L159" s="6" t="str">
        <f t="shared" si="11"/>
        <v>OK</v>
      </c>
      <c r="M159" s="13">
        <f t="shared" si="8"/>
        <v>891246.9</v>
      </c>
      <c r="N159" s="8">
        <f>Table5[[#This Row],[Total Qty Sold]]*Table5[[#This Row],[Unit Price]]</f>
        <v>0</v>
      </c>
      <c r="O159" s="9"/>
      <c r="P159" s="40" t="str">
        <f ca="1">IF(Table5[[#This Row],[Last sale Date]]="","Never Sold",TODAY()-Table5[[#This Row],[Last sale Date]])</f>
        <v>Never Sold</v>
      </c>
      <c r="Q159" s="6" t="str">
        <f>IF(Table5[[#This Row],[Re order Level]]&lt;=Table5[[#This Row],[Current stock]],"ORDERASAP","OK BUT BE CHECKING")</f>
        <v>OK BUT BE CHECKING</v>
      </c>
      <c r="R159" s="6" t="str">
        <f t="shared" si="9"/>
        <v>ACTIVE</v>
      </c>
      <c r="S159" s="8">
        <f>IF(Table5[[#This Row],[DEADSTOCK FLAG]]="DEAD",Table5[[#This Row],[Inventory Value]],0)</f>
        <v>0</v>
      </c>
    </row>
    <row r="160" spans="1:19" x14ac:dyDescent="0.25">
      <c r="A160" s="24" t="str">
        <f>'Inventory master'!A160</f>
        <v>ITEM159-A</v>
      </c>
      <c r="B160" s="6" t="str">
        <f>'Inventory master'!B160</f>
        <v>FC UPC Connector</v>
      </c>
      <c r="C160" s="6" t="str">
        <f>'Inventory master'!C160</f>
        <v>Connectors</v>
      </c>
      <c r="D160" s="6" t="str">
        <f>'Inventory master'!D160</f>
        <v>Panduit</v>
      </c>
      <c r="E160" s="10" t="str">
        <f>'Inventory master'!E160</f>
        <v>755.54</v>
      </c>
      <c r="F160" s="10" t="str">
        <f>'Inventory master'!F160</f>
        <v>1351.81</v>
      </c>
      <c r="G160" s="10" t="str">
        <f>'Inventory master'!G160</f>
        <v>86</v>
      </c>
      <c r="H160" s="8">
        <f>IFERROR(_xlfn.XLOOKUP(A160, 'Opening stock'!A160:A759, 'Opening stock'!E160:E759), "")</f>
        <v>1290</v>
      </c>
      <c r="I160" s="8">
        <f>IFERROR(SUMIF(Table3[Item ID],'Inventory calculations'!A160,Table3[Quantity]),0)</f>
        <v>0</v>
      </c>
      <c r="J160" s="8">
        <f>IFERROR(SUMIF(Table4[Item ID],'Inventory calculations'!A160,Table4[Quantity Purchased]),0)</f>
        <v>36</v>
      </c>
      <c r="K160" s="10">
        <f t="shared" si="10"/>
        <v>1326</v>
      </c>
      <c r="L160" s="6" t="str">
        <f t="shared" si="11"/>
        <v>OK</v>
      </c>
      <c r="M160" s="13">
        <f t="shared" si="8"/>
        <v>1001846.0399999999</v>
      </c>
      <c r="N160" s="8">
        <f>Table5[[#This Row],[Total Qty Sold]]*Table5[[#This Row],[Unit Price]]</f>
        <v>0</v>
      </c>
      <c r="O160" s="9"/>
      <c r="P160" s="40" t="str">
        <f ca="1">IF(Table5[[#This Row],[Last sale Date]]="","Never Sold",TODAY()-Table5[[#This Row],[Last sale Date]])</f>
        <v>Never Sold</v>
      </c>
      <c r="Q160" s="6" t="str">
        <f>IF(Table5[[#This Row],[Re order Level]]&lt;=Table5[[#This Row],[Current stock]],"ORDERASAP","OK BUT BE CHECKING")</f>
        <v>OK BUT BE CHECKING</v>
      </c>
      <c r="R160" s="6" t="str">
        <f t="shared" si="9"/>
        <v>ACTIVE</v>
      </c>
      <c r="S160" s="8">
        <f>IF(Table5[[#This Row],[DEADSTOCK FLAG]]="DEAD",Table5[[#This Row],[Inventory Value]],0)</f>
        <v>0</v>
      </c>
    </row>
    <row r="161" spans="1:19" x14ac:dyDescent="0.25">
      <c r="A161" s="24" t="str">
        <f>'Inventory master'!A161</f>
        <v>ITEM160-A</v>
      </c>
      <c r="B161" s="6" t="str">
        <f>'Inventory master'!B161</f>
        <v>Pedestal Enclosure</v>
      </c>
      <c r="C161" s="6" t="str">
        <f>'Inventory master'!C161</f>
        <v>Enclosures</v>
      </c>
      <c r="D161" s="6" t="str">
        <f>'Inventory master'!D161</f>
        <v>Prysmian Group</v>
      </c>
      <c r="E161" s="10" t="str">
        <f>'Inventory master'!E161</f>
        <v>649.64</v>
      </c>
      <c r="F161" s="10" t="str">
        <f>'Inventory master'!F161</f>
        <v>1185.92</v>
      </c>
      <c r="G161" s="10" t="str">
        <f>'Inventory master'!G161</f>
        <v>53</v>
      </c>
      <c r="H161" s="8">
        <f>IFERROR(_xlfn.XLOOKUP(A161, 'Opening stock'!A161:A760, 'Opening stock'!E161:E760), "")</f>
        <v>795</v>
      </c>
      <c r="I161" s="8">
        <f>IFERROR(SUMIF(Table3[Item ID],'Inventory calculations'!A161,Table3[Quantity]),0)</f>
        <v>50</v>
      </c>
      <c r="J161" s="8">
        <f>IFERROR(SUMIF(Table4[Item ID],'Inventory calculations'!A161,Table4[Quantity Purchased]),0)</f>
        <v>0</v>
      </c>
      <c r="K161" s="10">
        <f t="shared" si="10"/>
        <v>745</v>
      </c>
      <c r="L161" s="6" t="str">
        <f t="shared" si="11"/>
        <v>OK</v>
      </c>
      <c r="M161" s="13">
        <f t="shared" si="8"/>
        <v>483981.8</v>
      </c>
      <c r="N161" s="8">
        <f>Table5[[#This Row],[Total Qty Sold]]*Table5[[#This Row],[Unit Price]]</f>
        <v>59296</v>
      </c>
      <c r="O161" s="9">
        <f>IFERROR(_xlfn.MAXIFS(Table3[Date],Table3[Item ID],Table5[[#This Row],[Item ID]]),"")</f>
        <v>45576</v>
      </c>
      <c r="P161" s="40">
        <f ca="1">IF(Table5[[#This Row],[Last sale Date]]="","Never Sold",TODAY()-Table5[[#This Row],[Last sale Date]])</f>
        <v>476</v>
      </c>
      <c r="Q161" s="6" t="str">
        <f>IF(Table5[[#This Row],[Re order Level]]&lt;=Table5[[#This Row],[Current stock]],"ORDERASAP","OK BUT BE CHECKING")</f>
        <v>OK BUT BE CHECKING</v>
      </c>
      <c r="R161" s="6" t="str">
        <f t="shared" si="9"/>
        <v>ACTIVE</v>
      </c>
      <c r="S161" s="8">
        <f>IF(Table5[[#This Row],[DEADSTOCK FLAG]]="DEAD",Table5[[#This Row],[Inventory Value]],0)</f>
        <v>0</v>
      </c>
    </row>
    <row r="162" spans="1:19" x14ac:dyDescent="0.25">
      <c r="A162" s="24" t="str">
        <f>'Inventory master'!A162</f>
        <v>ITEM161-A</v>
      </c>
      <c r="B162" s="6" t="str">
        <f>'Inventory master'!B162</f>
        <v>24-Port Fiber Patch Panel</v>
      </c>
      <c r="C162" s="6" t="str">
        <f>'Inventory master'!C162</f>
        <v>Patch Panels</v>
      </c>
      <c r="D162" s="6" t="str">
        <f>'Inventory master'!D162</f>
        <v>Panduit</v>
      </c>
      <c r="E162" s="10" t="str">
        <f>'Inventory master'!E162</f>
        <v>557.53</v>
      </c>
      <c r="F162" s="10" t="str">
        <f>'Inventory master'!F162</f>
        <v>904.64</v>
      </c>
      <c r="G162" s="10" t="str">
        <f>'Inventory master'!G162</f>
        <v>17</v>
      </c>
      <c r="H162" s="8">
        <f>IFERROR(_xlfn.XLOOKUP(A162, 'Opening stock'!A162:A761, 'Opening stock'!E162:E761), "")</f>
        <v>255</v>
      </c>
      <c r="I162" s="8">
        <f>IFERROR(SUMIF(Table3[Item ID],'Inventory calculations'!A162,Table3[Quantity]),0)</f>
        <v>0</v>
      </c>
      <c r="J162" s="8">
        <f>IFERROR(SUMIF(Table4[Item ID],'Inventory calculations'!A162,Table4[Quantity Purchased]),0)</f>
        <v>2</v>
      </c>
      <c r="K162" s="10">
        <f t="shared" si="10"/>
        <v>257</v>
      </c>
      <c r="L162" s="6" t="str">
        <f t="shared" si="11"/>
        <v>OK</v>
      </c>
      <c r="M162" s="13">
        <f t="shared" si="8"/>
        <v>143285.21</v>
      </c>
      <c r="N162" s="8">
        <f>Table5[[#This Row],[Total Qty Sold]]*Table5[[#This Row],[Unit Price]]</f>
        <v>0</v>
      </c>
      <c r="O162" s="9"/>
      <c r="P162" s="40" t="str">
        <f ca="1">IF(Table5[[#This Row],[Last sale Date]]="","Never Sold",TODAY()-Table5[[#This Row],[Last sale Date]])</f>
        <v>Never Sold</v>
      </c>
      <c r="Q162" s="6" t="str">
        <f>IF(Table5[[#This Row],[Re order Level]]&lt;=Table5[[#This Row],[Current stock]],"ORDERASAP","OK BUT BE CHECKING")</f>
        <v>OK BUT BE CHECKING</v>
      </c>
      <c r="R162" s="6" t="str">
        <f t="shared" si="9"/>
        <v>ACTIVE</v>
      </c>
      <c r="S162" s="8">
        <f>IF(Table5[[#This Row],[DEADSTOCK FLAG]]="DEAD",Table5[[#This Row],[Inventory Value]],0)</f>
        <v>0</v>
      </c>
    </row>
    <row r="163" spans="1:19" x14ac:dyDescent="0.25">
      <c r="A163" s="24" t="str">
        <f>'Inventory master'!A163</f>
        <v>ITEM162-A</v>
      </c>
      <c r="B163" s="6" t="str">
        <f>'Inventory master'!B163</f>
        <v>72-Port Fiber Patch Panel</v>
      </c>
      <c r="C163" s="6" t="str">
        <f>'Inventory master'!C163</f>
        <v>Patch Panels</v>
      </c>
      <c r="D163" s="6" t="str">
        <f>'Inventory master'!D163</f>
        <v>CommScope</v>
      </c>
      <c r="E163" s="10" t="str">
        <f>'Inventory master'!E163</f>
        <v>724.45</v>
      </c>
      <c r="F163" s="10" t="str">
        <f>'Inventory master'!F163</f>
        <v>822.0</v>
      </c>
      <c r="G163" s="10" t="str">
        <f>'Inventory master'!G163</f>
        <v>61</v>
      </c>
      <c r="H163" s="8">
        <f>IFERROR(_xlfn.XLOOKUP(A163, 'Opening stock'!A163:A762, 'Opening stock'!E163:E762), "")</f>
        <v>915</v>
      </c>
      <c r="I163" s="8">
        <f>IFERROR(SUMIF(Table3[Item ID],'Inventory calculations'!A163,Table3[Quantity]),0)</f>
        <v>130</v>
      </c>
      <c r="J163" s="8">
        <f>IFERROR(SUMIF(Table4[Item ID],'Inventory calculations'!A163,Table4[Quantity Purchased]),0)</f>
        <v>19</v>
      </c>
      <c r="K163" s="10">
        <f t="shared" si="10"/>
        <v>804</v>
      </c>
      <c r="L163" s="6" t="str">
        <f t="shared" si="11"/>
        <v>OK</v>
      </c>
      <c r="M163" s="13">
        <f t="shared" si="8"/>
        <v>582457.80000000005</v>
      </c>
      <c r="N163" s="8">
        <f>Table5[[#This Row],[Total Qty Sold]]*Table5[[#This Row],[Unit Price]]</f>
        <v>106860</v>
      </c>
      <c r="O163" s="9">
        <f>IFERROR(_xlfn.MAXIFS(Table3[Date],Table3[Item ID],Table5[[#This Row],[Item ID]]),"")</f>
        <v>45641</v>
      </c>
      <c r="P163" s="40">
        <f ca="1">IF(Table5[[#This Row],[Last sale Date]]="","Never Sold",TODAY()-Table5[[#This Row],[Last sale Date]])</f>
        <v>411</v>
      </c>
      <c r="Q163" s="6" t="str">
        <f>IF(Table5[[#This Row],[Re order Level]]&lt;=Table5[[#This Row],[Current stock]],"ORDERASAP","OK BUT BE CHECKING")</f>
        <v>OK BUT BE CHECKING</v>
      </c>
      <c r="R163" s="6" t="str">
        <f t="shared" si="9"/>
        <v>ACTIVE</v>
      </c>
      <c r="S163" s="8">
        <f>IF(Table5[[#This Row],[DEADSTOCK FLAG]]="DEAD",Table5[[#This Row],[Inventory Value]],0)</f>
        <v>0</v>
      </c>
    </row>
    <row r="164" spans="1:19" x14ac:dyDescent="0.25">
      <c r="A164" s="24" t="str">
        <f>'Inventory master'!A164</f>
        <v>ITEM163-A</v>
      </c>
      <c r="B164" s="6" t="str">
        <f>'Inventory master'!B164</f>
        <v>12-Port Fiber Patch Panel</v>
      </c>
      <c r="C164" s="6" t="str">
        <f>'Inventory master'!C164</f>
        <v>Patch Panels</v>
      </c>
      <c r="D164" s="6" t="str">
        <f>'Inventory master'!D164</f>
        <v>Belden</v>
      </c>
      <c r="E164" s="10" t="str">
        <f>'Inventory master'!E164</f>
        <v>432.74</v>
      </c>
      <c r="F164" s="10" t="str">
        <f>'Inventory master'!F164</f>
        <v>783.17</v>
      </c>
      <c r="G164" s="10" t="str">
        <f>'Inventory master'!G164</f>
        <v>81</v>
      </c>
      <c r="H164" s="8">
        <f>IFERROR(_xlfn.XLOOKUP(A164, 'Opening stock'!A164:A763, 'Opening stock'!E164:E763), "")</f>
        <v>1215</v>
      </c>
      <c r="I164" s="8">
        <f>IFERROR(SUMIF(Table3[Item ID],'Inventory calculations'!A164,Table3[Quantity]),0)</f>
        <v>0</v>
      </c>
      <c r="J164" s="8">
        <f>IFERROR(SUMIF(Table4[Item ID],'Inventory calculations'!A164,Table4[Quantity Purchased]),0)</f>
        <v>4</v>
      </c>
      <c r="K164" s="10">
        <f t="shared" si="10"/>
        <v>1219</v>
      </c>
      <c r="L164" s="6" t="str">
        <f t="shared" si="11"/>
        <v>OK</v>
      </c>
      <c r="M164" s="13">
        <f t="shared" si="8"/>
        <v>527510.06000000006</v>
      </c>
      <c r="N164" s="8">
        <f>Table5[[#This Row],[Total Qty Sold]]*Table5[[#This Row],[Unit Price]]</f>
        <v>0</v>
      </c>
      <c r="O164" s="9"/>
      <c r="P164" s="40" t="str">
        <f ca="1">IF(Table5[[#This Row],[Last sale Date]]="","Never Sold",TODAY()-Table5[[#This Row],[Last sale Date]])</f>
        <v>Never Sold</v>
      </c>
      <c r="Q164" s="6" t="str">
        <f>IF(Table5[[#This Row],[Re order Level]]&lt;=Table5[[#This Row],[Current stock]],"ORDERASAP","OK BUT BE CHECKING")</f>
        <v>OK BUT BE CHECKING</v>
      </c>
      <c r="R164" s="6" t="str">
        <f t="shared" si="9"/>
        <v>ACTIVE</v>
      </c>
      <c r="S164" s="8">
        <f>IF(Table5[[#This Row],[DEADSTOCK FLAG]]="DEAD",Table5[[#This Row],[Inventory Value]],0)</f>
        <v>0</v>
      </c>
    </row>
    <row r="165" spans="1:19" x14ac:dyDescent="0.25">
      <c r="A165" s="24" t="str">
        <f>'Inventory master'!A165</f>
        <v>ITEM164-A</v>
      </c>
      <c r="B165" s="6" t="str">
        <f>'Inventory master'!B165</f>
        <v>SFP Transceiver</v>
      </c>
      <c r="C165" s="6" t="str">
        <f>'Inventory master'!C165</f>
        <v>Transceivers</v>
      </c>
      <c r="D165" s="6" t="str">
        <f>'Inventory master'!D165</f>
        <v>HellermannTyton</v>
      </c>
      <c r="E165" s="10" t="str">
        <f>'Inventory master'!E165</f>
        <v>1182.98</v>
      </c>
      <c r="F165" s="10" t="str">
        <f>'Inventory master'!F165</f>
        <v>2122.61</v>
      </c>
      <c r="G165" s="10" t="str">
        <f>'Inventory master'!G165</f>
        <v>81</v>
      </c>
      <c r="H165" s="8">
        <f>IFERROR(_xlfn.XLOOKUP(A165, 'Opening stock'!A165:A764, 'Opening stock'!E165:E764), "")</f>
        <v>1215</v>
      </c>
      <c r="I165" s="8">
        <f>IFERROR(SUMIF(Table3[Item ID],'Inventory calculations'!A165,Table3[Quantity]),0)</f>
        <v>23</v>
      </c>
      <c r="J165" s="8">
        <f>IFERROR(SUMIF(Table4[Item ID],'Inventory calculations'!A165,Table4[Quantity Purchased]),0)</f>
        <v>20</v>
      </c>
      <c r="K165" s="10">
        <f t="shared" si="10"/>
        <v>1212</v>
      </c>
      <c r="L165" s="6" t="str">
        <f t="shared" si="11"/>
        <v>OK</v>
      </c>
      <c r="M165" s="13">
        <f t="shared" si="8"/>
        <v>1433771.76</v>
      </c>
      <c r="N165" s="8">
        <f>Table5[[#This Row],[Total Qty Sold]]*Table5[[#This Row],[Unit Price]]</f>
        <v>48820.030000000006</v>
      </c>
      <c r="O165" s="9">
        <f>IFERROR(_xlfn.MAXIFS(Table3[Date],Table3[Item ID],Table5[[#This Row],[Item ID]]),"")</f>
        <v>45666</v>
      </c>
      <c r="P165" s="40">
        <f ca="1">IF(Table5[[#This Row],[Last sale Date]]="","Never Sold",TODAY()-Table5[[#This Row],[Last sale Date]])</f>
        <v>386</v>
      </c>
      <c r="Q165" s="6" t="str">
        <f>IF(Table5[[#This Row],[Re order Level]]&lt;=Table5[[#This Row],[Current stock]],"ORDERASAP","OK BUT BE CHECKING")</f>
        <v>OK BUT BE CHECKING</v>
      </c>
      <c r="R165" s="6" t="str">
        <f t="shared" si="9"/>
        <v>ACTIVE</v>
      </c>
      <c r="S165" s="8">
        <f>IF(Table5[[#This Row],[DEADSTOCK FLAG]]="DEAD",Table5[[#This Row],[Inventory Value]],0)</f>
        <v>0</v>
      </c>
    </row>
    <row r="166" spans="1:19" x14ac:dyDescent="0.25">
      <c r="A166" s="24" t="str">
        <f>'Inventory master'!A166</f>
        <v>ITEM165-A</v>
      </c>
      <c r="B166" s="6" t="str">
        <f>'Inventory master'!B166</f>
        <v>1x32 PLC Splitter</v>
      </c>
      <c r="C166" s="6" t="str">
        <f>'Inventory master'!C166</f>
        <v>Splitters</v>
      </c>
      <c r="D166" s="6" t="str">
        <f>'Inventory master'!D166</f>
        <v>Prysmian Group</v>
      </c>
      <c r="E166" s="10" t="str">
        <f>'Inventory master'!E166</f>
        <v>642.04</v>
      </c>
      <c r="F166" s="10" t="str">
        <f>'Inventory master'!F166</f>
        <v>1179.39</v>
      </c>
      <c r="G166" s="10" t="str">
        <f>'Inventory master'!G166</f>
        <v>21</v>
      </c>
      <c r="H166" s="8">
        <f>IFERROR(_xlfn.XLOOKUP(A166, 'Opening stock'!A166:A765, 'Opening stock'!E166:E765), "")</f>
        <v>315</v>
      </c>
      <c r="I166" s="8">
        <f>IFERROR(SUMIF(Table3[Item ID],'Inventory calculations'!A166,Table3[Quantity]),0)</f>
        <v>0</v>
      </c>
      <c r="J166" s="8">
        <f>IFERROR(SUMIF(Table4[Item ID],'Inventory calculations'!A166,Table4[Quantity Purchased]),0)</f>
        <v>6</v>
      </c>
      <c r="K166" s="10">
        <f t="shared" si="10"/>
        <v>321</v>
      </c>
      <c r="L166" s="6" t="str">
        <f t="shared" si="11"/>
        <v>OK</v>
      </c>
      <c r="M166" s="13">
        <f t="shared" si="8"/>
        <v>206094.84</v>
      </c>
      <c r="N166" s="8">
        <f>Table5[[#This Row],[Total Qty Sold]]*Table5[[#This Row],[Unit Price]]</f>
        <v>0</v>
      </c>
      <c r="O166" s="9"/>
      <c r="P166" s="40" t="str">
        <f ca="1">IF(Table5[[#This Row],[Last sale Date]]="","Never Sold",TODAY()-Table5[[#This Row],[Last sale Date]])</f>
        <v>Never Sold</v>
      </c>
      <c r="Q166" s="6" t="str">
        <f>IF(Table5[[#This Row],[Re order Level]]&lt;=Table5[[#This Row],[Current stock]],"ORDERASAP","OK BUT BE CHECKING")</f>
        <v>OK BUT BE CHECKING</v>
      </c>
      <c r="R166" s="6" t="str">
        <f t="shared" si="9"/>
        <v>ACTIVE</v>
      </c>
      <c r="S166" s="8">
        <f>IF(Table5[[#This Row],[DEADSTOCK FLAG]]="DEAD",Table5[[#This Row],[Inventory Value]],0)</f>
        <v>0</v>
      </c>
    </row>
    <row r="167" spans="1:19" x14ac:dyDescent="0.25">
      <c r="A167" s="24" t="str">
        <f>'Inventory master'!A167</f>
        <v>ITEM166-A</v>
      </c>
      <c r="B167" s="6" t="str">
        <f>'Inventory master'!B167</f>
        <v>MTP UPC Connector</v>
      </c>
      <c r="C167" s="6" t="str">
        <f>'Inventory master'!C167</f>
        <v>Connectors</v>
      </c>
      <c r="D167" s="6" t="str">
        <f>'Inventory master'!D167</f>
        <v>Prysmian Group</v>
      </c>
      <c r="E167" s="10" t="str">
        <f>'Inventory master'!E167</f>
        <v>475.3</v>
      </c>
      <c r="F167" s="10" t="str">
        <f>'Inventory master'!F167</f>
        <v>649.71</v>
      </c>
      <c r="G167" s="10" t="str">
        <f>'Inventory master'!G167</f>
        <v>34</v>
      </c>
      <c r="H167" s="8">
        <f>IFERROR(_xlfn.XLOOKUP(A167, 'Opening stock'!A167:A766, 'Opening stock'!E167:E766), "")</f>
        <v>510</v>
      </c>
      <c r="I167" s="8">
        <f>IFERROR(SUMIF(Table3[Item ID],'Inventory calculations'!A167,Table3[Quantity]),0)</f>
        <v>0</v>
      </c>
      <c r="J167" s="8">
        <f>IFERROR(SUMIF(Table4[Item ID],'Inventory calculations'!A167,Table4[Quantity Purchased]),0)</f>
        <v>28</v>
      </c>
      <c r="K167" s="10">
        <f t="shared" si="10"/>
        <v>538</v>
      </c>
      <c r="L167" s="6" t="str">
        <f t="shared" si="11"/>
        <v>OK</v>
      </c>
      <c r="M167" s="13">
        <f t="shared" si="8"/>
        <v>255711.4</v>
      </c>
      <c r="N167" s="8">
        <f>Table5[[#This Row],[Total Qty Sold]]*Table5[[#This Row],[Unit Price]]</f>
        <v>0</v>
      </c>
      <c r="O167" s="9"/>
      <c r="P167" s="40" t="str">
        <f ca="1">IF(Table5[[#This Row],[Last sale Date]]="","Never Sold",TODAY()-Table5[[#This Row],[Last sale Date]])</f>
        <v>Never Sold</v>
      </c>
      <c r="Q167" s="6" t="str">
        <f>IF(Table5[[#This Row],[Re order Level]]&lt;=Table5[[#This Row],[Current stock]],"ORDERASAP","OK BUT BE CHECKING")</f>
        <v>OK BUT BE CHECKING</v>
      </c>
      <c r="R167" s="6" t="str">
        <f t="shared" si="9"/>
        <v>ACTIVE</v>
      </c>
      <c r="S167" s="8">
        <f>IF(Table5[[#This Row],[DEADSTOCK FLAG]]="DEAD",Table5[[#This Row],[Inventory Value]],0)</f>
        <v>0</v>
      </c>
    </row>
    <row r="168" spans="1:19" x14ac:dyDescent="0.25">
      <c r="A168" s="24" t="str">
        <f>'Inventory master'!A168</f>
        <v>ITEM167-A</v>
      </c>
      <c r="B168" s="6" t="str">
        <f>'Inventory master'!B168</f>
        <v>1x4 PLC Splitter</v>
      </c>
      <c r="C168" s="6" t="str">
        <f>'Inventory master'!C168</f>
        <v>Splitters</v>
      </c>
      <c r="D168" s="6" t="str">
        <f>'Inventory master'!D168</f>
        <v>HellermannTyton</v>
      </c>
      <c r="E168" s="10" t="str">
        <f>'Inventory master'!E168</f>
        <v>461.01</v>
      </c>
      <c r="F168" s="10" t="str">
        <f>'Inventory master'!F168</f>
        <v>868.5</v>
      </c>
      <c r="G168" s="10" t="str">
        <f>'Inventory master'!G168</f>
        <v>96</v>
      </c>
      <c r="H168" s="8">
        <f>IFERROR(_xlfn.XLOOKUP(A168, 'Opening stock'!A168:A767, 'Opening stock'!E168:E767), "")</f>
        <v>1440</v>
      </c>
      <c r="I168" s="8">
        <f>IFERROR(SUMIF(Table3[Item ID],'Inventory calculations'!A168,Table3[Quantity]),0)</f>
        <v>0</v>
      </c>
      <c r="J168" s="8">
        <f>IFERROR(SUMIF(Table4[Item ID],'Inventory calculations'!A168,Table4[Quantity Purchased]),0)</f>
        <v>27</v>
      </c>
      <c r="K168" s="10">
        <f t="shared" si="10"/>
        <v>1467</v>
      </c>
      <c r="L168" s="6" t="str">
        <f t="shared" si="11"/>
        <v>OK</v>
      </c>
      <c r="M168" s="13">
        <f t="shared" si="8"/>
        <v>676301.67</v>
      </c>
      <c r="N168" s="8">
        <f>Table5[[#This Row],[Total Qty Sold]]*Table5[[#This Row],[Unit Price]]</f>
        <v>0</v>
      </c>
      <c r="O168" s="9"/>
      <c r="P168" s="40" t="str">
        <f ca="1">IF(Table5[[#This Row],[Last sale Date]]="","Never Sold",TODAY()-Table5[[#This Row],[Last sale Date]])</f>
        <v>Never Sold</v>
      </c>
      <c r="Q168" s="6" t="str">
        <f>IF(Table5[[#This Row],[Re order Level]]&lt;=Table5[[#This Row],[Current stock]],"ORDERASAP","OK BUT BE CHECKING")</f>
        <v>OK BUT BE CHECKING</v>
      </c>
      <c r="R168" s="6" t="str">
        <f t="shared" si="9"/>
        <v>ACTIVE</v>
      </c>
      <c r="S168" s="8">
        <f>IF(Table5[[#This Row],[DEADSTOCK FLAG]]="DEAD",Table5[[#This Row],[Inventory Value]],0)</f>
        <v>0</v>
      </c>
    </row>
    <row r="169" spans="1:19" x14ac:dyDescent="0.25">
      <c r="A169" s="24" t="str">
        <f>'Inventory master'!A169</f>
        <v>ITEM168-A</v>
      </c>
      <c r="B169" s="6" t="str">
        <f>'Inventory master'!B169</f>
        <v>Fixed Attenuator 2dB</v>
      </c>
      <c r="C169" s="6" t="str">
        <f>'Inventory master'!C169</f>
        <v>Attenuators</v>
      </c>
      <c r="D169" s="6" t="str">
        <f>'Inventory master'!D169</f>
        <v>CommScope</v>
      </c>
      <c r="E169" s="10" t="str">
        <f>'Inventory master'!E169</f>
        <v>1548.11</v>
      </c>
      <c r="F169" s="10" t="str">
        <f>'Inventory master'!F169</f>
        <v>2421.28</v>
      </c>
      <c r="G169" s="10" t="str">
        <f>'Inventory master'!G169</f>
        <v>53</v>
      </c>
      <c r="H169" s="8">
        <f>IFERROR(_xlfn.XLOOKUP(A169, 'Opening stock'!A169:A768, 'Opening stock'!E169:E768), "")</f>
        <v>795</v>
      </c>
      <c r="I169" s="8">
        <f>IFERROR(SUMIF(Table3[Item ID],'Inventory calculations'!A169,Table3[Quantity]),0)</f>
        <v>0</v>
      </c>
      <c r="J169" s="8">
        <f>IFERROR(SUMIF(Table4[Item ID],'Inventory calculations'!A169,Table4[Quantity Purchased]),0)</f>
        <v>0</v>
      </c>
      <c r="K169" s="10">
        <f t="shared" si="10"/>
        <v>795</v>
      </c>
      <c r="L169" s="6" t="str">
        <f t="shared" si="11"/>
        <v>OK</v>
      </c>
      <c r="M169" s="13">
        <f t="shared" si="8"/>
        <v>1230747.45</v>
      </c>
      <c r="N169" s="8">
        <f>Table5[[#This Row],[Total Qty Sold]]*Table5[[#This Row],[Unit Price]]</f>
        <v>0</v>
      </c>
      <c r="O169" s="9"/>
      <c r="P169" s="40" t="str">
        <f ca="1">IF(Table5[[#This Row],[Last sale Date]]="","Never Sold",TODAY()-Table5[[#This Row],[Last sale Date]])</f>
        <v>Never Sold</v>
      </c>
      <c r="Q169" s="6" t="str">
        <f>IF(Table5[[#This Row],[Re order Level]]&lt;=Table5[[#This Row],[Current stock]],"ORDERASAP","OK BUT BE CHECKING")</f>
        <v>OK BUT BE CHECKING</v>
      </c>
      <c r="R169" s="6" t="str">
        <f t="shared" si="9"/>
        <v>ACTIVE</v>
      </c>
      <c r="S169" s="8">
        <f>IF(Table5[[#This Row],[DEADSTOCK FLAG]]="DEAD",Table5[[#This Row],[Inventory Value]],0)</f>
        <v>0</v>
      </c>
    </row>
    <row r="170" spans="1:19" x14ac:dyDescent="0.25">
      <c r="A170" s="24" t="str">
        <f>'Inventory master'!A170</f>
        <v>ITEM169-A</v>
      </c>
      <c r="B170" s="6" t="str">
        <f>'Inventory master'!B170</f>
        <v>Outdoor Fiber Cable 50m</v>
      </c>
      <c r="C170" s="6" t="str">
        <f>'Inventory master'!C170</f>
        <v>Fiber Optic Cables</v>
      </c>
      <c r="D170" s="6" t="str">
        <f>'Inventory master'!D170</f>
        <v>Amphenol</v>
      </c>
      <c r="E170" s="10" t="str">
        <f>'Inventory master'!E170</f>
        <v>499.16</v>
      </c>
      <c r="F170" s="10" t="str">
        <f>'Inventory master'!F170</f>
        <v>925.16</v>
      </c>
      <c r="G170" s="10" t="str">
        <f>'Inventory master'!G170</f>
        <v>41</v>
      </c>
      <c r="H170" s="8">
        <f>IFERROR(_xlfn.XLOOKUP(A170, 'Opening stock'!A170:A769, 'Opening stock'!E170:E769), "")</f>
        <v>615</v>
      </c>
      <c r="I170" s="8">
        <f>IFERROR(SUMIF(Table3[Item ID],'Inventory calculations'!A170,Table3[Quantity]),0)</f>
        <v>0</v>
      </c>
      <c r="J170" s="8">
        <f>IFERROR(SUMIF(Table4[Item ID],'Inventory calculations'!A170,Table4[Quantity Purchased]),0)</f>
        <v>3</v>
      </c>
      <c r="K170" s="10">
        <f t="shared" si="10"/>
        <v>618</v>
      </c>
      <c r="L170" s="6" t="str">
        <f t="shared" si="11"/>
        <v>OK</v>
      </c>
      <c r="M170" s="13">
        <f t="shared" si="8"/>
        <v>308480.88</v>
      </c>
      <c r="N170" s="8">
        <f>Table5[[#This Row],[Total Qty Sold]]*Table5[[#This Row],[Unit Price]]</f>
        <v>0</v>
      </c>
      <c r="O170" s="9"/>
      <c r="P170" s="40" t="str">
        <f ca="1">IF(Table5[[#This Row],[Last sale Date]]="","Never Sold",TODAY()-Table5[[#This Row],[Last sale Date]])</f>
        <v>Never Sold</v>
      </c>
      <c r="Q170" s="6" t="str">
        <f>IF(Table5[[#This Row],[Re order Level]]&lt;=Table5[[#This Row],[Current stock]],"ORDERASAP","OK BUT BE CHECKING")</f>
        <v>OK BUT BE CHECKING</v>
      </c>
      <c r="R170" s="6" t="str">
        <f t="shared" si="9"/>
        <v>ACTIVE</v>
      </c>
      <c r="S170" s="8">
        <f>IF(Table5[[#This Row],[DEADSTOCK FLAG]]="DEAD",Table5[[#This Row],[Inventory Value]],0)</f>
        <v>0</v>
      </c>
    </row>
    <row r="171" spans="1:19" x14ac:dyDescent="0.25">
      <c r="A171" s="24" t="str">
        <f>'Inventory master'!A171</f>
        <v>ITEM170-A</v>
      </c>
      <c r="B171" s="6" t="str">
        <f>'Inventory master'!B171</f>
        <v>72-Port Fiber Patch Panel</v>
      </c>
      <c r="C171" s="6" t="str">
        <f>'Inventory master'!C171</f>
        <v>Patch Panels</v>
      </c>
      <c r="D171" s="6" t="str">
        <f>'Inventory master'!D171</f>
        <v>Corning Inc.</v>
      </c>
      <c r="E171" s="10" t="str">
        <f>'Inventory master'!E171</f>
        <v>1008.58</v>
      </c>
      <c r="F171" s="10" t="str">
        <f>'Inventory master'!F171</f>
        <v>1408.56</v>
      </c>
      <c r="G171" s="10" t="str">
        <f>'Inventory master'!G171</f>
        <v>93</v>
      </c>
      <c r="H171" s="8">
        <f>IFERROR(_xlfn.XLOOKUP(A171, 'Opening stock'!A171:A770, 'Opening stock'!E171:E770), "")</f>
        <v>1395</v>
      </c>
      <c r="I171" s="8">
        <f>IFERROR(SUMIF(Table3[Item ID],'Inventory calculations'!A171,Table3[Quantity]),0)</f>
        <v>0</v>
      </c>
      <c r="J171" s="8">
        <f>IFERROR(SUMIF(Table4[Item ID],'Inventory calculations'!A171,Table4[Quantity Purchased]),0)</f>
        <v>9</v>
      </c>
      <c r="K171" s="10">
        <f t="shared" si="10"/>
        <v>1404</v>
      </c>
      <c r="L171" s="6" t="str">
        <f t="shared" si="11"/>
        <v>OK</v>
      </c>
      <c r="M171" s="13">
        <f t="shared" si="8"/>
        <v>1416046.32</v>
      </c>
      <c r="N171" s="8">
        <f>Table5[[#This Row],[Total Qty Sold]]*Table5[[#This Row],[Unit Price]]</f>
        <v>0</v>
      </c>
      <c r="O171" s="9"/>
      <c r="P171" s="40" t="str">
        <f ca="1">IF(Table5[[#This Row],[Last sale Date]]="","Never Sold",TODAY()-Table5[[#This Row],[Last sale Date]])</f>
        <v>Never Sold</v>
      </c>
      <c r="Q171" s="6" t="str">
        <f>IF(Table5[[#This Row],[Re order Level]]&lt;=Table5[[#This Row],[Current stock]],"ORDERASAP","OK BUT BE CHECKING")</f>
        <v>OK BUT BE CHECKING</v>
      </c>
      <c r="R171" s="6" t="str">
        <f t="shared" si="9"/>
        <v>ACTIVE</v>
      </c>
      <c r="S171" s="8">
        <f>IF(Table5[[#This Row],[DEADSTOCK FLAG]]="DEAD",Table5[[#This Row],[Inventory Value]],0)</f>
        <v>0</v>
      </c>
    </row>
    <row r="172" spans="1:19" x14ac:dyDescent="0.25">
      <c r="A172" s="24" t="str">
        <f>'Inventory master'!A172</f>
        <v>ITEM171-A</v>
      </c>
      <c r="B172" s="6" t="str">
        <f>'Inventory master'!B172</f>
        <v>Dome Enclosure</v>
      </c>
      <c r="C172" s="6" t="str">
        <f>'Inventory master'!C172</f>
        <v>Enclosures</v>
      </c>
      <c r="D172" s="6" t="str">
        <f>'Inventory master'!D172</f>
        <v>Belden</v>
      </c>
      <c r="E172" s="10" t="str">
        <f>'Inventory master'!E172</f>
        <v>1041.64</v>
      </c>
      <c r="F172" s="10" t="str">
        <f>'Inventory master'!F172</f>
        <v>1961.35</v>
      </c>
      <c r="G172" s="10" t="str">
        <f>'Inventory master'!G172</f>
        <v>49</v>
      </c>
      <c r="H172" s="8">
        <f>IFERROR(_xlfn.XLOOKUP(A172, 'Opening stock'!A172:A771, 'Opening stock'!E172:E771), "")</f>
        <v>735</v>
      </c>
      <c r="I172" s="8">
        <f>IFERROR(SUMIF(Table3[Item ID],'Inventory calculations'!A172,Table3[Quantity]),0)</f>
        <v>0</v>
      </c>
      <c r="J172" s="8">
        <f>IFERROR(SUMIF(Table4[Item ID],'Inventory calculations'!A172,Table4[Quantity Purchased]),0)</f>
        <v>0</v>
      </c>
      <c r="K172" s="10">
        <f t="shared" si="10"/>
        <v>735</v>
      </c>
      <c r="L172" s="6" t="str">
        <f t="shared" si="11"/>
        <v>OK</v>
      </c>
      <c r="M172" s="13">
        <f t="shared" si="8"/>
        <v>765605.4</v>
      </c>
      <c r="N172" s="8">
        <f>Table5[[#This Row],[Total Qty Sold]]*Table5[[#This Row],[Unit Price]]</f>
        <v>0</v>
      </c>
      <c r="O172" s="9"/>
      <c r="P172" s="40" t="str">
        <f ca="1">IF(Table5[[#This Row],[Last sale Date]]="","Never Sold",TODAY()-Table5[[#This Row],[Last sale Date]])</f>
        <v>Never Sold</v>
      </c>
      <c r="Q172" s="6" t="str">
        <f>IF(Table5[[#This Row],[Re order Level]]&lt;=Table5[[#This Row],[Current stock]],"ORDERASAP","OK BUT BE CHECKING")</f>
        <v>OK BUT BE CHECKING</v>
      </c>
      <c r="R172" s="6" t="str">
        <f t="shared" si="9"/>
        <v>ACTIVE</v>
      </c>
      <c r="S172" s="8">
        <f>IF(Table5[[#This Row],[DEADSTOCK FLAG]]="DEAD",Table5[[#This Row],[Inventory Value]],0)</f>
        <v>0</v>
      </c>
    </row>
    <row r="173" spans="1:19" x14ac:dyDescent="0.25">
      <c r="A173" s="24" t="str">
        <f>'Inventory master'!A173</f>
        <v>ITEM172-A</v>
      </c>
      <c r="B173" s="6" t="str">
        <f>'Inventory master'!B173</f>
        <v>Fixed Attenuator 20dB</v>
      </c>
      <c r="C173" s="6" t="str">
        <f>'Inventory master'!C173</f>
        <v>Attenuators</v>
      </c>
      <c r="D173" s="6" t="str">
        <f>'Inventory master'!D173</f>
        <v>Huber+Suhner</v>
      </c>
      <c r="E173" s="10" t="str">
        <f>'Inventory master'!E173</f>
        <v>456.39</v>
      </c>
      <c r="F173" s="10" t="str">
        <f>'Inventory master'!F173</f>
        <v>628.81</v>
      </c>
      <c r="G173" s="10" t="str">
        <f>'Inventory master'!G173</f>
        <v>93</v>
      </c>
      <c r="H173" s="8">
        <f>IFERROR(_xlfn.XLOOKUP(A173, 'Opening stock'!A173:A772, 'Opening stock'!E173:E772), "")</f>
        <v>1395</v>
      </c>
      <c r="I173" s="8">
        <f>IFERROR(SUMIF(Table3[Item ID],'Inventory calculations'!A173,Table3[Quantity]),0)</f>
        <v>0</v>
      </c>
      <c r="J173" s="8">
        <f>IFERROR(SUMIF(Table4[Item ID],'Inventory calculations'!A173,Table4[Quantity Purchased]),0)</f>
        <v>0</v>
      </c>
      <c r="K173" s="10">
        <f t="shared" si="10"/>
        <v>1395</v>
      </c>
      <c r="L173" s="6" t="str">
        <f t="shared" si="11"/>
        <v>OK</v>
      </c>
      <c r="M173" s="13">
        <f t="shared" si="8"/>
        <v>636664.04999999993</v>
      </c>
      <c r="N173" s="8">
        <f>Table5[[#This Row],[Total Qty Sold]]*Table5[[#This Row],[Unit Price]]</f>
        <v>0</v>
      </c>
      <c r="O173" s="9"/>
      <c r="P173" s="40" t="str">
        <f ca="1">IF(Table5[[#This Row],[Last sale Date]]="","Never Sold",TODAY()-Table5[[#This Row],[Last sale Date]])</f>
        <v>Never Sold</v>
      </c>
      <c r="Q173" s="6" t="str">
        <f>IF(Table5[[#This Row],[Re order Level]]&lt;=Table5[[#This Row],[Current stock]],"ORDERASAP","OK BUT BE CHECKING")</f>
        <v>OK BUT BE CHECKING</v>
      </c>
      <c r="R173" s="6" t="str">
        <f t="shared" si="9"/>
        <v>ACTIVE</v>
      </c>
      <c r="S173" s="8">
        <f>IF(Table5[[#This Row],[DEADSTOCK FLAG]]="DEAD",Table5[[#This Row],[Inventory Value]],0)</f>
        <v>0</v>
      </c>
    </row>
    <row r="174" spans="1:19" x14ac:dyDescent="0.25">
      <c r="A174" s="24" t="str">
        <f>'Inventory master'!A174</f>
        <v>ITEM173-A</v>
      </c>
      <c r="B174" s="6" t="str">
        <f>'Inventory master'!B174</f>
        <v>Fiber Optic Stripper</v>
      </c>
      <c r="C174" s="6" t="str">
        <f>'Inventory master'!C174</f>
        <v>Tools</v>
      </c>
      <c r="D174" s="6" t="str">
        <f>'Inventory master'!D174</f>
        <v>Amphenol</v>
      </c>
      <c r="E174" s="10" t="str">
        <f>'Inventory master'!E174</f>
        <v>598.67</v>
      </c>
      <c r="F174" s="10" t="str">
        <f>'Inventory master'!F174</f>
        <v>1067.99</v>
      </c>
      <c r="G174" s="10" t="str">
        <f>'Inventory master'!G174</f>
        <v>58</v>
      </c>
      <c r="H174" s="8">
        <f>IFERROR(_xlfn.XLOOKUP(A174, 'Opening stock'!A174:A773, 'Opening stock'!E174:E773), "")</f>
        <v>870</v>
      </c>
      <c r="I174" s="8">
        <f>IFERROR(SUMIF(Table3[Item ID],'Inventory calculations'!A174,Table3[Quantity]),0)</f>
        <v>0</v>
      </c>
      <c r="J174" s="8">
        <f>IFERROR(SUMIF(Table4[Item ID],'Inventory calculations'!A174,Table4[Quantity Purchased]),0)</f>
        <v>1</v>
      </c>
      <c r="K174" s="10">
        <f t="shared" si="10"/>
        <v>871</v>
      </c>
      <c r="L174" s="6" t="str">
        <f t="shared" si="11"/>
        <v>OK</v>
      </c>
      <c r="M174" s="13">
        <f t="shared" si="8"/>
        <v>521441.56999999995</v>
      </c>
      <c r="N174" s="8">
        <f>Table5[[#This Row],[Total Qty Sold]]*Table5[[#This Row],[Unit Price]]</f>
        <v>0</v>
      </c>
      <c r="O174" s="9"/>
      <c r="P174" s="40" t="str">
        <f ca="1">IF(Table5[[#This Row],[Last sale Date]]="","Never Sold",TODAY()-Table5[[#This Row],[Last sale Date]])</f>
        <v>Never Sold</v>
      </c>
      <c r="Q174" s="6" t="str">
        <f>IF(Table5[[#This Row],[Re order Level]]&lt;=Table5[[#This Row],[Current stock]],"ORDERASAP","OK BUT BE CHECKING")</f>
        <v>OK BUT BE CHECKING</v>
      </c>
      <c r="R174" s="6" t="str">
        <f t="shared" si="9"/>
        <v>ACTIVE</v>
      </c>
      <c r="S174" s="8">
        <f>IF(Table5[[#This Row],[DEADSTOCK FLAG]]="DEAD",Table5[[#This Row],[Inventory Value]],0)</f>
        <v>0</v>
      </c>
    </row>
    <row r="175" spans="1:19" x14ac:dyDescent="0.25">
      <c r="A175" s="24" t="str">
        <f>'Inventory master'!A175</f>
        <v>ITEM174-A</v>
      </c>
      <c r="B175" s="6" t="str">
        <f>'Inventory master'!B175</f>
        <v>Fiber Optic Cutter</v>
      </c>
      <c r="C175" s="6" t="str">
        <f>'Inventory master'!C175</f>
        <v>Tools</v>
      </c>
      <c r="D175" s="6" t="str">
        <f>'Inventory master'!D175</f>
        <v>TE Connectivity</v>
      </c>
      <c r="E175" s="10" t="str">
        <f>'Inventory master'!E175</f>
        <v>1189.41</v>
      </c>
      <c r="F175" s="10" t="str">
        <f>'Inventory master'!F175</f>
        <v>1654.57</v>
      </c>
      <c r="G175" s="10" t="str">
        <f>'Inventory master'!G175</f>
        <v>53</v>
      </c>
      <c r="H175" s="8">
        <f>IFERROR(_xlfn.XLOOKUP(A175, 'Opening stock'!A175:A774, 'Opening stock'!E175:E774), "")</f>
        <v>795</v>
      </c>
      <c r="I175" s="8">
        <f>IFERROR(SUMIF(Table3[Item ID],'Inventory calculations'!A175,Table3[Quantity]),0)</f>
        <v>15</v>
      </c>
      <c r="J175" s="8">
        <f>IFERROR(SUMIF(Table4[Item ID],'Inventory calculations'!A175,Table4[Quantity Purchased]),0)</f>
        <v>8</v>
      </c>
      <c r="K175" s="10">
        <f t="shared" si="10"/>
        <v>788</v>
      </c>
      <c r="L175" s="6" t="str">
        <f t="shared" si="11"/>
        <v>OK</v>
      </c>
      <c r="M175" s="13">
        <f t="shared" si="8"/>
        <v>937255.08000000007</v>
      </c>
      <c r="N175" s="8">
        <f>Table5[[#This Row],[Total Qty Sold]]*Table5[[#This Row],[Unit Price]]</f>
        <v>24818.55</v>
      </c>
      <c r="O175" s="9">
        <f>IFERROR(_xlfn.MAXIFS(Table3[Date],Table3[Item ID],Table5[[#This Row],[Item ID]]),"")</f>
        <v>45750</v>
      </c>
      <c r="P175" s="40">
        <f ca="1">IF(Table5[[#This Row],[Last sale Date]]="","Never Sold",TODAY()-Table5[[#This Row],[Last sale Date]])</f>
        <v>302</v>
      </c>
      <c r="Q175" s="6" t="str">
        <f>IF(Table5[[#This Row],[Re order Level]]&lt;=Table5[[#This Row],[Current stock]],"ORDERASAP","OK BUT BE CHECKING")</f>
        <v>OK BUT BE CHECKING</v>
      </c>
      <c r="R175" s="6" t="str">
        <f t="shared" si="9"/>
        <v>ACTIVE</v>
      </c>
      <c r="S175" s="8">
        <f>IF(Table5[[#This Row],[DEADSTOCK FLAG]]="DEAD",Table5[[#This Row],[Inventory Value]],0)</f>
        <v>0</v>
      </c>
    </row>
    <row r="176" spans="1:19" x14ac:dyDescent="0.25">
      <c r="A176" s="24" t="str">
        <f>'Inventory master'!A176</f>
        <v>ITEM175-A</v>
      </c>
      <c r="B176" s="6" t="str">
        <f>'Inventory master'!B176</f>
        <v>Fiber Adapter</v>
      </c>
      <c r="C176" s="6" t="str">
        <f>'Inventory master'!C176</f>
        <v>Accessories</v>
      </c>
      <c r="D176" s="6" t="str">
        <f>'Inventory master'!D176</f>
        <v>AFL</v>
      </c>
      <c r="E176" s="10" t="str">
        <f>'Inventory master'!E176</f>
        <v>1677.26</v>
      </c>
      <c r="F176" s="10" t="str">
        <f>'Inventory master'!F176</f>
        <v>2423.02</v>
      </c>
      <c r="G176" s="10" t="str">
        <f>'Inventory master'!G176</f>
        <v>62</v>
      </c>
      <c r="H176" s="8">
        <f>IFERROR(_xlfn.XLOOKUP(A176, 'Opening stock'!A176:A775, 'Opening stock'!E176:E775), "")</f>
        <v>930</v>
      </c>
      <c r="I176" s="8">
        <f>IFERROR(SUMIF(Table3[Item ID],'Inventory calculations'!A176,Table3[Quantity]),0)</f>
        <v>0</v>
      </c>
      <c r="J176" s="8">
        <f>IFERROR(SUMIF(Table4[Item ID],'Inventory calculations'!A176,Table4[Quantity Purchased]),0)</f>
        <v>0</v>
      </c>
      <c r="K176" s="10">
        <f t="shared" si="10"/>
        <v>930</v>
      </c>
      <c r="L176" s="6" t="str">
        <f t="shared" si="11"/>
        <v>OK</v>
      </c>
      <c r="M176" s="13">
        <f t="shared" si="8"/>
        <v>1559851.8</v>
      </c>
      <c r="N176" s="8">
        <f>Table5[[#This Row],[Total Qty Sold]]*Table5[[#This Row],[Unit Price]]</f>
        <v>0</v>
      </c>
      <c r="O176" s="9"/>
      <c r="P176" s="40" t="str">
        <f ca="1">IF(Table5[[#This Row],[Last sale Date]]="","Never Sold",TODAY()-Table5[[#This Row],[Last sale Date]])</f>
        <v>Never Sold</v>
      </c>
      <c r="Q176" s="6" t="str">
        <f>IF(Table5[[#This Row],[Re order Level]]&lt;=Table5[[#This Row],[Current stock]],"ORDERASAP","OK BUT BE CHECKING")</f>
        <v>OK BUT BE CHECKING</v>
      </c>
      <c r="R176" s="6" t="str">
        <f t="shared" si="9"/>
        <v>ACTIVE</v>
      </c>
      <c r="S176" s="8">
        <f>IF(Table5[[#This Row],[DEADSTOCK FLAG]]="DEAD",Table5[[#This Row],[Inventory Value]],0)</f>
        <v>0</v>
      </c>
    </row>
    <row r="177" spans="1:19" x14ac:dyDescent="0.25">
      <c r="A177" s="24" t="str">
        <f>'Inventory master'!A177</f>
        <v>ITEM176-A</v>
      </c>
      <c r="B177" s="6" t="str">
        <f>'Inventory master'!B177</f>
        <v>SC UPC Connector</v>
      </c>
      <c r="C177" s="6" t="str">
        <f>'Inventory master'!C177</f>
        <v>Connectors</v>
      </c>
      <c r="D177" s="6" t="str">
        <f>'Inventory master'!D177</f>
        <v>Siemon</v>
      </c>
      <c r="E177" s="10" t="str">
        <f>'Inventory master'!E177</f>
        <v>1240.67</v>
      </c>
      <c r="F177" s="10" t="str">
        <f>'Inventory master'!F177</f>
        <v>1417.65</v>
      </c>
      <c r="G177" s="10" t="str">
        <f>'Inventory master'!G177</f>
        <v>92</v>
      </c>
      <c r="H177" s="8">
        <f>IFERROR(_xlfn.XLOOKUP(A177, 'Opening stock'!A177:A776, 'Opening stock'!E177:E776), "")</f>
        <v>1380</v>
      </c>
      <c r="I177" s="8">
        <f>IFERROR(SUMIF(Table3[Item ID],'Inventory calculations'!A177,Table3[Quantity]),0)</f>
        <v>0</v>
      </c>
      <c r="J177" s="8">
        <f>IFERROR(SUMIF(Table4[Item ID],'Inventory calculations'!A177,Table4[Quantity Purchased]),0)</f>
        <v>0</v>
      </c>
      <c r="K177" s="10">
        <f t="shared" si="10"/>
        <v>1380</v>
      </c>
      <c r="L177" s="6" t="str">
        <f t="shared" si="11"/>
        <v>OK</v>
      </c>
      <c r="M177" s="13">
        <f t="shared" si="8"/>
        <v>1712124.6</v>
      </c>
      <c r="N177" s="8">
        <f>Table5[[#This Row],[Total Qty Sold]]*Table5[[#This Row],[Unit Price]]</f>
        <v>0</v>
      </c>
      <c r="O177" s="9"/>
      <c r="P177" s="40" t="str">
        <f ca="1">IF(Table5[[#This Row],[Last sale Date]]="","Never Sold",TODAY()-Table5[[#This Row],[Last sale Date]])</f>
        <v>Never Sold</v>
      </c>
      <c r="Q177" s="6" t="str">
        <f>IF(Table5[[#This Row],[Re order Level]]&lt;=Table5[[#This Row],[Current stock]],"ORDERASAP","OK BUT BE CHECKING")</f>
        <v>OK BUT BE CHECKING</v>
      </c>
      <c r="R177" s="6" t="str">
        <f t="shared" si="9"/>
        <v>ACTIVE</v>
      </c>
      <c r="S177" s="8">
        <f>IF(Table5[[#This Row],[DEADSTOCK FLAG]]="DEAD",Table5[[#This Row],[Inventory Value]],0)</f>
        <v>0</v>
      </c>
    </row>
    <row r="178" spans="1:19" x14ac:dyDescent="0.25">
      <c r="A178" s="24" t="str">
        <f>'Inventory master'!A178</f>
        <v>ITEM177-A</v>
      </c>
      <c r="B178" s="6" t="str">
        <f>'Inventory master'!B178</f>
        <v>Wall-Mount Enclosure</v>
      </c>
      <c r="C178" s="6" t="str">
        <f>'Inventory master'!C178</f>
        <v>Enclosures</v>
      </c>
      <c r="D178" s="6" t="str">
        <f>'Inventory master'!D178</f>
        <v>CommScope</v>
      </c>
      <c r="E178" s="10" t="str">
        <f>'Inventory master'!E178</f>
        <v>259.02</v>
      </c>
      <c r="F178" s="10" t="str">
        <f>'Inventory master'!F178</f>
        <v>513.21</v>
      </c>
      <c r="G178" s="10" t="str">
        <f>'Inventory master'!G178</f>
        <v>48</v>
      </c>
      <c r="H178" s="8">
        <f>IFERROR(_xlfn.XLOOKUP(A178, 'Opening stock'!A178:A777, 'Opening stock'!E178:E777), "")</f>
        <v>720</v>
      </c>
      <c r="I178" s="8">
        <f>IFERROR(SUMIF(Table3[Item ID],'Inventory calculations'!A178,Table3[Quantity]),0)</f>
        <v>0</v>
      </c>
      <c r="J178" s="8">
        <f>IFERROR(SUMIF(Table4[Item ID],'Inventory calculations'!A178,Table4[Quantity Purchased]),0)</f>
        <v>0</v>
      </c>
      <c r="K178" s="10">
        <f t="shared" si="10"/>
        <v>720</v>
      </c>
      <c r="L178" s="6" t="str">
        <f t="shared" si="11"/>
        <v>OK</v>
      </c>
      <c r="M178" s="13">
        <f t="shared" si="8"/>
        <v>186494.4</v>
      </c>
      <c r="N178" s="8">
        <f>Table5[[#This Row],[Total Qty Sold]]*Table5[[#This Row],[Unit Price]]</f>
        <v>0</v>
      </c>
      <c r="O178" s="9"/>
      <c r="P178" s="40" t="str">
        <f ca="1">IF(Table5[[#This Row],[Last sale Date]]="","Never Sold",TODAY()-Table5[[#This Row],[Last sale Date]])</f>
        <v>Never Sold</v>
      </c>
      <c r="Q178" s="6" t="str">
        <f>IF(Table5[[#This Row],[Re order Level]]&lt;=Table5[[#This Row],[Current stock]],"ORDERASAP","OK BUT BE CHECKING")</f>
        <v>OK BUT BE CHECKING</v>
      </c>
      <c r="R178" s="6" t="str">
        <f t="shared" si="9"/>
        <v>ACTIVE</v>
      </c>
      <c r="S178" s="8">
        <f>IF(Table5[[#This Row],[DEADSTOCK FLAG]]="DEAD",Table5[[#This Row],[Inventory Value]],0)</f>
        <v>0</v>
      </c>
    </row>
    <row r="179" spans="1:19" x14ac:dyDescent="0.25">
      <c r="A179" s="24" t="str">
        <f>'Inventory master'!A179</f>
        <v>ITEM178-A</v>
      </c>
      <c r="B179" s="6" t="str">
        <f>'Inventory master'!B179</f>
        <v>Outdoor Fiber Cable 300m</v>
      </c>
      <c r="C179" s="6" t="str">
        <f>'Inventory master'!C179</f>
        <v>Fiber Optic Cables</v>
      </c>
      <c r="D179" s="6" t="str">
        <f>'Inventory master'!D179</f>
        <v>CommScope</v>
      </c>
      <c r="E179" s="10" t="str">
        <f>'Inventory master'!E179</f>
        <v>1956.84</v>
      </c>
      <c r="F179" s="10" t="str">
        <f>'Inventory master'!F179</f>
        <v>3121.43</v>
      </c>
      <c r="G179" s="10" t="str">
        <f>'Inventory master'!G179</f>
        <v>63</v>
      </c>
      <c r="H179" s="8">
        <f>IFERROR(_xlfn.XLOOKUP(A179, 'Opening stock'!A179:A778, 'Opening stock'!E179:E778), "")</f>
        <v>945</v>
      </c>
      <c r="I179" s="8">
        <f>IFERROR(SUMIF(Table3[Item ID],'Inventory calculations'!A179,Table3[Quantity]),0)</f>
        <v>10</v>
      </c>
      <c r="J179" s="8">
        <f>IFERROR(SUMIF(Table4[Item ID],'Inventory calculations'!A179,Table4[Quantity Purchased]),0)</f>
        <v>0</v>
      </c>
      <c r="K179" s="10">
        <f t="shared" si="10"/>
        <v>935</v>
      </c>
      <c r="L179" s="6" t="str">
        <f t="shared" si="11"/>
        <v>OK</v>
      </c>
      <c r="M179" s="13">
        <f t="shared" si="8"/>
        <v>1829645.4</v>
      </c>
      <c r="N179" s="8">
        <f>Table5[[#This Row],[Total Qty Sold]]*Table5[[#This Row],[Unit Price]]</f>
        <v>31214.3</v>
      </c>
      <c r="O179" s="9">
        <f>IFERROR(_xlfn.MAXIFS(Table3[Date],Table3[Item ID],Table5[[#This Row],[Item ID]]),"")</f>
        <v>45440</v>
      </c>
      <c r="P179" s="40">
        <f ca="1">IF(Table5[[#This Row],[Last sale Date]]="","Never Sold",TODAY()-Table5[[#This Row],[Last sale Date]])</f>
        <v>612</v>
      </c>
      <c r="Q179" s="6" t="str">
        <f>IF(Table5[[#This Row],[Re order Level]]&lt;=Table5[[#This Row],[Current stock]],"ORDERASAP","OK BUT BE CHECKING")</f>
        <v>OK BUT BE CHECKING</v>
      </c>
      <c r="R179" s="6" t="str">
        <f t="shared" si="9"/>
        <v>ACTIVE</v>
      </c>
      <c r="S179" s="8">
        <f>IF(Table5[[#This Row],[DEADSTOCK FLAG]]="DEAD",Table5[[#This Row],[Inventory Value]],0)</f>
        <v>0</v>
      </c>
    </row>
    <row r="180" spans="1:19" x14ac:dyDescent="0.25">
      <c r="A180" s="24" t="str">
        <f>'Inventory master'!A180</f>
        <v>ITEM179-A</v>
      </c>
      <c r="B180" s="6" t="str">
        <f>'Inventory master'!B180</f>
        <v>Fiber Optic Stripper</v>
      </c>
      <c r="C180" s="6" t="str">
        <f>'Inventory master'!C180</f>
        <v>Tools</v>
      </c>
      <c r="D180" s="6" t="str">
        <f>'Inventory master'!D180</f>
        <v>Amphenol</v>
      </c>
      <c r="E180" s="10" t="str">
        <f>'Inventory master'!E180</f>
        <v>1479.69</v>
      </c>
      <c r="F180" s="10" t="str">
        <f>'Inventory master'!F180</f>
        <v>2251.15</v>
      </c>
      <c r="G180" s="10" t="str">
        <f>'Inventory master'!G180</f>
        <v>51</v>
      </c>
      <c r="H180" s="8">
        <f>IFERROR(_xlfn.XLOOKUP(A180, 'Opening stock'!A180:A779, 'Opening stock'!E180:E779), "")</f>
        <v>765</v>
      </c>
      <c r="I180" s="8">
        <f>IFERROR(SUMIF(Table3[Item ID],'Inventory calculations'!A180,Table3[Quantity]),0)</f>
        <v>0</v>
      </c>
      <c r="J180" s="8">
        <f>IFERROR(SUMIF(Table4[Item ID],'Inventory calculations'!A180,Table4[Quantity Purchased]),0)</f>
        <v>4</v>
      </c>
      <c r="K180" s="10">
        <f t="shared" si="10"/>
        <v>769</v>
      </c>
      <c r="L180" s="6" t="str">
        <f t="shared" si="11"/>
        <v>OK</v>
      </c>
      <c r="M180" s="13">
        <f t="shared" si="8"/>
        <v>1137881.6100000001</v>
      </c>
      <c r="N180" s="8">
        <f>Table5[[#This Row],[Total Qty Sold]]*Table5[[#This Row],[Unit Price]]</f>
        <v>0</v>
      </c>
      <c r="O180" s="9"/>
      <c r="P180" s="40" t="str">
        <f ca="1">IF(Table5[[#This Row],[Last sale Date]]="","Never Sold",TODAY()-Table5[[#This Row],[Last sale Date]])</f>
        <v>Never Sold</v>
      </c>
      <c r="Q180" s="6" t="str">
        <f>IF(Table5[[#This Row],[Re order Level]]&lt;=Table5[[#This Row],[Current stock]],"ORDERASAP","OK BUT BE CHECKING")</f>
        <v>OK BUT BE CHECKING</v>
      </c>
      <c r="R180" s="6" t="str">
        <f t="shared" si="9"/>
        <v>ACTIVE</v>
      </c>
      <c r="S180" s="8">
        <f>IF(Table5[[#This Row],[DEADSTOCK FLAG]]="DEAD",Table5[[#This Row],[Inventory Value]],0)</f>
        <v>0</v>
      </c>
    </row>
    <row r="181" spans="1:19" x14ac:dyDescent="0.25">
      <c r="A181" s="24" t="str">
        <f>'Inventory master'!A181</f>
        <v>ITEM180-A</v>
      </c>
      <c r="B181" s="6" t="str">
        <f>'Inventory master'!B181</f>
        <v>Fusion Splicer</v>
      </c>
      <c r="C181" s="6" t="str">
        <f>'Inventory master'!C181</f>
        <v>Splicers</v>
      </c>
      <c r="D181" s="6" t="str">
        <f>'Inventory master'!D181</f>
        <v>Panduit</v>
      </c>
      <c r="E181" s="10" t="str">
        <f>'Inventory master'!E181</f>
        <v>851.43</v>
      </c>
      <c r="F181" s="10" t="str">
        <f>'Inventory master'!F181</f>
        <v>937.81</v>
      </c>
      <c r="G181" s="10" t="str">
        <f>'Inventory master'!G181</f>
        <v>79</v>
      </c>
      <c r="H181" s="8">
        <f>IFERROR(_xlfn.XLOOKUP(A181, 'Opening stock'!A181:A780, 'Opening stock'!E181:E780), "")</f>
        <v>1185</v>
      </c>
      <c r="I181" s="8">
        <f>IFERROR(SUMIF(Table3[Item ID],'Inventory calculations'!A181,Table3[Quantity]),0)</f>
        <v>1</v>
      </c>
      <c r="J181" s="8">
        <f>IFERROR(SUMIF(Table4[Item ID],'Inventory calculations'!A181,Table4[Quantity Purchased]),0)</f>
        <v>18</v>
      </c>
      <c r="K181" s="10">
        <f t="shared" si="10"/>
        <v>1202</v>
      </c>
      <c r="L181" s="6" t="str">
        <f t="shared" si="11"/>
        <v>OK</v>
      </c>
      <c r="M181" s="13">
        <f t="shared" si="8"/>
        <v>1023418.86</v>
      </c>
      <c r="N181" s="8">
        <f>Table5[[#This Row],[Total Qty Sold]]*Table5[[#This Row],[Unit Price]]</f>
        <v>937.81</v>
      </c>
      <c r="O181" s="9">
        <f>IFERROR(_xlfn.MAXIFS(Table3[Date],Table3[Item ID],Table5[[#This Row],[Item ID]]),"")</f>
        <v>45609</v>
      </c>
      <c r="P181" s="40">
        <f ca="1">IF(Table5[[#This Row],[Last sale Date]]="","Never Sold",TODAY()-Table5[[#This Row],[Last sale Date]])</f>
        <v>443</v>
      </c>
      <c r="Q181" s="6" t="str">
        <f>IF(Table5[[#This Row],[Re order Level]]&lt;=Table5[[#This Row],[Current stock]],"ORDERASAP","OK BUT BE CHECKING")</f>
        <v>OK BUT BE CHECKING</v>
      </c>
      <c r="R181" s="6" t="str">
        <f t="shared" si="9"/>
        <v>ACTIVE</v>
      </c>
      <c r="S181" s="8">
        <f>IF(Table5[[#This Row],[DEADSTOCK FLAG]]="DEAD",Table5[[#This Row],[Inventory Value]],0)</f>
        <v>0</v>
      </c>
    </row>
    <row r="182" spans="1:19" x14ac:dyDescent="0.25">
      <c r="A182" s="24" t="str">
        <f>'Inventory master'!A182</f>
        <v>ITEM181-A</v>
      </c>
      <c r="B182" s="6" t="str">
        <f>'Inventory master'!B182</f>
        <v>Mechanical Splicer</v>
      </c>
      <c r="C182" s="6" t="str">
        <f>'Inventory master'!C182</f>
        <v>Splicers</v>
      </c>
      <c r="D182" s="6" t="str">
        <f>'Inventory master'!D182</f>
        <v>TE Connectivity</v>
      </c>
      <c r="E182" s="10" t="str">
        <f>'Inventory master'!E182</f>
        <v>1803.99</v>
      </c>
      <c r="F182" s="10" t="str">
        <f>'Inventory master'!F182</f>
        <v>2867.27</v>
      </c>
      <c r="G182" s="10" t="str">
        <f>'Inventory master'!G182</f>
        <v>100</v>
      </c>
      <c r="H182" s="8">
        <f>IFERROR(_xlfn.XLOOKUP(A182, 'Opening stock'!A182:A781, 'Opening stock'!E182:E781), "")</f>
        <v>1500</v>
      </c>
      <c r="I182" s="8">
        <f>IFERROR(SUMIF(Table3[Item ID],'Inventory calculations'!A182,Table3[Quantity]),0)</f>
        <v>0</v>
      </c>
      <c r="J182" s="8">
        <f>IFERROR(SUMIF(Table4[Item ID],'Inventory calculations'!A182,Table4[Quantity Purchased]),0)</f>
        <v>20</v>
      </c>
      <c r="K182" s="10">
        <f t="shared" si="10"/>
        <v>1520</v>
      </c>
      <c r="L182" s="6" t="str">
        <f t="shared" si="11"/>
        <v>OK</v>
      </c>
      <c r="M182" s="13">
        <f t="shared" si="8"/>
        <v>2742064.8</v>
      </c>
      <c r="N182" s="8">
        <f>Table5[[#This Row],[Total Qty Sold]]*Table5[[#This Row],[Unit Price]]</f>
        <v>0</v>
      </c>
      <c r="O182" s="9"/>
      <c r="P182" s="40" t="str">
        <f ca="1">IF(Table5[[#This Row],[Last sale Date]]="","Never Sold",TODAY()-Table5[[#This Row],[Last sale Date]])</f>
        <v>Never Sold</v>
      </c>
      <c r="Q182" s="6" t="str">
        <f>IF(Table5[[#This Row],[Re order Level]]&lt;=Table5[[#This Row],[Current stock]],"ORDERASAP","OK BUT BE CHECKING")</f>
        <v>OK BUT BE CHECKING</v>
      </c>
      <c r="R182" s="6" t="str">
        <f t="shared" si="9"/>
        <v>ACTIVE</v>
      </c>
      <c r="S182" s="8">
        <f>IF(Table5[[#This Row],[DEADSTOCK FLAG]]="DEAD",Table5[[#This Row],[Inventory Value]],0)</f>
        <v>0</v>
      </c>
    </row>
    <row r="183" spans="1:19" x14ac:dyDescent="0.25">
      <c r="A183" s="24" t="str">
        <f>'Inventory master'!A183</f>
        <v>ITEM182-A</v>
      </c>
      <c r="B183" s="6" t="str">
        <f>'Inventory master'!B183</f>
        <v>Fiber Optic Crimper</v>
      </c>
      <c r="C183" s="6" t="str">
        <f>'Inventory master'!C183</f>
        <v>Tools</v>
      </c>
      <c r="D183" s="6" t="str">
        <f>'Inventory master'!D183</f>
        <v>Leviton</v>
      </c>
      <c r="E183" s="10" t="str">
        <f>'Inventory master'!E183</f>
        <v>353.9</v>
      </c>
      <c r="F183" s="10" t="str">
        <f>'Inventory master'!F183</f>
        <v>685.06</v>
      </c>
      <c r="G183" s="10" t="str">
        <f>'Inventory master'!G183</f>
        <v>41</v>
      </c>
      <c r="H183" s="8">
        <f>IFERROR(_xlfn.XLOOKUP(A183, 'Opening stock'!A183:A782, 'Opening stock'!E183:E782), "")</f>
        <v>615</v>
      </c>
      <c r="I183" s="8">
        <f>IFERROR(SUMIF(Table3[Item ID],'Inventory calculations'!A183,Table3[Quantity]),0)</f>
        <v>0</v>
      </c>
      <c r="J183" s="8">
        <f>IFERROR(SUMIF(Table4[Item ID],'Inventory calculations'!A183,Table4[Quantity Purchased]),0)</f>
        <v>0</v>
      </c>
      <c r="K183" s="10">
        <f t="shared" si="10"/>
        <v>615</v>
      </c>
      <c r="L183" s="6" t="str">
        <f t="shared" si="11"/>
        <v>OK</v>
      </c>
      <c r="M183" s="13">
        <f t="shared" si="8"/>
        <v>217648.5</v>
      </c>
      <c r="N183" s="8">
        <f>Table5[[#This Row],[Total Qty Sold]]*Table5[[#This Row],[Unit Price]]</f>
        <v>0</v>
      </c>
      <c r="O183" s="9"/>
      <c r="P183" s="40" t="str">
        <f ca="1">IF(Table5[[#This Row],[Last sale Date]]="","Never Sold",TODAY()-Table5[[#This Row],[Last sale Date]])</f>
        <v>Never Sold</v>
      </c>
      <c r="Q183" s="6" t="str">
        <f>IF(Table5[[#This Row],[Re order Level]]&lt;=Table5[[#This Row],[Current stock]],"ORDERASAP","OK BUT BE CHECKING")</f>
        <v>OK BUT BE CHECKING</v>
      </c>
      <c r="R183" s="6" t="str">
        <f t="shared" si="9"/>
        <v>ACTIVE</v>
      </c>
      <c r="S183" s="8">
        <f>IF(Table5[[#This Row],[DEADSTOCK FLAG]]="DEAD",Table5[[#This Row],[Inventory Value]],0)</f>
        <v>0</v>
      </c>
    </row>
    <row r="184" spans="1:19" x14ac:dyDescent="0.25">
      <c r="A184" s="24" t="str">
        <f>'Inventory master'!A184</f>
        <v>ITEM183-A</v>
      </c>
      <c r="B184" s="6" t="str">
        <f>'Inventory master'!B184</f>
        <v>1x32 PLC Splitter</v>
      </c>
      <c r="C184" s="6" t="str">
        <f>'Inventory master'!C184</f>
        <v>Splitters</v>
      </c>
      <c r="D184" s="6" t="str">
        <f>'Inventory master'!D184</f>
        <v>TE Connectivity</v>
      </c>
      <c r="E184" s="10" t="str">
        <f>'Inventory master'!E184</f>
        <v>369.72</v>
      </c>
      <c r="F184" s="10" t="str">
        <f>'Inventory master'!F184</f>
        <v>713.58</v>
      </c>
      <c r="G184" s="10" t="str">
        <f>'Inventory master'!G184</f>
        <v>91</v>
      </c>
      <c r="H184" s="8">
        <f>IFERROR(_xlfn.XLOOKUP(A184, 'Opening stock'!A184:A783, 'Opening stock'!E184:E783), "")</f>
        <v>1365</v>
      </c>
      <c r="I184" s="8">
        <f>IFERROR(SUMIF(Table3[Item ID],'Inventory calculations'!A184,Table3[Quantity]),0)</f>
        <v>15</v>
      </c>
      <c r="J184" s="8">
        <f>IFERROR(SUMIF(Table4[Item ID],'Inventory calculations'!A184,Table4[Quantity Purchased]),0)</f>
        <v>11</v>
      </c>
      <c r="K184" s="10">
        <f t="shared" si="10"/>
        <v>1361</v>
      </c>
      <c r="L184" s="6" t="str">
        <f t="shared" si="11"/>
        <v>OK</v>
      </c>
      <c r="M184" s="13">
        <f t="shared" si="8"/>
        <v>503188.92000000004</v>
      </c>
      <c r="N184" s="8">
        <f>Table5[[#This Row],[Total Qty Sold]]*Table5[[#This Row],[Unit Price]]</f>
        <v>10703.7</v>
      </c>
      <c r="O184" s="9">
        <f>IFERROR(_xlfn.MAXIFS(Table3[Date],Table3[Item ID],Table5[[#This Row],[Item ID]]),"")</f>
        <v>45843</v>
      </c>
      <c r="P184" s="40">
        <f ca="1">IF(Table5[[#This Row],[Last sale Date]]="","Never Sold",TODAY()-Table5[[#This Row],[Last sale Date]])</f>
        <v>209</v>
      </c>
      <c r="Q184" s="6" t="str">
        <f>IF(Table5[[#This Row],[Re order Level]]&lt;=Table5[[#This Row],[Current stock]],"ORDERASAP","OK BUT BE CHECKING")</f>
        <v>OK BUT BE CHECKING</v>
      </c>
      <c r="R184" s="6" t="str">
        <f t="shared" si="9"/>
        <v>ACTIVE</v>
      </c>
      <c r="S184" s="8">
        <f>IF(Table5[[#This Row],[DEADSTOCK FLAG]]="DEAD",Table5[[#This Row],[Inventory Value]],0)</f>
        <v>0</v>
      </c>
    </row>
    <row r="185" spans="1:19" x14ac:dyDescent="0.25">
      <c r="A185" s="24" t="str">
        <f>'Inventory master'!A185</f>
        <v>ITEM184-A</v>
      </c>
      <c r="B185" s="6" t="str">
        <f>'Inventory master'!B185</f>
        <v>Armored Fiber Cable 300m</v>
      </c>
      <c r="C185" s="6" t="str">
        <f>'Inventory master'!C185</f>
        <v>Fiber Optic Cables</v>
      </c>
      <c r="D185" s="6" t="str">
        <f>'Inventory master'!D185</f>
        <v>AFL</v>
      </c>
      <c r="E185" s="10" t="str">
        <f>'Inventory master'!E185</f>
        <v>1176.27</v>
      </c>
      <c r="F185" s="10" t="str">
        <f>'Inventory master'!F185</f>
        <v>1507.3</v>
      </c>
      <c r="G185" s="10" t="str">
        <f>'Inventory master'!G185</f>
        <v>42</v>
      </c>
      <c r="H185" s="8">
        <f>IFERROR(_xlfn.XLOOKUP(A185, 'Opening stock'!A185:A784, 'Opening stock'!E185:E784), "")</f>
        <v>630</v>
      </c>
      <c r="I185" s="8">
        <f>IFERROR(SUMIF(Table3[Item ID],'Inventory calculations'!A185,Table3[Quantity]),0)</f>
        <v>0</v>
      </c>
      <c r="J185" s="8">
        <f>IFERROR(SUMIF(Table4[Item ID],'Inventory calculations'!A185,Table4[Quantity Purchased]),0)</f>
        <v>3</v>
      </c>
      <c r="K185" s="10">
        <f t="shared" si="10"/>
        <v>633</v>
      </c>
      <c r="L185" s="6" t="str">
        <f t="shared" si="11"/>
        <v>OK</v>
      </c>
      <c r="M185" s="13">
        <f t="shared" si="8"/>
        <v>744578.91</v>
      </c>
      <c r="N185" s="8">
        <f>Table5[[#This Row],[Total Qty Sold]]*Table5[[#This Row],[Unit Price]]</f>
        <v>0</v>
      </c>
      <c r="O185" s="9"/>
      <c r="P185" s="40" t="str">
        <f ca="1">IF(Table5[[#This Row],[Last sale Date]]="","Never Sold",TODAY()-Table5[[#This Row],[Last sale Date]])</f>
        <v>Never Sold</v>
      </c>
      <c r="Q185" s="6" t="str">
        <f>IF(Table5[[#This Row],[Re order Level]]&lt;=Table5[[#This Row],[Current stock]],"ORDERASAP","OK BUT BE CHECKING")</f>
        <v>OK BUT BE CHECKING</v>
      </c>
      <c r="R185" s="6" t="str">
        <f t="shared" si="9"/>
        <v>ACTIVE</v>
      </c>
      <c r="S185" s="8">
        <f>IF(Table5[[#This Row],[DEADSTOCK FLAG]]="DEAD",Table5[[#This Row],[Inventory Value]],0)</f>
        <v>0</v>
      </c>
    </row>
    <row r="186" spans="1:19" x14ac:dyDescent="0.25">
      <c r="A186" s="24" t="str">
        <f>'Inventory master'!A186</f>
        <v>ITEM185-A</v>
      </c>
      <c r="B186" s="6" t="str">
        <f>'Inventory master'!B186</f>
        <v>Single-Mode Fiber Cable 200m</v>
      </c>
      <c r="C186" s="6" t="str">
        <f>'Inventory master'!C186</f>
        <v>Fiber Optic Cables</v>
      </c>
      <c r="D186" s="6" t="str">
        <f>'Inventory master'!D186</f>
        <v>AFL</v>
      </c>
      <c r="E186" s="10" t="str">
        <f>'Inventory master'!E186</f>
        <v>1456.62</v>
      </c>
      <c r="F186" s="10" t="str">
        <f>'Inventory master'!F186</f>
        <v>2887.33</v>
      </c>
      <c r="G186" s="10" t="str">
        <f>'Inventory master'!G186</f>
        <v>78</v>
      </c>
      <c r="H186" s="8">
        <f>IFERROR(_xlfn.XLOOKUP(A186, 'Opening stock'!A186:A785, 'Opening stock'!E186:E785), "")</f>
        <v>1170</v>
      </c>
      <c r="I186" s="8">
        <f>IFERROR(SUMIF(Table3[Item ID],'Inventory calculations'!A186,Table3[Quantity]),0)</f>
        <v>0</v>
      </c>
      <c r="J186" s="8">
        <f>IFERROR(SUMIF(Table4[Item ID],'Inventory calculations'!A186,Table4[Quantity Purchased]),0)</f>
        <v>8</v>
      </c>
      <c r="K186" s="10">
        <f t="shared" si="10"/>
        <v>1178</v>
      </c>
      <c r="L186" s="6" t="str">
        <f t="shared" si="11"/>
        <v>OK</v>
      </c>
      <c r="M186" s="13">
        <f t="shared" si="8"/>
        <v>1715898.3599999999</v>
      </c>
      <c r="N186" s="8">
        <f>Table5[[#This Row],[Total Qty Sold]]*Table5[[#This Row],[Unit Price]]</f>
        <v>0</v>
      </c>
      <c r="O186" s="9"/>
      <c r="P186" s="40" t="str">
        <f ca="1">IF(Table5[[#This Row],[Last sale Date]]="","Never Sold",TODAY()-Table5[[#This Row],[Last sale Date]])</f>
        <v>Never Sold</v>
      </c>
      <c r="Q186" s="6" t="str">
        <f>IF(Table5[[#This Row],[Re order Level]]&lt;=Table5[[#This Row],[Current stock]],"ORDERASAP","OK BUT BE CHECKING")</f>
        <v>OK BUT BE CHECKING</v>
      </c>
      <c r="R186" s="6" t="str">
        <f t="shared" si="9"/>
        <v>ACTIVE</v>
      </c>
      <c r="S186" s="8">
        <f>IF(Table5[[#This Row],[DEADSTOCK FLAG]]="DEAD",Table5[[#This Row],[Inventory Value]],0)</f>
        <v>0</v>
      </c>
    </row>
    <row r="187" spans="1:19" x14ac:dyDescent="0.25">
      <c r="A187" s="24" t="str">
        <f>'Inventory master'!A187</f>
        <v>ITEM186-A</v>
      </c>
      <c r="B187" s="6" t="str">
        <f>'Inventory master'!B187</f>
        <v>FC UPC Connector</v>
      </c>
      <c r="C187" s="6" t="str">
        <f>'Inventory master'!C187</f>
        <v>Connectors</v>
      </c>
      <c r="D187" s="6" t="str">
        <f>'Inventory master'!D187</f>
        <v>Belden</v>
      </c>
      <c r="E187" s="10" t="str">
        <f>'Inventory master'!E187</f>
        <v>865.08</v>
      </c>
      <c r="F187" s="10" t="str">
        <f>'Inventory master'!F187</f>
        <v>1419.74</v>
      </c>
      <c r="G187" s="10" t="str">
        <f>'Inventory master'!G187</f>
        <v>17</v>
      </c>
      <c r="H187" s="8">
        <f>IFERROR(_xlfn.XLOOKUP(A187, 'Opening stock'!A187:A786, 'Opening stock'!E187:E786), "")</f>
        <v>255</v>
      </c>
      <c r="I187" s="8">
        <f>IFERROR(SUMIF(Table3[Item ID],'Inventory calculations'!A187,Table3[Quantity]),0)</f>
        <v>1</v>
      </c>
      <c r="J187" s="8">
        <f>IFERROR(SUMIF(Table4[Item ID],'Inventory calculations'!A187,Table4[Quantity Purchased]),0)</f>
        <v>0</v>
      </c>
      <c r="K187" s="10">
        <f t="shared" si="10"/>
        <v>254</v>
      </c>
      <c r="L187" s="6" t="str">
        <f t="shared" si="11"/>
        <v>OK</v>
      </c>
      <c r="M187" s="13">
        <f t="shared" si="8"/>
        <v>219730.32</v>
      </c>
      <c r="N187" s="8">
        <f>Table5[[#This Row],[Total Qty Sold]]*Table5[[#This Row],[Unit Price]]</f>
        <v>1419.74</v>
      </c>
      <c r="O187" s="9">
        <f>IFERROR(_xlfn.MAXIFS(Table3[Date],Table3[Item ID],Table5[[#This Row],[Item ID]]),"")</f>
        <v>45574</v>
      </c>
      <c r="P187" s="40">
        <f ca="1">IF(Table5[[#This Row],[Last sale Date]]="","Never Sold",TODAY()-Table5[[#This Row],[Last sale Date]])</f>
        <v>478</v>
      </c>
      <c r="Q187" s="6" t="str">
        <f>IF(Table5[[#This Row],[Re order Level]]&lt;=Table5[[#This Row],[Current stock]],"ORDERASAP","OK BUT BE CHECKING")</f>
        <v>OK BUT BE CHECKING</v>
      </c>
      <c r="R187" s="6" t="str">
        <f t="shared" si="9"/>
        <v>ACTIVE</v>
      </c>
      <c r="S187" s="8">
        <f>IF(Table5[[#This Row],[DEADSTOCK FLAG]]="DEAD",Table5[[#This Row],[Inventory Value]],0)</f>
        <v>0</v>
      </c>
    </row>
    <row r="188" spans="1:19" x14ac:dyDescent="0.25">
      <c r="A188" s="24" t="str">
        <f>'Inventory master'!A188</f>
        <v>ITEM187-A</v>
      </c>
      <c r="B188" s="6" t="str">
        <f>'Inventory master'!B188</f>
        <v>72-Port Fiber Patch Panel</v>
      </c>
      <c r="C188" s="6" t="str">
        <f>'Inventory master'!C188</f>
        <v>Patch Panels</v>
      </c>
      <c r="D188" s="6" t="str">
        <f>'Inventory master'!D188</f>
        <v>AFL</v>
      </c>
      <c r="E188" s="10" t="str">
        <f>'Inventory master'!E188</f>
        <v>259.22</v>
      </c>
      <c r="F188" s="10" t="str">
        <f>'Inventory master'!F188</f>
        <v>311.1</v>
      </c>
      <c r="G188" s="10" t="str">
        <f>'Inventory master'!G188</f>
        <v>53</v>
      </c>
      <c r="H188" s="8">
        <f>IFERROR(_xlfn.XLOOKUP(A188, 'Opening stock'!A188:A787, 'Opening stock'!E188:E787), "")</f>
        <v>795</v>
      </c>
      <c r="I188" s="8">
        <f>IFERROR(SUMIF(Table3[Item ID],'Inventory calculations'!A188,Table3[Quantity]),0)</f>
        <v>0</v>
      </c>
      <c r="J188" s="8">
        <f>IFERROR(SUMIF(Table4[Item ID],'Inventory calculations'!A188,Table4[Quantity Purchased]),0)</f>
        <v>12</v>
      </c>
      <c r="K188" s="10">
        <f t="shared" si="10"/>
        <v>807</v>
      </c>
      <c r="L188" s="6" t="str">
        <f t="shared" si="11"/>
        <v>OK</v>
      </c>
      <c r="M188" s="13">
        <f t="shared" si="8"/>
        <v>209190.54</v>
      </c>
      <c r="N188" s="8">
        <f>Table5[[#This Row],[Total Qty Sold]]*Table5[[#This Row],[Unit Price]]</f>
        <v>0</v>
      </c>
      <c r="O188" s="9"/>
      <c r="P188" s="40" t="str">
        <f ca="1">IF(Table5[[#This Row],[Last sale Date]]="","Never Sold",TODAY()-Table5[[#This Row],[Last sale Date]])</f>
        <v>Never Sold</v>
      </c>
      <c r="Q188" s="6" t="str">
        <f>IF(Table5[[#This Row],[Re order Level]]&lt;=Table5[[#This Row],[Current stock]],"ORDERASAP","OK BUT BE CHECKING")</f>
        <v>OK BUT BE CHECKING</v>
      </c>
      <c r="R188" s="6" t="str">
        <f t="shared" si="9"/>
        <v>ACTIVE</v>
      </c>
      <c r="S188" s="8">
        <f>IF(Table5[[#This Row],[DEADSTOCK FLAG]]="DEAD",Table5[[#This Row],[Inventory Value]],0)</f>
        <v>0</v>
      </c>
    </row>
    <row r="189" spans="1:19" x14ac:dyDescent="0.25">
      <c r="A189" s="24" t="str">
        <f>'Inventory master'!A189</f>
        <v>ITEM188-A</v>
      </c>
      <c r="B189" s="6" t="str">
        <f>'Inventory master'!B189</f>
        <v>Fiber Optic Polisher</v>
      </c>
      <c r="C189" s="6" t="str">
        <f>'Inventory master'!C189</f>
        <v>Tools</v>
      </c>
      <c r="D189" s="6" t="str">
        <f>'Inventory master'!D189</f>
        <v>Huber+Suhner</v>
      </c>
      <c r="E189" s="10" t="str">
        <f>'Inventory master'!E189</f>
        <v>367.79</v>
      </c>
      <c r="F189" s="10" t="str">
        <f>'Inventory master'!F189</f>
        <v>671.88</v>
      </c>
      <c r="G189" s="10" t="str">
        <f>'Inventory master'!G189</f>
        <v>12</v>
      </c>
      <c r="H189" s="8">
        <f>IFERROR(_xlfn.XLOOKUP(A189, 'Opening stock'!A189:A788, 'Opening stock'!E189:E788), "")</f>
        <v>180</v>
      </c>
      <c r="I189" s="8">
        <f>IFERROR(SUMIF(Table3[Item ID],'Inventory calculations'!A189,Table3[Quantity]),0)</f>
        <v>0</v>
      </c>
      <c r="J189" s="8">
        <f>IFERROR(SUMIF(Table4[Item ID],'Inventory calculations'!A189,Table4[Quantity Purchased]),0)</f>
        <v>0</v>
      </c>
      <c r="K189" s="10">
        <f t="shared" si="10"/>
        <v>180</v>
      </c>
      <c r="L189" s="6" t="str">
        <f t="shared" si="11"/>
        <v>OK</v>
      </c>
      <c r="M189" s="13">
        <f t="shared" si="8"/>
        <v>66202.2</v>
      </c>
      <c r="N189" s="8">
        <f>Table5[[#This Row],[Total Qty Sold]]*Table5[[#This Row],[Unit Price]]</f>
        <v>0</v>
      </c>
      <c r="O189" s="9"/>
      <c r="P189" s="40" t="str">
        <f ca="1">IF(Table5[[#This Row],[Last sale Date]]="","Never Sold",TODAY()-Table5[[#This Row],[Last sale Date]])</f>
        <v>Never Sold</v>
      </c>
      <c r="Q189" s="6" t="str">
        <f>IF(Table5[[#This Row],[Re order Level]]&lt;=Table5[[#This Row],[Current stock]],"ORDERASAP","OK BUT BE CHECKING")</f>
        <v>OK BUT BE CHECKING</v>
      </c>
      <c r="R189" s="6" t="str">
        <f t="shared" si="9"/>
        <v>ACTIVE</v>
      </c>
      <c r="S189" s="8">
        <f>IF(Table5[[#This Row],[DEADSTOCK FLAG]]="DEAD",Table5[[#This Row],[Inventory Value]],0)</f>
        <v>0</v>
      </c>
    </row>
    <row r="190" spans="1:19" x14ac:dyDescent="0.25">
      <c r="A190" s="24" t="str">
        <f>'Inventory master'!A190</f>
        <v>ITEM189-A</v>
      </c>
      <c r="B190" s="6" t="str">
        <f>'Inventory master'!B190</f>
        <v>Fixed Attenuator 20dB</v>
      </c>
      <c r="C190" s="6" t="str">
        <f>'Inventory master'!C190</f>
        <v>Attenuators</v>
      </c>
      <c r="D190" s="6" t="str">
        <f>'Inventory master'!D190</f>
        <v>Panduit</v>
      </c>
      <c r="E190" s="10" t="str">
        <f>'Inventory master'!E190</f>
        <v>1832.13</v>
      </c>
      <c r="F190" s="10" t="str">
        <f>'Inventory master'!F190</f>
        <v>3368.34</v>
      </c>
      <c r="G190" s="10" t="str">
        <f>'Inventory master'!G190</f>
        <v>74</v>
      </c>
      <c r="H190" s="8">
        <f>IFERROR(_xlfn.XLOOKUP(A190, 'Opening stock'!A190:A789, 'Opening stock'!E190:E789), "")</f>
        <v>1110</v>
      </c>
      <c r="I190" s="8">
        <f>IFERROR(SUMIF(Table3[Item ID],'Inventory calculations'!A190,Table3[Quantity]),0)</f>
        <v>190</v>
      </c>
      <c r="J190" s="8">
        <f>IFERROR(SUMIF(Table4[Item ID],'Inventory calculations'!A190,Table4[Quantity Purchased]),0)</f>
        <v>0</v>
      </c>
      <c r="K190" s="10">
        <f t="shared" si="10"/>
        <v>920</v>
      </c>
      <c r="L190" s="6" t="str">
        <f t="shared" si="11"/>
        <v>OK</v>
      </c>
      <c r="M190" s="13">
        <f t="shared" si="8"/>
        <v>1685559.6</v>
      </c>
      <c r="N190" s="8">
        <f>Table5[[#This Row],[Total Qty Sold]]*Table5[[#This Row],[Unit Price]]</f>
        <v>639984.6</v>
      </c>
      <c r="O190" s="9">
        <f>IFERROR(_xlfn.MAXIFS(Table3[Date],Table3[Item ID],Table5[[#This Row],[Item ID]]),"")</f>
        <v>46012</v>
      </c>
      <c r="P190" s="40">
        <f ca="1">IF(Table5[[#This Row],[Last sale Date]]="","Never Sold",TODAY()-Table5[[#This Row],[Last sale Date]])</f>
        <v>40</v>
      </c>
      <c r="Q190" s="6" t="str">
        <f>IF(Table5[[#This Row],[Re order Level]]&lt;=Table5[[#This Row],[Current stock]],"ORDERASAP","OK BUT BE CHECKING")</f>
        <v>OK BUT BE CHECKING</v>
      </c>
      <c r="R190" s="6" t="str">
        <f t="shared" si="9"/>
        <v>ACTIVE</v>
      </c>
      <c r="S190" s="8">
        <f>IF(Table5[[#This Row],[DEADSTOCK FLAG]]="DEAD",Table5[[#This Row],[Inventory Value]],0)</f>
        <v>0</v>
      </c>
    </row>
    <row r="191" spans="1:19" x14ac:dyDescent="0.25">
      <c r="A191" s="24" t="str">
        <f>'Inventory master'!A191</f>
        <v>ITEM190-A</v>
      </c>
      <c r="B191" s="6" t="str">
        <f>'Inventory master'!B191</f>
        <v>Fiber Optic Crimper</v>
      </c>
      <c r="C191" s="6" t="str">
        <f>'Inventory master'!C191</f>
        <v>Tools</v>
      </c>
      <c r="D191" s="6" t="str">
        <f>'Inventory master'!D191</f>
        <v>TE Connectivity</v>
      </c>
      <c r="E191" s="10" t="str">
        <f>'Inventory master'!E191</f>
        <v>1445.39</v>
      </c>
      <c r="F191" s="10" t="str">
        <f>'Inventory master'!F191</f>
        <v>1759.42</v>
      </c>
      <c r="G191" s="10" t="str">
        <f>'Inventory master'!G191</f>
        <v>72</v>
      </c>
      <c r="H191" s="8">
        <f>IFERROR(_xlfn.XLOOKUP(A191, 'Opening stock'!A191:A790, 'Opening stock'!E191:E790), "")</f>
        <v>1080</v>
      </c>
      <c r="I191" s="8">
        <f>IFERROR(SUMIF(Table3[Item ID],'Inventory calculations'!A191,Table3[Quantity]),0)</f>
        <v>0</v>
      </c>
      <c r="J191" s="8">
        <f>IFERROR(SUMIF(Table4[Item ID],'Inventory calculations'!A191,Table4[Quantity Purchased]),0)</f>
        <v>2</v>
      </c>
      <c r="K191" s="10">
        <f t="shared" si="10"/>
        <v>1082</v>
      </c>
      <c r="L191" s="6" t="str">
        <f t="shared" si="11"/>
        <v>OK</v>
      </c>
      <c r="M191" s="13">
        <f t="shared" si="8"/>
        <v>1563911.9800000002</v>
      </c>
      <c r="N191" s="8">
        <f>Table5[[#This Row],[Total Qty Sold]]*Table5[[#This Row],[Unit Price]]</f>
        <v>0</v>
      </c>
      <c r="O191" s="9"/>
      <c r="P191" s="40" t="str">
        <f ca="1">IF(Table5[[#This Row],[Last sale Date]]="","Never Sold",TODAY()-Table5[[#This Row],[Last sale Date]])</f>
        <v>Never Sold</v>
      </c>
      <c r="Q191" s="6" t="str">
        <f>IF(Table5[[#This Row],[Re order Level]]&lt;=Table5[[#This Row],[Current stock]],"ORDERASAP","OK BUT BE CHECKING")</f>
        <v>OK BUT BE CHECKING</v>
      </c>
      <c r="R191" s="6" t="str">
        <f t="shared" si="9"/>
        <v>ACTIVE</v>
      </c>
      <c r="S191" s="8">
        <f>IF(Table5[[#This Row],[DEADSTOCK FLAG]]="DEAD",Table5[[#This Row],[Inventory Value]],0)</f>
        <v>0</v>
      </c>
    </row>
    <row r="192" spans="1:19" x14ac:dyDescent="0.25">
      <c r="A192" s="24" t="str">
        <f>'Inventory master'!A192</f>
        <v>ITEM191-A</v>
      </c>
      <c r="B192" s="6" t="str">
        <f>'Inventory master'!B192</f>
        <v>48-Port Fiber Patch Panel</v>
      </c>
      <c r="C192" s="6" t="str">
        <f>'Inventory master'!C192</f>
        <v>Patch Panels</v>
      </c>
      <c r="D192" s="6" t="str">
        <f>'Inventory master'!D192</f>
        <v>Prysmian Group</v>
      </c>
      <c r="E192" s="10" t="str">
        <f>'Inventory master'!E192</f>
        <v>124.94</v>
      </c>
      <c r="F192" s="10" t="str">
        <f>'Inventory master'!F192</f>
        <v>158.53</v>
      </c>
      <c r="G192" s="10" t="str">
        <f>'Inventory master'!G192</f>
        <v>66</v>
      </c>
      <c r="H192" s="8">
        <f>IFERROR(_xlfn.XLOOKUP(A192, 'Opening stock'!A192:A791, 'Opening stock'!E192:E791), "")</f>
        <v>990</v>
      </c>
      <c r="I192" s="8">
        <f>IFERROR(SUMIF(Table3[Item ID],'Inventory calculations'!A192,Table3[Quantity]),0)</f>
        <v>0</v>
      </c>
      <c r="J192" s="8">
        <f>IFERROR(SUMIF(Table4[Item ID],'Inventory calculations'!A192,Table4[Quantity Purchased]),0)</f>
        <v>0</v>
      </c>
      <c r="K192" s="10">
        <f t="shared" si="10"/>
        <v>990</v>
      </c>
      <c r="L192" s="6" t="str">
        <f t="shared" si="11"/>
        <v>OK</v>
      </c>
      <c r="M192" s="13">
        <f t="shared" si="8"/>
        <v>123690.59999999999</v>
      </c>
      <c r="N192" s="8">
        <f>Table5[[#This Row],[Total Qty Sold]]*Table5[[#This Row],[Unit Price]]</f>
        <v>0</v>
      </c>
      <c r="O192" s="9"/>
      <c r="P192" s="40" t="str">
        <f ca="1">IF(Table5[[#This Row],[Last sale Date]]="","Never Sold",TODAY()-Table5[[#This Row],[Last sale Date]])</f>
        <v>Never Sold</v>
      </c>
      <c r="Q192" s="6" t="str">
        <f>IF(Table5[[#This Row],[Re order Level]]&lt;=Table5[[#This Row],[Current stock]],"ORDERASAP","OK BUT BE CHECKING")</f>
        <v>OK BUT BE CHECKING</v>
      </c>
      <c r="R192" s="6" t="str">
        <f t="shared" si="9"/>
        <v>ACTIVE</v>
      </c>
      <c r="S192" s="8">
        <f>IF(Table5[[#This Row],[DEADSTOCK FLAG]]="DEAD",Table5[[#This Row],[Inventory Value]],0)</f>
        <v>0</v>
      </c>
    </row>
    <row r="193" spans="1:19" x14ac:dyDescent="0.25">
      <c r="A193" s="24" t="str">
        <f>'Inventory master'!A193</f>
        <v>ITEM192-A</v>
      </c>
      <c r="B193" s="6" t="str">
        <f>'Inventory master'!B193</f>
        <v>24-Port Fiber Patch Panel</v>
      </c>
      <c r="C193" s="6" t="str">
        <f>'Inventory master'!C193</f>
        <v>Patch Panels</v>
      </c>
      <c r="D193" s="6" t="str">
        <f>'Inventory master'!D193</f>
        <v>Siemon</v>
      </c>
      <c r="E193" s="10" t="str">
        <f>'Inventory master'!E193</f>
        <v>1803.65</v>
      </c>
      <c r="F193" s="10" t="str">
        <f>'Inventory master'!F193</f>
        <v>2902.31</v>
      </c>
      <c r="G193" s="10" t="str">
        <f>'Inventory master'!G193</f>
        <v>94</v>
      </c>
      <c r="H193" s="8">
        <f>IFERROR(_xlfn.XLOOKUP(A193, 'Opening stock'!A193:A792, 'Opening stock'!E193:E792), "")</f>
        <v>1410</v>
      </c>
      <c r="I193" s="8">
        <f>IFERROR(SUMIF(Table3[Item ID],'Inventory calculations'!A193,Table3[Quantity]),0)</f>
        <v>0</v>
      </c>
      <c r="J193" s="8">
        <f>IFERROR(SUMIF(Table4[Item ID],'Inventory calculations'!A193,Table4[Quantity Purchased]),0)</f>
        <v>8</v>
      </c>
      <c r="K193" s="10">
        <f t="shared" si="10"/>
        <v>1418</v>
      </c>
      <c r="L193" s="6" t="str">
        <f t="shared" si="11"/>
        <v>OK</v>
      </c>
      <c r="M193" s="13">
        <f t="shared" si="8"/>
        <v>2557575.7000000002</v>
      </c>
      <c r="N193" s="8">
        <f>Table5[[#This Row],[Total Qty Sold]]*Table5[[#This Row],[Unit Price]]</f>
        <v>0</v>
      </c>
      <c r="O193" s="9"/>
      <c r="P193" s="40" t="str">
        <f ca="1">IF(Table5[[#This Row],[Last sale Date]]="","Never Sold",TODAY()-Table5[[#This Row],[Last sale Date]])</f>
        <v>Never Sold</v>
      </c>
      <c r="Q193" s="6" t="str">
        <f>IF(Table5[[#This Row],[Re order Level]]&lt;=Table5[[#This Row],[Current stock]],"ORDERASAP","OK BUT BE CHECKING")</f>
        <v>OK BUT BE CHECKING</v>
      </c>
      <c r="R193" s="6" t="str">
        <f t="shared" si="9"/>
        <v>ACTIVE</v>
      </c>
      <c r="S193" s="8">
        <f>IF(Table5[[#This Row],[DEADSTOCK FLAG]]="DEAD",Table5[[#This Row],[Inventory Value]],0)</f>
        <v>0</v>
      </c>
    </row>
    <row r="194" spans="1:19" x14ac:dyDescent="0.25">
      <c r="A194" s="24" t="str">
        <f>'Inventory master'!A194</f>
        <v>ITEM193-A</v>
      </c>
      <c r="B194" s="6" t="str">
        <f>'Inventory master'!B194</f>
        <v>Fixed Attenuator 15dB</v>
      </c>
      <c r="C194" s="6" t="str">
        <f>'Inventory master'!C194</f>
        <v>Attenuators</v>
      </c>
      <c r="D194" s="6" t="str">
        <f>'Inventory master'!D194</f>
        <v>Siemon</v>
      </c>
      <c r="E194" s="10" t="str">
        <f>'Inventory master'!E194</f>
        <v>1653.7</v>
      </c>
      <c r="F194" s="10" t="str">
        <f>'Inventory master'!F194</f>
        <v>2968.99</v>
      </c>
      <c r="G194" s="10" t="str">
        <f>'Inventory master'!G194</f>
        <v>69</v>
      </c>
      <c r="H194" s="8">
        <f>IFERROR(_xlfn.XLOOKUP(A194, 'Opening stock'!A194:A793, 'Opening stock'!E194:E793), "")</f>
        <v>1035</v>
      </c>
      <c r="I194" s="8">
        <f>IFERROR(SUMIF(Table3[Item ID],'Inventory calculations'!A194,Table3[Quantity]),0)</f>
        <v>0</v>
      </c>
      <c r="J194" s="8">
        <f>IFERROR(SUMIF(Table4[Item ID],'Inventory calculations'!A194,Table4[Quantity Purchased]),0)</f>
        <v>8</v>
      </c>
      <c r="K194" s="10">
        <f t="shared" si="10"/>
        <v>1043</v>
      </c>
      <c r="L194" s="6" t="str">
        <f t="shared" si="11"/>
        <v>OK</v>
      </c>
      <c r="M194" s="13">
        <f t="shared" ref="M194:M257" si="12">K194*E194</f>
        <v>1724809.1</v>
      </c>
      <c r="N194" s="8">
        <f>Table5[[#This Row],[Total Qty Sold]]*Table5[[#This Row],[Unit Price]]</f>
        <v>0</v>
      </c>
      <c r="O194" s="9"/>
      <c r="P194" s="40" t="str">
        <f ca="1">IF(Table5[[#This Row],[Last sale Date]]="","Never Sold",TODAY()-Table5[[#This Row],[Last sale Date]])</f>
        <v>Never Sold</v>
      </c>
      <c r="Q194" s="6" t="str">
        <f>IF(Table5[[#This Row],[Re order Level]]&lt;=Table5[[#This Row],[Current stock]],"ORDERASAP","OK BUT BE CHECKING")</f>
        <v>OK BUT BE CHECKING</v>
      </c>
      <c r="R194" s="6" t="str">
        <f t="shared" ref="R194:R257" si="13">IF(AND(ISNUMBER(B194), B194 &gt; 60), "DEAD", "ACTIVE")</f>
        <v>ACTIVE</v>
      </c>
      <c r="S194" s="8">
        <f>IF(Table5[[#This Row],[DEADSTOCK FLAG]]="DEAD",Table5[[#This Row],[Inventory Value]],0)</f>
        <v>0</v>
      </c>
    </row>
    <row r="195" spans="1:19" x14ac:dyDescent="0.25">
      <c r="A195" s="24" t="str">
        <f>'Inventory master'!A195</f>
        <v>ITEM194-A</v>
      </c>
      <c r="B195" s="6" t="str">
        <f>'Inventory master'!B195</f>
        <v>FC UPC Connector</v>
      </c>
      <c r="C195" s="6" t="str">
        <f>'Inventory master'!C195</f>
        <v>Connectors</v>
      </c>
      <c r="D195" s="6" t="str">
        <f>'Inventory master'!D195</f>
        <v>Huber+Suhner</v>
      </c>
      <c r="E195" s="10" t="str">
        <f>'Inventory master'!E195</f>
        <v>742.32</v>
      </c>
      <c r="F195" s="10" t="str">
        <f>'Inventory master'!F195</f>
        <v>1301.85</v>
      </c>
      <c r="G195" s="10" t="str">
        <f>'Inventory master'!G195</f>
        <v>99</v>
      </c>
      <c r="H195" s="8">
        <f>IFERROR(_xlfn.XLOOKUP(A195, 'Opening stock'!A195:A794, 'Opening stock'!E195:E794), "")</f>
        <v>1485</v>
      </c>
      <c r="I195" s="8">
        <f>IFERROR(SUMIF(Table3[Item ID],'Inventory calculations'!A195,Table3[Quantity]),0)</f>
        <v>0</v>
      </c>
      <c r="J195" s="8">
        <f>IFERROR(SUMIF(Table4[Item ID],'Inventory calculations'!A195,Table4[Quantity Purchased]),0)</f>
        <v>30</v>
      </c>
      <c r="K195" s="10">
        <f t="shared" ref="K195:K258" si="14">H195+J195-I195</f>
        <v>1515</v>
      </c>
      <c r="L195" s="6" t="str">
        <f t="shared" ref="L195:L258" si="15">IF(K195&lt;0,"STOCK ISSUE","OK")</f>
        <v>OK</v>
      </c>
      <c r="M195" s="13">
        <f t="shared" si="12"/>
        <v>1124614.8</v>
      </c>
      <c r="N195" s="8">
        <f>Table5[[#This Row],[Total Qty Sold]]*Table5[[#This Row],[Unit Price]]</f>
        <v>0</v>
      </c>
      <c r="O195" s="9"/>
      <c r="P195" s="40" t="str">
        <f ca="1">IF(Table5[[#This Row],[Last sale Date]]="","Never Sold",TODAY()-Table5[[#This Row],[Last sale Date]])</f>
        <v>Never Sold</v>
      </c>
      <c r="Q195" s="6" t="str">
        <f>IF(Table5[[#This Row],[Re order Level]]&lt;=Table5[[#This Row],[Current stock]],"ORDERASAP","OK BUT BE CHECKING")</f>
        <v>OK BUT BE CHECKING</v>
      </c>
      <c r="R195" s="6" t="str">
        <f t="shared" si="13"/>
        <v>ACTIVE</v>
      </c>
      <c r="S195" s="8">
        <f>IF(Table5[[#This Row],[DEADSTOCK FLAG]]="DEAD",Table5[[#This Row],[Inventory Value]],0)</f>
        <v>0</v>
      </c>
    </row>
    <row r="196" spans="1:19" x14ac:dyDescent="0.25">
      <c r="A196" s="24" t="str">
        <f>'Inventory master'!A196</f>
        <v>ITEM195-A</v>
      </c>
      <c r="B196" s="6" t="str">
        <f>'Inventory master'!B196</f>
        <v>MTP UPC Connector</v>
      </c>
      <c r="C196" s="6" t="str">
        <f>'Inventory master'!C196</f>
        <v>Connectors</v>
      </c>
      <c r="D196" s="6" t="str">
        <f>'Inventory master'!D196</f>
        <v>Corning Inc.</v>
      </c>
      <c r="E196" s="10" t="str">
        <f>'Inventory master'!E196</f>
        <v>1916.28</v>
      </c>
      <c r="F196" s="10" t="str">
        <f>'Inventory master'!F196</f>
        <v>3256.89</v>
      </c>
      <c r="G196" s="10" t="str">
        <f>'Inventory master'!G196</f>
        <v>93</v>
      </c>
      <c r="H196" s="8">
        <f>IFERROR(_xlfn.XLOOKUP(A196, 'Opening stock'!A196:A795, 'Opening stock'!E196:E795), "")</f>
        <v>1395</v>
      </c>
      <c r="I196" s="8">
        <f>IFERROR(SUMIF(Table3[Item ID],'Inventory calculations'!A196,Table3[Quantity]),0)</f>
        <v>8</v>
      </c>
      <c r="J196" s="8">
        <f>IFERROR(SUMIF(Table4[Item ID],'Inventory calculations'!A196,Table4[Quantity Purchased]),0)</f>
        <v>23</v>
      </c>
      <c r="K196" s="10">
        <f t="shared" si="14"/>
        <v>1410</v>
      </c>
      <c r="L196" s="6" t="str">
        <f t="shared" si="15"/>
        <v>OK</v>
      </c>
      <c r="M196" s="13">
        <f t="shared" si="12"/>
        <v>2701954.8</v>
      </c>
      <c r="N196" s="8">
        <f>Table5[[#This Row],[Total Qty Sold]]*Table5[[#This Row],[Unit Price]]</f>
        <v>26055.119999999999</v>
      </c>
      <c r="O196" s="9">
        <f>IFERROR(_xlfn.MAXIFS(Table3[Date],Table3[Item ID],Table5[[#This Row],[Item ID]]),"")</f>
        <v>45508</v>
      </c>
      <c r="P196" s="40">
        <f ca="1">IF(Table5[[#This Row],[Last sale Date]]="","Never Sold",TODAY()-Table5[[#This Row],[Last sale Date]])</f>
        <v>544</v>
      </c>
      <c r="Q196" s="6" t="str">
        <f>IF(Table5[[#This Row],[Re order Level]]&lt;=Table5[[#This Row],[Current stock]],"ORDERASAP","OK BUT BE CHECKING")</f>
        <v>OK BUT BE CHECKING</v>
      </c>
      <c r="R196" s="6" t="str">
        <f t="shared" si="13"/>
        <v>ACTIVE</v>
      </c>
      <c r="S196" s="8">
        <f>IF(Table5[[#This Row],[DEADSTOCK FLAG]]="DEAD",Table5[[#This Row],[Inventory Value]],0)</f>
        <v>0</v>
      </c>
    </row>
    <row r="197" spans="1:19" x14ac:dyDescent="0.25">
      <c r="A197" s="24" t="str">
        <f>'Inventory master'!A197</f>
        <v>ITEM196-A</v>
      </c>
      <c r="B197" s="6" t="str">
        <f>'Inventory master'!B197</f>
        <v>Armored Fiber Cable 500m</v>
      </c>
      <c r="C197" s="6" t="str">
        <f>'Inventory master'!C197</f>
        <v>Fiber Optic Cables</v>
      </c>
      <c r="D197" s="6" t="str">
        <f>'Inventory master'!D197</f>
        <v>AFL</v>
      </c>
      <c r="E197" s="10" t="str">
        <f>'Inventory master'!E197</f>
        <v>1059.96</v>
      </c>
      <c r="F197" s="10" t="str">
        <f>'Inventory master'!F197</f>
        <v>1686.26</v>
      </c>
      <c r="G197" s="10" t="str">
        <f>'Inventory master'!G197</f>
        <v>99</v>
      </c>
      <c r="H197" s="8">
        <f>IFERROR(_xlfn.XLOOKUP(A197, 'Opening stock'!A197:A796, 'Opening stock'!E197:E796), "")</f>
        <v>1485</v>
      </c>
      <c r="I197" s="8">
        <f>IFERROR(SUMIF(Table3[Item ID],'Inventory calculations'!A197,Table3[Quantity]),0)</f>
        <v>0</v>
      </c>
      <c r="J197" s="8">
        <f>IFERROR(SUMIF(Table4[Item ID],'Inventory calculations'!A197,Table4[Quantity Purchased]),0)</f>
        <v>4</v>
      </c>
      <c r="K197" s="10">
        <f t="shared" si="14"/>
        <v>1489</v>
      </c>
      <c r="L197" s="6" t="str">
        <f t="shared" si="15"/>
        <v>OK</v>
      </c>
      <c r="M197" s="13">
        <f t="shared" si="12"/>
        <v>1578280.44</v>
      </c>
      <c r="N197" s="8">
        <f>Table5[[#This Row],[Total Qty Sold]]*Table5[[#This Row],[Unit Price]]</f>
        <v>0</v>
      </c>
      <c r="O197" s="9"/>
      <c r="P197" s="40" t="str">
        <f ca="1">IF(Table5[[#This Row],[Last sale Date]]="","Never Sold",TODAY()-Table5[[#This Row],[Last sale Date]])</f>
        <v>Never Sold</v>
      </c>
      <c r="Q197" s="6" t="str">
        <f>IF(Table5[[#This Row],[Re order Level]]&lt;=Table5[[#This Row],[Current stock]],"ORDERASAP","OK BUT BE CHECKING")</f>
        <v>OK BUT BE CHECKING</v>
      </c>
      <c r="R197" s="6" t="str">
        <f t="shared" si="13"/>
        <v>ACTIVE</v>
      </c>
      <c r="S197" s="8">
        <f>IF(Table5[[#This Row],[DEADSTOCK FLAG]]="DEAD",Table5[[#This Row],[Inventory Value]],0)</f>
        <v>0</v>
      </c>
    </row>
    <row r="198" spans="1:19" x14ac:dyDescent="0.25">
      <c r="A198" s="24" t="str">
        <f>'Inventory master'!A198</f>
        <v>ITEM197-A</v>
      </c>
      <c r="B198" s="6" t="str">
        <f>'Inventory master'!B198</f>
        <v>Fixed Attenuator 1dB</v>
      </c>
      <c r="C198" s="6" t="str">
        <f>'Inventory master'!C198</f>
        <v>Attenuators</v>
      </c>
      <c r="D198" s="6" t="str">
        <f>'Inventory master'!D198</f>
        <v>CommScope</v>
      </c>
      <c r="E198" s="10" t="str">
        <f>'Inventory master'!E198</f>
        <v>1136.03</v>
      </c>
      <c r="F198" s="10" t="str">
        <f>'Inventory master'!F198</f>
        <v>2107.31</v>
      </c>
      <c r="G198" s="10" t="str">
        <f>'Inventory master'!G198</f>
        <v>38</v>
      </c>
      <c r="H198" s="8">
        <f>IFERROR(_xlfn.XLOOKUP(A198, 'Opening stock'!A198:A797, 'Opening stock'!E198:E797), "")</f>
        <v>570</v>
      </c>
      <c r="I198" s="8">
        <f>IFERROR(SUMIF(Table3[Item ID],'Inventory calculations'!A198,Table3[Quantity]),0)</f>
        <v>0</v>
      </c>
      <c r="J198" s="8">
        <f>IFERROR(SUMIF(Table4[Item ID],'Inventory calculations'!A198,Table4[Quantity Purchased]),0)</f>
        <v>2</v>
      </c>
      <c r="K198" s="10">
        <f t="shared" si="14"/>
        <v>572</v>
      </c>
      <c r="L198" s="6" t="str">
        <f t="shared" si="15"/>
        <v>OK</v>
      </c>
      <c r="M198" s="13">
        <f t="shared" si="12"/>
        <v>649809.16</v>
      </c>
      <c r="N198" s="8">
        <f>Table5[[#This Row],[Total Qty Sold]]*Table5[[#This Row],[Unit Price]]</f>
        <v>0</v>
      </c>
      <c r="O198" s="9"/>
      <c r="P198" s="40" t="str">
        <f ca="1">IF(Table5[[#This Row],[Last sale Date]]="","Never Sold",TODAY()-Table5[[#This Row],[Last sale Date]])</f>
        <v>Never Sold</v>
      </c>
      <c r="Q198" s="6" t="str">
        <f>IF(Table5[[#This Row],[Re order Level]]&lt;=Table5[[#This Row],[Current stock]],"ORDERASAP","OK BUT BE CHECKING")</f>
        <v>OK BUT BE CHECKING</v>
      </c>
      <c r="R198" s="6" t="str">
        <f t="shared" si="13"/>
        <v>ACTIVE</v>
      </c>
      <c r="S198" s="8">
        <f>IF(Table5[[#This Row],[DEADSTOCK FLAG]]="DEAD",Table5[[#This Row],[Inventory Value]],0)</f>
        <v>0</v>
      </c>
    </row>
    <row r="199" spans="1:19" x14ac:dyDescent="0.25">
      <c r="A199" s="24" t="str">
        <f>'Inventory master'!A199</f>
        <v>ITEM198-A</v>
      </c>
      <c r="B199" s="6" t="str">
        <f>'Inventory master'!B199</f>
        <v>Fixed Attenuator 3dB</v>
      </c>
      <c r="C199" s="6" t="str">
        <f>'Inventory master'!C199</f>
        <v>Attenuators</v>
      </c>
      <c r="D199" s="6" t="str">
        <f>'Inventory master'!D199</f>
        <v>Belden</v>
      </c>
      <c r="E199" s="10" t="str">
        <f>'Inventory master'!E199</f>
        <v>1718.73</v>
      </c>
      <c r="F199" s="10" t="str">
        <f>'Inventory master'!F199</f>
        <v>2021.74</v>
      </c>
      <c r="G199" s="10" t="str">
        <f>'Inventory master'!G199</f>
        <v>12</v>
      </c>
      <c r="H199" s="8">
        <f>IFERROR(_xlfn.XLOOKUP(A199, 'Opening stock'!A199:A798, 'Opening stock'!E199:E798), "")</f>
        <v>180</v>
      </c>
      <c r="I199" s="8">
        <f>IFERROR(SUMIF(Table3[Item ID],'Inventory calculations'!A199,Table3[Quantity]),0)</f>
        <v>4</v>
      </c>
      <c r="J199" s="8">
        <f>IFERROR(SUMIF(Table4[Item ID],'Inventory calculations'!A199,Table4[Quantity Purchased]),0)</f>
        <v>4</v>
      </c>
      <c r="K199" s="10">
        <f t="shared" si="14"/>
        <v>180</v>
      </c>
      <c r="L199" s="6" t="str">
        <f t="shared" si="15"/>
        <v>OK</v>
      </c>
      <c r="M199" s="13">
        <f t="shared" si="12"/>
        <v>309371.40000000002</v>
      </c>
      <c r="N199" s="8">
        <f>Table5[[#This Row],[Total Qty Sold]]*Table5[[#This Row],[Unit Price]]</f>
        <v>8086.96</v>
      </c>
      <c r="O199" s="9">
        <f>IFERROR(_xlfn.MAXIFS(Table3[Date],Table3[Item ID],Table5[[#This Row],[Item ID]]),"")</f>
        <v>45837</v>
      </c>
      <c r="P199" s="40">
        <f ca="1">IF(Table5[[#This Row],[Last sale Date]]="","Never Sold",TODAY()-Table5[[#This Row],[Last sale Date]])</f>
        <v>215</v>
      </c>
      <c r="Q199" s="6" t="str">
        <f>IF(Table5[[#This Row],[Re order Level]]&lt;=Table5[[#This Row],[Current stock]],"ORDERASAP","OK BUT BE CHECKING")</f>
        <v>OK BUT BE CHECKING</v>
      </c>
      <c r="R199" s="6" t="str">
        <f t="shared" si="13"/>
        <v>ACTIVE</v>
      </c>
      <c r="S199" s="8">
        <f>IF(Table5[[#This Row],[DEADSTOCK FLAG]]="DEAD",Table5[[#This Row],[Inventory Value]],0)</f>
        <v>0</v>
      </c>
    </row>
    <row r="200" spans="1:19" x14ac:dyDescent="0.25">
      <c r="A200" s="24" t="str">
        <f>'Inventory master'!A200</f>
        <v>ITEM199-A</v>
      </c>
      <c r="B200" s="6" t="str">
        <f>'Inventory master'!B200</f>
        <v>Fusion Splicer</v>
      </c>
      <c r="C200" s="6" t="str">
        <f>'Inventory master'!C200</f>
        <v>Splicers</v>
      </c>
      <c r="D200" s="6" t="str">
        <f>'Inventory master'!D200</f>
        <v>TE Connectivity</v>
      </c>
      <c r="E200" s="10" t="str">
        <f>'Inventory master'!E200</f>
        <v>986.54</v>
      </c>
      <c r="F200" s="10" t="str">
        <f>'Inventory master'!F200</f>
        <v>1446.34</v>
      </c>
      <c r="G200" s="10" t="str">
        <f>'Inventory master'!G200</f>
        <v>45</v>
      </c>
      <c r="H200" s="8">
        <f>IFERROR(_xlfn.XLOOKUP(A200, 'Opening stock'!A200:A799, 'Opening stock'!E200:E799), "")</f>
        <v>675</v>
      </c>
      <c r="I200" s="8">
        <f>IFERROR(SUMIF(Table3[Item ID],'Inventory calculations'!A200,Table3[Quantity]),0)</f>
        <v>0</v>
      </c>
      <c r="J200" s="8">
        <f>IFERROR(SUMIF(Table4[Item ID],'Inventory calculations'!A200,Table4[Quantity Purchased]),0)</f>
        <v>3</v>
      </c>
      <c r="K200" s="10">
        <f t="shared" si="14"/>
        <v>678</v>
      </c>
      <c r="L200" s="6" t="str">
        <f t="shared" si="15"/>
        <v>OK</v>
      </c>
      <c r="M200" s="13">
        <f t="shared" si="12"/>
        <v>668874.12</v>
      </c>
      <c r="N200" s="8">
        <f>Table5[[#This Row],[Total Qty Sold]]*Table5[[#This Row],[Unit Price]]</f>
        <v>0</v>
      </c>
      <c r="O200" s="9"/>
      <c r="P200" s="40" t="str">
        <f ca="1">IF(Table5[[#This Row],[Last sale Date]]="","Never Sold",TODAY()-Table5[[#This Row],[Last sale Date]])</f>
        <v>Never Sold</v>
      </c>
      <c r="Q200" s="6" t="str">
        <f>IF(Table5[[#This Row],[Re order Level]]&lt;=Table5[[#This Row],[Current stock]],"ORDERASAP","OK BUT BE CHECKING")</f>
        <v>OK BUT BE CHECKING</v>
      </c>
      <c r="R200" s="6" t="str">
        <f t="shared" si="13"/>
        <v>ACTIVE</v>
      </c>
      <c r="S200" s="8">
        <f>IF(Table5[[#This Row],[DEADSTOCK FLAG]]="DEAD",Table5[[#This Row],[Inventory Value]],0)</f>
        <v>0</v>
      </c>
    </row>
    <row r="201" spans="1:19" x14ac:dyDescent="0.25">
      <c r="A201" s="24" t="str">
        <f>'Inventory master'!A201</f>
        <v>ITEM200-A</v>
      </c>
      <c r="B201" s="6" t="str">
        <f>'Inventory master'!B201</f>
        <v>Fiber Jumper</v>
      </c>
      <c r="C201" s="6" t="str">
        <f>'Inventory master'!C201</f>
        <v>Accessories</v>
      </c>
      <c r="D201" s="6" t="str">
        <f>'Inventory master'!D201</f>
        <v>AFL</v>
      </c>
      <c r="E201" s="10" t="str">
        <f>'Inventory master'!E201</f>
        <v>1064.98</v>
      </c>
      <c r="F201" s="10" t="str">
        <f>'Inventory master'!F201</f>
        <v>2095.04</v>
      </c>
      <c r="G201" s="10" t="str">
        <f>'Inventory master'!G201</f>
        <v>53</v>
      </c>
      <c r="H201" s="8">
        <f>IFERROR(_xlfn.XLOOKUP(A201, 'Opening stock'!A201:A800, 'Opening stock'!E201:E800), "")</f>
        <v>795</v>
      </c>
      <c r="I201" s="8">
        <f>IFERROR(SUMIF(Table3[Item ID],'Inventory calculations'!A201,Table3[Quantity]),0)</f>
        <v>200</v>
      </c>
      <c r="J201" s="8">
        <f>IFERROR(SUMIF(Table4[Item ID],'Inventory calculations'!A201,Table4[Quantity Purchased]),0)</f>
        <v>0</v>
      </c>
      <c r="K201" s="10">
        <f t="shared" si="14"/>
        <v>595</v>
      </c>
      <c r="L201" s="6" t="str">
        <f t="shared" si="15"/>
        <v>OK</v>
      </c>
      <c r="M201" s="13">
        <f t="shared" si="12"/>
        <v>633663.1</v>
      </c>
      <c r="N201" s="8">
        <f>Table5[[#This Row],[Total Qty Sold]]*Table5[[#This Row],[Unit Price]]</f>
        <v>419008</v>
      </c>
      <c r="O201" s="9">
        <f>IFERROR(_xlfn.MAXIFS(Table3[Date],Table3[Item ID],Table5[[#This Row],[Item ID]]),"")</f>
        <v>45649</v>
      </c>
      <c r="P201" s="40">
        <f ca="1">IF(Table5[[#This Row],[Last sale Date]]="","Never Sold",TODAY()-Table5[[#This Row],[Last sale Date]])</f>
        <v>403</v>
      </c>
      <c r="Q201" s="6" t="str">
        <f>IF(Table5[[#This Row],[Re order Level]]&lt;=Table5[[#This Row],[Current stock]],"ORDERASAP","OK BUT BE CHECKING")</f>
        <v>OK BUT BE CHECKING</v>
      </c>
      <c r="R201" s="6" t="str">
        <f t="shared" si="13"/>
        <v>ACTIVE</v>
      </c>
      <c r="S201" s="8">
        <f>IF(Table5[[#This Row],[DEADSTOCK FLAG]]="DEAD",Table5[[#This Row],[Inventory Value]],0)</f>
        <v>0</v>
      </c>
    </row>
    <row r="202" spans="1:19" x14ac:dyDescent="0.25">
      <c r="A202" s="24" t="str">
        <f>'Inventory master'!A202</f>
        <v>ITEM201-A</v>
      </c>
      <c r="B202" s="6" t="str">
        <f>'Inventory master'!B202</f>
        <v>LC UPC Connector</v>
      </c>
      <c r="C202" s="6" t="str">
        <f>'Inventory master'!C202</f>
        <v>Connectors</v>
      </c>
      <c r="D202" s="6" t="str">
        <f>'Inventory master'!D202</f>
        <v>Leviton</v>
      </c>
      <c r="E202" s="10" t="str">
        <f>'Inventory master'!E202</f>
        <v>1873.51</v>
      </c>
      <c r="F202" s="10" t="str">
        <f>'Inventory master'!F202</f>
        <v>3047.44</v>
      </c>
      <c r="G202" s="10" t="str">
        <f>'Inventory master'!G202</f>
        <v>17</v>
      </c>
      <c r="H202" s="8">
        <f>IFERROR(_xlfn.XLOOKUP(A202, 'Opening stock'!A202:A801, 'Opening stock'!E202:E801), "")</f>
        <v>255</v>
      </c>
      <c r="I202" s="8">
        <f>IFERROR(SUMIF(Table3[Item ID],'Inventory calculations'!A202,Table3[Quantity]),0)</f>
        <v>0</v>
      </c>
      <c r="J202" s="8">
        <f>IFERROR(SUMIF(Table4[Item ID],'Inventory calculations'!A202,Table4[Quantity Purchased]),0)</f>
        <v>0</v>
      </c>
      <c r="K202" s="10">
        <f t="shared" si="14"/>
        <v>255</v>
      </c>
      <c r="L202" s="6" t="str">
        <f t="shared" si="15"/>
        <v>OK</v>
      </c>
      <c r="M202" s="13">
        <f t="shared" si="12"/>
        <v>477745.05</v>
      </c>
      <c r="N202" s="8">
        <f>Table5[[#This Row],[Total Qty Sold]]*Table5[[#This Row],[Unit Price]]</f>
        <v>0</v>
      </c>
      <c r="O202" s="9"/>
      <c r="P202" s="40" t="str">
        <f ca="1">IF(Table5[[#This Row],[Last sale Date]]="","Never Sold",TODAY()-Table5[[#This Row],[Last sale Date]])</f>
        <v>Never Sold</v>
      </c>
      <c r="Q202" s="6" t="str">
        <f>IF(Table5[[#This Row],[Re order Level]]&lt;=Table5[[#This Row],[Current stock]],"ORDERASAP","OK BUT BE CHECKING")</f>
        <v>OK BUT BE CHECKING</v>
      </c>
      <c r="R202" s="6" t="str">
        <f t="shared" si="13"/>
        <v>ACTIVE</v>
      </c>
      <c r="S202" s="8">
        <f>IF(Table5[[#This Row],[DEADSTOCK FLAG]]="DEAD",Table5[[#This Row],[Inventory Value]],0)</f>
        <v>0</v>
      </c>
    </row>
    <row r="203" spans="1:19" x14ac:dyDescent="0.25">
      <c r="A203" s="24" t="str">
        <f>'Inventory master'!A203</f>
        <v>ITEM202-A</v>
      </c>
      <c r="B203" s="6" t="str">
        <f>'Inventory master'!B203</f>
        <v>LC UPC Connector</v>
      </c>
      <c r="C203" s="6" t="str">
        <f>'Inventory master'!C203</f>
        <v>Connectors</v>
      </c>
      <c r="D203" s="6" t="str">
        <f>'Inventory master'!D203</f>
        <v>Panduit</v>
      </c>
      <c r="E203" s="10" t="str">
        <f>'Inventory master'!E203</f>
        <v>106.55</v>
      </c>
      <c r="F203" s="10" t="str">
        <f>'Inventory master'!F203</f>
        <v>189.98</v>
      </c>
      <c r="G203" s="10" t="str">
        <f>'Inventory master'!G203</f>
        <v>43</v>
      </c>
      <c r="H203" s="8">
        <f>IFERROR(_xlfn.XLOOKUP(A203, 'Opening stock'!A203:A802, 'Opening stock'!E203:E802), "")</f>
        <v>645</v>
      </c>
      <c r="I203" s="8">
        <f>IFERROR(SUMIF(Table3[Item ID],'Inventory calculations'!A203,Table3[Quantity]),0)</f>
        <v>0</v>
      </c>
      <c r="J203" s="8">
        <f>IFERROR(SUMIF(Table4[Item ID],'Inventory calculations'!A203,Table4[Quantity Purchased]),0)</f>
        <v>4</v>
      </c>
      <c r="K203" s="10">
        <f t="shared" si="14"/>
        <v>649</v>
      </c>
      <c r="L203" s="6" t="str">
        <f t="shared" si="15"/>
        <v>OK</v>
      </c>
      <c r="M203" s="13">
        <f t="shared" si="12"/>
        <v>69150.95</v>
      </c>
      <c r="N203" s="8">
        <f>Table5[[#This Row],[Total Qty Sold]]*Table5[[#This Row],[Unit Price]]</f>
        <v>0</v>
      </c>
      <c r="O203" s="9"/>
      <c r="P203" s="40" t="str">
        <f ca="1">IF(Table5[[#This Row],[Last sale Date]]="","Never Sold",TODAY()-Table5[[#This Row],[Last sale Date]])</f>
        <v>Never Sold</v>
      </c>
      <c r="Q203" s="6" t="str">
        <f>IF(Table5[[#This Row],[Re order Level]]&lt;=Table5[[#This Row],[Current stock]],"ORDERASAP","OK BUT BE CHECKING")</f>
        <v>OK BUT BE CHECKING</v>
      </c>
      <c r="R203" s="6" t="str">
        <f t="shared" si="13"/>
        <v>ACTIVE</v>
      </c>
      <c r="S203" s="8">
        <f>IF(Table5[[#This Row],[DEADSTOCK FLAG]]="DEAD",Table5[[#This Row],[Inventory Value]],0)</f>
        <v>0</v>
      </c>
    </row>
    <row r="204" spans="1:19" x14ac:dyDescent="0.25">
      <c r="A204" s="24" t="str">
        <f>'Inventory master'!A204</f>
        <v>ITEM203-A</v>
      </c>
      <c r="B204" s="6" t="str">
        <f>'Inventory master'!B204</f>
        <v>QSFP28 Transceiver</v>
      </c>
      <c r="C204" s="6" t="str">
        <f>'Inventory master'!C204</f>
        <v>Transceivers</v>
      </c>
      <c r="D204" s="6" t="str">
        <f>'Inventory master'!D204</f>
        <v>Panduit</v>
      </c>
      <c r="E204" s="10" t="str">
        <f>'Inventory master'!E204</f>
        <v>1541.48</v>
      </c>
      <c r="F204" s="10" t="str">
        <f>'Inventory master'!F204</f>
        <v>2920.66</v>
      </c>
      <c r="G204" s="10" t="str">
        <f>'Inventory master'!G204</f>
        <v>26</v>
      </c>
      <c r="H204" s="8">
        <f>IFERROR(_xlfn.XLOOKUP(A204, 'Opening stock'!A204:A803, 'Opening stock'!E204:E803), "")</f>
        <v>390</v>
      </c>
      <c r="I204" s="8">
        <f>IFERROR(SUMIF(Table3[Item ID],'Inventory calculations'!A204,Table3[Quantity]),0)</f>
        <v>6</v>
      </c>
      <c r="J204" s="8">
        <f>IFERROR(SUMIF(Table4[Item ID],'Inventory calculations'!A204,Table4[Quantity Purchased]),0)</f>
        <v>4</v>
      </c>
      <c r="K204" s="10">
        <f t="shared" si="14"/>
        <v>388</v>
      </c>
      <c r="L204" s="6" t="str">
        <f t="shared" si="15"/>
        <v>OK</v>
      </c>
      <c r="M204" s="13">
        <f t="shared" si="12"/>
        <v>598094.24</v>
      </c>
      <c r="N204" s="8">
        <f>Table5[[#This Row],[Total Qty Sold]]*Table5[[#This Row],[Unit Price]]</f>
        <v>17523.96</v>
      </c>
      <c r="O204" s="9">
        <f>IFERROR(_xlfn.MAXIFS(Table3[Date],Table3[Item ID],Table5[[#This Row],[Item ID]]),"")</f>
        <v>45503</v>
      </c>
      <c r="P204" s="40">
        <f ca="1">IF(Table5[[#This Row],[Last sale Date]]="","Never Sold",TODAY()-Table5[[#This Row],[Last sale Date]])</f>
        <v>549</v>
      </c>
      <c r="Q204" s="6" t="str">
        <f>IF(Table5[[#This Row],[Re order Level]]&lt;=Table5[[#This Row],[Current stock]],"ORDERASAP","OK BUT BE CHECKING")</f>
        <v>OK BUT BE CHECKING</v>
      </c>
      <c r="R204" s="6" t="str">
        <f t="shared" si="13"/>
        <v>ACTIVE</v>
      </c>
      <c r="S204" s="8">
        <f>IF(Table5[[#This Row],[DEADSTOCK FLAG]]="DEAD",Table5[[#This Row],[Inventory Value]],0)</f>
        <v>0</v>
      </c>
    </row>
    <row r="205" spans="1:19" x14ac:dyDescent="0.25">
      <c r="A205" s="24" t="str">
        <f>'Inventory master'!A205</f>
        <v>ITEM204-A</v>
      </c>
      <c r="B205" s="6" t="str">
        <f>'Inventory master'!B205</f>
        <v>SFP+ Transceiver</v>
      </c>
      <c r="C205" s="6" t="str">
        <f>'Inventory master'!C205</f>
        <v>Transceivers</v>
      </c>
      <c r="D205" s="6" t="str">
        <f>'Inventory master'!D205</f>
        <v>Amphenol</v>
      </c>
      <c r="E205" s="10" t="str">
        <f>'Inventory master'!E205</f>
        <v>1639.77</v>
      </c>
      <c r="F205" s="10" t="str">
        <f>'Inventory master'!F205</f>
        <v>2282.14</v>
      </c>
      <c r="G205" s="10" t="str">
        <f>'Inventory master'!G205</f>
        <v>27</v>
      </c>
      <c r="H205" s="8">
        <f>IFERROR(_xlfn.XLOOKUP(A205, 'Opening stock'!A205:A804, 'Opening stock'!E205:E804), "")</f>
        <v>405</v>
      </c>
      <c r="I205" s="8">
        <f>IFERROR(SUMIF(Table3[Item ID],'Inventory calculations'!A205,Table3[Quantity]),0)</f>
        <v>0</v>
      </c>
      <c r="J205" s="8">
        <f>IFERROR(SUMIF(Table4[Item ID],'Inventory calculations'!A205,Table4[Quantity Purchased]),0)</f>
        <v>13</v>
      </c>
      <c r="K205" s="10">
        <f t="shared" si="14"/>
        <v>418</v>
      </c>
      <c r="L205" s="6" t="str">
        <f t="shared" si="15"/>
        <v>OK</v>
      </c>
      <c r="M205" s="13">
        <f t="shared" si="12"/>
        <v>685423.86</v>
      </c>
      <c r="N205" s="8">
        <f>Table5[[#This Row],[Total Qty Sold]]*Table5[[#This Row],[Unit Price]]</f>
        <v>0</v>
      </c>
      <c r="O205" s="9"/>
      <c r="P205" s="40" t="str">
        <f ca="1">IF(Table5[[#This Row],[Last sale Date]]="","Never Sold",TODAY()-Table5[[#This Row],[Last sale Date]])</f>
        <v>Never Sold</v>
      </c>
      <c r="Q205" s="6" t="str">
        <f>IF(Table5[[#This Row],[Re order Level]]&lt;=Table5[[#This Row],[Current stock]],"ORDERASAP","OK BUT BE CHECKING")</f>
        <v>OK BUT BE CHECKING</v>
      </c>
      <c r="R205" s="6" t="str">
        <f t="shared" si="13"/>
        <v>ACTIVE</v>
      </c>
      <c r="S205" s="8">
        <f>IF(Table5[[#This Row],[DEADSTOCK FLAG]]="DEAD",Table5[[#This Row],[Inventory Value]],0)</f>
        <v>0</v>
      </c>
    </row>
    <row r="206" spans="1:19" x14ac:dyDescent="0.25">
      <c r="A206" s="24" t="str">
        <f>'Inventory master'!A206</f>
        <v>ITEM205-A</v>
      </c>
      <c r="B206" s="6" t="str">
        <f>'Inventory master'!B206</f>
        <v>Pedestal Enclosure</v>
      </c>
      <c r="C206" s="6" t="str">
        <f>'Inventory master'!C206</f>
        <v>Enclosures</v>
      </c>
      <c r="D206" s="6" t="str">
        <f>'Inventory master'!D206</f>
        <v>AFL</v>
      </c>
      <c r="E206" s="10" t="str">
        <f>'Inventory master'!E206</f>
        <v>352.76</v>
      </c>
      <c r="F206" s="10" t="str">
        <f>'Inventory master'!F206</f>
        <v>496.46</v>
      </c>
      <c r="G206" s="10" t="str">
        <f>'Inventory master'!G206</f>
        <v>25</v>
      </c>
      <c r="H206" s="8">
        <f>IFERROR(_xlfn.XLOOKUP(A206, 'Opening stock'!A206:A805, 'Opening stock'!E206:E805), "")</f>
        <v>375</v>
      </c>
      <c r="I206" s="8">
        <f>IFERROR(SUMIF(Table3[Item ID],'Inventory calculations'!A206,Table3[Quantity]),0)</f>
        <v>13</v>
      </c>
      <c r="J206" s="8">
        <f>IFERROR(SUMIF(Table4[Item ID],'Inventory calculations'!A206,Table4[Quantity Purchased]),0)</f>
        <v>13</v>
      </c>
      <c r="K206" s="10">
        <f t="shared" si="14"/>
        <v>375</v>
      </c>
      <c r="L206" s="6" t="str">
        <f t="shared" si="15"/>
        <v>OK</v>
      </c>
      <c r="M206" s="13">
        <f t="shared" si="12"/>
        <v>132285</v>
      </c>
      <c r="N206" s="8">
        <f>Table5[[#This Row],[Total Qty Sold]]*Table5[[#This Row],[Unit Price]]</f>
        <v>6453.98</v>
      </c>
      <c r="O206" s="9">
        <f>IFERROR(_xlfn.MAXIFS(Table3[Date],Table3[Item ID],Table5[[#This Row],[Item ID]]),"")</f>
        <v>45656</v>
      </c>
      <c r="P206" s="40">
        <f ca="1">IF(Table5[[#This Row],[Last sale Date]]="","Never Sold",TODAY()-Table5[[#This Row],[Last sale Date]])</f>
        <v>396</v>
      </c>
      <c r="Q206" s="6" t="str">
        <f>IF(Table5[[#This Row],[Re order Level]]&lt;=Table5[[#This Row],[Current stock]],"ORDERASAP","OK BUT BE CHECKING")</f>
        <v>OK BUT BE CHECKING</v>
      </c>
      <c r="R206" s="6" t="str">
        <f t="shared" si="13"/>
        <v>ACTIVE</v>
      </c>
      <c r="S206" s="8">
        <f>IF(Table5[[#This Row],[DEADSTOCK FLAG]]="DEAD",Table5[[#This Row],[Inventory Value]],0)</f>
        <v>0</v>
      </c>
    </row>
    <row r="207" spans="1:19" x14ac:dyDescent="0.25">
      <c r="A207" s="24" t="str">
        <f>'Inventory master'!A207</f>
        <v>ITEM206-A</v>
      </c>
      <c r="B207" s="6" t="str">
        <f>'Inventory master'!B207</f>
        <v>96-Port Fiber Patch Panel</v>
      </c>
      <c r="C207" s="6" t="str">
        <f>'Inventory master'!C207</f>
        <v>Patch Panels</v>
      </c>
      <c r="D207" s="6" t="str">
        <f>'Inventory master'!D207</f>
        <v>TE Connectivity</v>
      </c>
      <c r="E207" s="10" t="str">
        <f>'Inventory master'!E207</f>
        <v>1459.98</v>
      </c>
      <c r="F207" s="10" t="str">
        <f>'Inventory master'!F207</f>
        <v>1979.7</v>
      </c>
      <c r="G207" s="10" t="str">
        <f>'Inventory master'!G207</f>
        <v>55</v>
      </c>
      <c r="H207" s="8">
        <f>IFERROR(_xlfn.XLOOKUP(A207, 'Opening stock'!A207:A806, 'Opening stock'!E207:E806), "")</f>
        <v>825</v>
      </c>
      <c r="I207" s="8">
        <f>IFERROR(SUMIF(Table3[Item ID],'Inventory calculations'!A207,Table3[Quantity]),0)</f>
        <v>0</v>
      </c>
      <c r="J207" s="8">
        <f>IFERROR(SUMIF(Table4[Item ID],'Inventory calculations'!A207,Table4[Quantity Purchased]),0)</f>
        <v>11</v>
      </c>
      <c r="K207" s="10">
        <f t="shared" si="14"/>
        <v>836</v>
      </c>
      <c r="L207" s="6" t="str">
        <f t="shared" si="15"/>
        <v>OK</v>
      </c>
      <c r="M207" s="13">
        <f t="shared" si="12"/>
        <v>1220543.28</v>
      </c>
      <c r="N207" s="8">
        <f>Table5[[#This Row],[Total Qty Sold]]*Table5[[#This Row],[Unit Price]]</f>
        <v>0</v>
      </c>
      <c r="O207" s="9"/>
      <c r="P207" s="40" t="str">
        <f ca="1">IF(Table5[[#This Row],[Last sale Date]]="","Never Sold",TODAY()-Table5[[#This Row],[Last sale Date]])</f>
        <v>Never Sold</v>
      </c>
      <c r="Q207" s="6" t="str">
        <f>IF(Table5[[#This Row],[Re order Level]]&lt;=Table5[[#This Row],[Current stock]],"ORDERASAP","OK BUT BE CHECKING")</f>
        <v>OK BUT BE CHECKING</v>
      </c>
      <c r="R207" s="6" t="str">
        <f t="shared" si="13"/>
        <v>ACTIVE</v>
      </c>
      <c r="S207" s="8">
        <f>IF(Table5[[#This Row],[DEADSTOCK FLAG]]="DEAD",Table5[[#This Row],[Inventory Value]],0)</f>
        <v>0</v>
      </c>
    </row>
    <row r="208" spans="1:19" x14ac:dyDescent="0.25">
      <c r="A208" s="24" t="str">
        <f>'Inventory master'!A208</f>
        <v>ITEM207-A</v>
      </c>
      <c r="B208" s="6" t="str">
        <f>'Inventory master'!B208</f>
        <v>Fusion Splicer</v>
      </c>
      <c r="C208" s="6" t="str">
        <f>'Inventory master'!C208</f>
        <v>Splicers</v>
      </c>
      <c r="D208" s="6" t="str">
        <f>'Inventory master'!D208</f>
        <v>Leviton</v>
      </c>
      <c r="E208" s="10" t="str">
        <f>'Inventory master'!E208</f>
        <v>694.52</v>
      </c>
      <c r="F208" s="10" t="str">
        <f>'Inventory master'!F208</f>
        <v>778.25</v>
      </c>
      <c r="G208" s="10" t="str">
        <f>'Inventory master'!G208</f>
        <v>50</v>
      </c>
      <c r="H208" s="8">
        <f>IFERROR(_xlfn.XLOOKUP(A208, 'Opening stock'!A208:A807, 'Opening stock'!E208:E807), "")</f>
        <v>750</v>
      </c>
      <c r="I208" s="8">
        <f>IFERROR(SUMIF(Table3[Item ID],'Inventory calculations'!A208,Table3[Quantity]),0)</f>
        <v>0</v>
      </c>
      <c r="J208" s="8">
        <f>IFERROR(SUMIF(Table4[Item ID],'Inventory calculations'!A208,Table4[Quantity Purchased]),0)</f>
        <v>0</v>
      </c>
      <c r="K208" s="10">
        <f t="shared" si="14"/>
        <v>750</v>
      </c>
      <c r="L208" s="6" t="str">
        <f t="shared" si="15"/>
        <v>OK</v>
      </c>
      <c r="M208" s="13">
        <f t="shared" si="12"/>
        <v>520890</v>
      </c>
      <c r="N208" s="8">
        <f>Table5[[#This Row],[Total Qty Sold]]*Table5[[#This Row],[Unit Price]]</f>
        <v>0</v>
      </c>
      <c r="O208" s="9"/>
      <c r="P208" s="40" t="str">
        <f ca="1">IF(Table5[[#This Row],[Last sale Date]]="","Never Sold",TODAY()-Table5[[#This Row],[Last sale Date]])</f>
        <v>Never Sold</v>
      </c>
      <c r="Q208" s="6" t="str">
        <f>IF(Table5[[#This Row],[Re order Level]]&lt;=Table5[[#This Row],[Current stock]],"ORDERASAP","OK BUT BE CHECKING")</f>
        <v>OK BUT BE CHECKING</v>
      </c>
      <c r="R208" s="6" t="str">
        <f t="shared" si="13"/>
        <v>ACTIVE</v>
      </c>
      <c r="S208" s="8">
        <f>IF(Table5[[#This Row],[DEADSTOCK FLAG]]="DEAD",Table5[[#This Row],[Inventory Value]],0)</f>
        <v>0</v>
      </c>
    </row>
    <row r="209" spans="1:19" x14ac:dyDescent="0.25">
      <c r="A209" s="24" t="str">
        <f>'Inventory master'!A209</f>
        <v>ITEM208-A</v>
      </c>
      <c r="B209" s="6" t="str">
        <f>'Inventory master'!B209</f>
        <v>Mechanical Splicer</v>
      </c>
      <c r="C209" s="6" t="str">
        <f>'Inventory master'!C209</f>
        <v>Splicers</v>
      </c>
      <c r="D209" s="6" t="str">
        <f>'Inventory master'!D209</f>
        <v>CommScope</v>
      </c>
      <c r="E209" s="10" t="str">
        <f>'Inventory master'!E209</f>
        <v>508.26</v>
      </c>
      <c r="F209" s="10" t="str">
        <f>'Inventory master'!F209</f>
        <v>1010.68</v>
      </c>
      <c r="G209" s="10" t="str">
        <f>'Inventory master'!G209</f>
        <v>98</v>
      </c>
      <c r="H209" s="8">
        <f>IFERROR(_xlfn.XLOOKUP(A209, 'Opening stock'!A209:A808, 'Opening stock'!E209:E808), "")</f>
        <v>1470</v>
      </c>
      <c r="I209" s="8">
        <f>IFERROR(SUMIF(Table3[Item ID],'Inventory calculations'!A209,Table3[Quantity]),0)</f>
        <v>0</v>
      </c>
      <c r="J209" s="8">
        <f>IFERROR(SUMIF(Table4[Item ID],'Inventory calculations'!A209,Table4[Quantity Purchased]),0)</f>
        <v>0</v>
      </c>
      <c r="K209" s="10">
        <f t="shared" si="14"/>
        <v>1470</v>
      </c>
      <c r="L209" s="6" t="str">
        <f t="shared" si="15"/>
        <v>OK</v>
      </c>
      <c r="M209" s="13">
        <f t="shared" si="12"/>
        <v>747142.2</v>
      </c>
      <c r="N209" s="8">
        <f>Table5[[#This Row],[Total Qty Sold]]*Table5[[#This Row],[Unit Price]]</f>
        <v>0</v>
      </c>
      <c r="O209" s="9"/>
      <c r="P209" s="40" t="str">
        <f ca="1">IF(Table5[[#This Row],[Last sale Date]]="","Never Sold",TODAY()-Table5[[#This Row],[Last sale Date]])</f>
        <v>Never Sold</v>
      </c>
      <c r="Q209" s="6" t="str">
        <f>IF(Table5[[#This Row],[Re order Level]]&lt;=Table5[[#This Row],[Current stock]],"ORDERASAP","OK BUT BE CHECKING")</f>
        <v>OK BUT BE CHECKING</v>
      </c>
      <c r="R209" s="6" t="str">
        <f t="shared" si="13"/>
        <v>ACTIVE</v>
      </c>
      <c r="S209" s="8">
        <f>IF(Table5[[#This Row],[DEADSTOCK FLAG]]="DEAD",Table5[[#This Row],[Inventory Value]],0)</f>
        <v>0</v>
      </c>
    </row>
    <row r="210" spans="1:19" x14ac:dyDescent="0.25">
      <c r="A210" s="24" t="str">
        <f>'Inventory master'!A210</f>
        <v>ITEM209-A</v>
      </c>
      <c r="B210" s="6" t="str">
        <f>'Inventory master'!B210</f>
        <v>Dome Enclosure</v>
      </c>
      <c r="C210" s="6" t="str">
        <f>'Inventory master'!C210</f>
        <v>Enclosures</v>
      </c>
      <c r="D210" s="6" t="str">
        <f>'Inventory master'!D210</f>
        <v>Siemon</v>
      </c>
      <c r="E210" s="10" t="str">
        <f>'Inventory master'!E210</f>
        <v>885.03</v>
      </c>
      <c r="F210" s="10" t="str">
        <f>'Inventory master'!F210</f>
        <v>1633.92</v>
      </c>
      <c r="G210" s="10" t="str">
        <f>'Inventory master'!G210</f>
        <v>36</v>
      </c>
      <c r="H210" s="8">
        <f>IFERROR(_xlfn.XLOOKUP(A210, 'Opening stock'!A210:A809, 'Opening stock'!E210:E809), "")</f>
        <v>540</v>
      </c>
      <c r="I210" s="8">
        <f>IFERROR(SUMIF(Table3[Item ID],'Inventory calculations'!A210,Table3[Quantity]),0)</f>
        <v>0</v>
      </c>
      <c r="J210" s="8">
        <f>IFERROR(SUMIF(Table4[Item ID],'Inventory calculations'!A210,Table4[Quantity Purchased]),0)</f>
        <v>0</v>
      </c>
      <c r="K210" s="10">
        <f t="shared" si="14"/>
        <v>540</v>
      </c>
      <c r="L210" s="6" t="str">
        <f t="shared" si="15"/>
        <v>OK</v>
      </c>
      <c r="M210" s="13">
        <f t="shared" si="12"/>
        <v>477916.2</v>
      </c>
      <c r="N210" s="8">
        <f>Table5[[#This Row],[Total Qty Sold]]*Table5[[#This Row],[Unit Price]]</f>
        <v>0</v>
      </c>
      <c r="O210" s="9"/>
      <c r="P210" s="40" t="str">
        <f ca="1">IF(Table5[[#This Row],[Last sale Date]]="","Never Sold",TODAY()-Table5[[#This Row],[Last sale Date]])</f>
        <v>Never Sold</v>
      </c>
      <c r="Q210" s="6" t="str">
        <f>IF(Table5[[#This Row],[Re order Level]]&lt;=Table5[[#This Row],[Current stock]],"ORDERASAP","OK BUT BE CHECKING")</f>
        <v>OK BUT BE CHECKING</v>
      </c>
      <c r="R210" s="6" t="str">
        <f t="shared" si="13"/>
        <v>ACTIVE</v>
      </c>
      <c r="S210" s="8">
        <f>IF(Table5[[#This Row],[DEADSTOCK FLAG]]="DEAD",Table5[[#This Row],[Inventory Value]],0)</f>
        <v>0</v>
      </c>
    </row>
    <row r="211" spans="1:19" x14ac:dyDescent="0.25">
      <c r="A211" s="24" t="str">
        <f>'Inventory master'!A211</f>
        <v>ITEM210-A</v>
      </c>
      <c r="B211" s="6" t="str">
        <f>'Inventory master'!B211</f>
        <v>MPO UPC Connector</v>
      </c>
      <c r="C211" s="6" t="str">
        <f>'Inventory master'!C211</f>
        <v>Connectors</v>
      </c>
      <c r="D211" s="6" t="str">
        <f>'Inventory master'!D211</f>
        <v>Huber+Suhner</v>
      </c>
      <c r="E211" s="10" t="str">
        <f>'Inventory master'!E211</f>
        <v>476.75</v>
      </c>
      <c r="F211" s="10" t="str">
        <f>'Inventory master'!F211</f>
        <v>828.65</v>
      </c>
      <c r="G211" s="10" t="str">
        <f>'Inventory master'!G211</f>
        <v>29</v>
      </c>
      <c r="H211" s="8">
        <f>IFERROR(_xlfn.XLOOKUP(A211, 'Opening stock'!A211:A810, 'Opening stock'!E211:E810), "")</f>
        <v>435</v>
      </c>
      <c r="I211" s="8">
        <f>IFERROR(SUMIF(Table3[Item ID],'Inventory calculations'!A211,Table3[Quantity]),0)</f>
        <v>8</v>
      </c>
      <c r="J211" s="8">
        <f>IFERROR(SUMIF(Table4[Item ID],'Inventory calculations'!A211,Table4[Quantity Purchased]),0)</f>
        <v>8</v>
      </c>
      <c r="K211" s="10">
        <f t="shared" si="14"/>
        <v>435</v>
      </c>
      <c r="L211" s="6" t="str">
        <f t="shared" si="15"/>
        <v>OK</v>
      </c>
      <c r="M211" s="13">
        <f t="shared" si="12"/>
        <v>207386.25</v>
      </c>
      <c r="N211" s="8">
        <f>Table5[[#This Row],[Total Qty Sold]]*Table5[[#This Row],[Unit Price]]</f>
        <v>6629.2</v>
      </c>
      <c r="O211" s="9">
        <f>IFERROR(_xlfn.MAXIFS(Table3[Date],Table3[Item ID],Table5[[#This Row],[Item ID]]),"")</f>
        <v>45933</v>
      </c>
      <c r="P211" s="40">
        <f ca="1">IF(Table5[[#This Row],[Last sale Date]]="","Never Sold",TODAY()-Table5[[#This Row],[Last sale Date]])</f>
        <v>119</v>
      </c>
      <c r="Q211" s="6" t="str">
        <f>IF(Table5[[#This Row],[Re order Level]]&lt;=Table5[[#This Row],[Current stock]],"ORDERASAP","OK BUT BE CHECKING")</f>
        <v>OK BUT BE CHECKING</v>
      </c>
      <c r="R211" s="6" t="str">
        <f t="shared" si="13"/>
        <v>ACTIVE</v>
      </c>
      <c r="S211" s="8">
        <f>IF(Table5[[#This Row],[DEADSTOCK FLAG]]="DEAD",Table5[[#This Row],[Inventory Value]],0)</f>
        <v>0</v>
      </c>
    </row>
    <row r="212" spans="1:19" x14ac:dyDescent="0.25">
      <c r="A212" s="24" t="str">
        <f>'Inventory master'!A212</f>
        <v>ITEM211-A</v>
      </c>
      <c r="B212" s="6" t="str">
        <f>'Inventory master'!B212</f>
        <v>Fiber Optic Cutter</v>
      </c>
      <c r="C212" s="6" t="str">
        <f>'Inventory master'!C212</f>
        <v>Tools</v>
      </c>
      <c r="D212" s="6" t="str">
        <f>'Inventory master'!D212</f>
        <v>CommScope</v>
      </c>
      <c r="E212" s="10" t="str">
        <f>'Inventory master'!E212</f>
        <v>1685.14</v>
      </c>
      <c r="F212" s="10" t="str">
        <f>'Inventory master'!F212</f>
        <v>2383.24</v>
      </c>
      <c r="G212" s="10" t="str">
        <f>'Inventory master'!G212</f>
        <v>10</v>
      </c>
      <c r="H212" s="8">
        <f>IFERROR(_xlfn.XLOOKUP(A212, 'Opening stock'!A212:A811, 'Opening stock'!E212:E811), "")</f>
        <v>150</v>
      </c>
      <c r="I212" s="8">
        <f>IFERROR(SUMIF(Table3[Item ID],'Inventory calculations'!A212,Table3[Quantity]),0)</f>
        <v>136</v>
      </c>
      <c r="J212" s="8">
        <f>IFERROR(SUMIF(Table4[Item ID],'Inventory calculations'!A212,Table4[Quantity Purchased]),0)</f>
        <v>0</v>
      </c>
      <c r="K212" s="10">
        <f t="shared" si="14"/>
        <v>14</v>
      </c>
      <c r="L212" s="6" t="str">
        <f t="shared" si="15"/>
        <v>OK</v>
      </c>
      <c r="M212" s="13">
        <f t="shared" si="12"/>
        <v>23591.960000000003</v>
      </c>
      <c r="N212" s="8">
        <f>Table5[[#This Row],[Total Qty Sold]]*Table5[[#This Row],[Unit Price]]</f>
        <v>324120.63999999996</v>
      </c>
      <c r="O212" s="9">
        <f>IFERROR(_xlfn.MAXIFS(Table3[Date],Table3[Item ID],Table5[[#This Row],[Item ID]]),"")</f>
        <v>46013</v>
      </c>
      <c r="P212" s="40">
        <f ca="1">IF(Table5[[#This Row],[Last sale Date]]="","Never Sold",TODAY()-Table5[[#This Row],[Last sale Date]])</f>
        <v>39</v>
      </c>
      <c r="Q212" s="6" t="str">
        <f>IF(Table5[[#This Row],[Re order Level]]&lt;=Table5[[#This Row],[Current stock]],"ORDERASAP","OK BUT BE CHECKING")</f>
        <v>OK BUT BE CHECKING</v>
      </c>
      <c r="R212" s="6" t="str">
        <f t="shared" si="13"/>
        <v>ACTIVE</v>
      </c>
      <c r="S212" s="8">
        <f>IF(Table5[[#This Row],[DEADSTOCK FLAG]]="DEAD",Table5[[#This Row],[Inventory Value]],0)</f>
        <v>0</v>
      </c>
    </row>
    <row r="213" spans="1:19" x14ac:dyDescent="0.25">
      <c r="A213" s="24" t="str">
        <f>'Inventory master'!A213</f>
        <v>ITEM212-A</v>
      </c>
      <c r="B213" s="6" t="str">
        <f>'Inventory master'!B213</f>
        <v>LC APC Connector</v>
      </c>
      <c r="C213" s="6" t="str">
        <f>'Inventory master'!C213</f>
        <v>Connectors</v>
      </c>
      <c r="D213" s="6" t="str">
        <f>'Inventory master'!D213</f>
        <v>Siemon</v>
      </c>
      <c r="E213" s="10" t="str">
        <f>'Inventory master'!E213</f>
        <v>1191.96</v>
      </c>
      <c r="F213" s="10" t="str">
        <f>'Inventory master'!F213</f>
        <v>1947.55</v>
      </c>
      <c r="G213" s="10" t="str">
        <f>'Inventory master'!G213</f>
        <v>18</v>
      </c>
      <c r="H213" s="8">
        <f>IFERROR(_xlfn.XLOOKUP(A213, 'Opening stock'!A213:A812, 'Opening stock'!E213:E812), "")</f>
        <v>270</v>
      </c>
      <c r="I213" s="8">
        <f>IFERROR(SUMIF(Table3[Item ID],'Inventory calculations'!A213,Table3[Quantity]),0)</f>
        <v>4</v>
      </c>
      <c r="J213" s="8">
        <f>IFERROR(SUMIF(Table4[Item ID],'Inventory calculations'!A213,Table4[Quantity Purchased]),0)</f>
        <v>0</v>
      </c>
      <c r="K213" s="10">
        <f t="shared" si="14"/>
        <v>266</v>
      </c>
      <c r="L213" s="6" t="str">
        <f t="shared" si="15"/>
        <v>OK</v>
      </c>
      <c r="M213" s="13">
        <f t="shared" si="12"/>
        <v>317061.36</v>
      </c>
      <c r="N213" s="8">
        <f>Table5[[#This Row],[Total Qty Sold]]*Table5[[#This Row],[Unit Price]]</f>
        <v>7790.2</v>
      </c>
      <c r="O213" s="9">
        <f>IFERROR(_xlfn.MAXIFS(Table3[Date],Table3[Item ID],Table5[[#This Row],[Item ID]]),"")</f>
        <v>45443</v>
      </c>
      <c r="P213" s="40">
        <f ca="1">IF(Table5[[#This Row],[Last sale Date]]="","Never Sold",TODAY()-Table5[[#This Row],[Last sale Date]])</f>
        <v>609</v>
      </c>
      <c r="Q213" s="6" t="str">
        <f>IF(Table5[[#This Row],[Re order Level]]&lt;=Table5[[#This Row],[Current stock]],"ORDERASAP","OK BUT BE CHECKING")</f>
        <v>OK BUT BE CHECKING</v>
      </c>
      <c r="R213" s="6" t="str">
        <f t="shared" si="13"/>
        <v>ACTIVE</v>
      </c>
      <c r="S213" s="8">
        <f>IF(Table5[[#This Row],[DEADSTOCK FLAG]]="DEAD",Table5[[#This Row],[Inventory Value]],0)</f>
        <v>0</v>
      </c>
    </row>
    <row r="214" spans="1:19" x14ac:dyDescent="0.25">
      <c r="A214" s="24" t="str">
        <f>'Inventory master'!A214</f>
        <v>ITEM213-A</v>
      </c>
      <c r="B214" s="6" t="str">
        <f>'Inventory master'!B214</f>
        <v>MTP UPC Connector</v>
      </c>
      <c r="C214" s="6" t="str">
        <f>'Inventory master'!C214</f>
        <v>Connectors</v>
      </c>
      <c r="D214" s="6" t="str">
        <f>'Inventory master'!D214</f>
        <v>Belden</v>
      </c>
      <c r="E214" s="10" t="str">
        <f>'Inventory master'!E214</f>
        <v>987.13</v>
      </c>
      <c r="F214" s="10" t="str">
        <f>'Inventory master'!F214</f>
        <v>1832.87</v>
      </c>
      <c r="G214" s="10" t="str">
        <f>'Inventory master'!G214</f>
        <v>91</v>
      </c>
      <c r="H214" s="8">
        <f>IFERROR(_xlfn.XLOOKUP(A214, 'Opening stock'!A214:A813, 'Opening stock'!E214:E813), "")</f>
        <v>1365</v>
      </c>
      <c r="I214" s="8">
        <f>IFERROR(SUMIF(Table3[Item ID],'Inventory calculations'!A214,Table3[Quantity]),0)</f>
        <v>0</v>
      </c>
      <c r="J214" s="8">
        <f>IFERROR(SUMIF(Table4[Item ID],'Inventory calculations'!A214,Table4[Quantity Purchased]),0)</f>
        <v>0</v>
      </c>
      <c r="K214" s="10">
        <f t="shared" si="14"/>
        <v>1365</v>
      </c>
      <c r="L214" s="6" t="str">
        <f t="shared" si="15"/>
        <v>OK</v>
      </c>
      <c r="M214" s="13">
        <f t="shared" si="12"/>
        <v>1347432.45</v>
      </c>
      <c r="N214" s="8">
        <f>Table5[[#This Row],[Total Qty Sold]]*Table5[[#This Row],[Unit Price]]</f>
        <v>0</v>
      </c>
      <c r="O214" s="9"/>
      <c r="P214" s="40" t="str">
        <f ca="1">IF(Table5[[#This Row],[Last sale Date]]="","Never Sold",TODAY()-Table5[[#This Row],[Last sale Date]])</f>
        <v>Never Sold</v>
      </c>
      <c r="Q214" s="6" t="str">
        <f>IF(Table5[[#This Row],[Re order Level]]&lt;=Table5[[#This Row],[Current stock]],"ORDERASAP","OK BUT BE CHECKING")</f>
        <v>OK BUT BE CHECKING</v>
      </c>
      <c r="R214" s="6" t="str">
        <f t="shared" si="13"/>
        <v>ACTIVE</v>
      </c>
      <c r="S214" s="8">
        <f>IF(Table5[[#This Row],[DEADSTOCK FLAG]]="DEAD",Table5[[#This Row],[Inventory Value]],0)</f>
        <v>0</v>
      </c>
    </row>
    <row r="215" spans="1:19" x14ac:dyDescent="0.25">
      <c r="A215" s="24" t="str">
        <f>'Inventory master'!A215</f>
        <v>ITEM214-A</v>
      </c>
      <c r="B215" s="6" t="str">
        <f>'Inventory master'!B215</f>
        <v>Fixed Attenuator 1dB</v>
      </c>
      <c r="C215" s="6" t="str">
        <f>'Inventory master'!C215</f>
        <v>Attenuators</v>
      </c>
      <c r="D215" s="6" t="str">
        <f>'Inventory master'!D215</f>
        <v>Amphenol</v>
      </c>
      <c r="E215" s="10" t="str">
        <f>'Inventory master'!E215</f>
        <v>1406.27</v>
      </c>
      <c r="F215" s="10" t="str">
        <f>'Inventory master'!F215</f>
        <v>2629.15</v>
      </c>
      <c r="G215" s="10" t="str">
        <f>'Inventory master'!G215</f>
        <v>53</v>
      </c>
      <c r="H215" s="8">
        <f>IFERROR(_xlfn.XLOOKUP(A215, 'Opening stock'!A215:A814, 'Opening stock'!E215:E814), "")</f>
        <v>795</v>
      </c>
      <c r="I215" s="8">
        <f>IFERROR(SUMIF(Table3[Item ID],'Inventory calculations'!A215,Table3[Quantity]),0)</f>
        <v>0</v>
      </c>
      <c r="J215" s="8">
        <f>IFERROR(SUMIF(Table4[Item ID],'Inventory calculations'!A215,Table4[Quantity Purchased]),0)</f>
        <v>0</v>
      </c>
      <c r="K215" s="10">
        <f t="shared" si="14"/>
        <v>795</v>
      </c>
      <c r="L215" s="6" t="str">
        <f t="shared" si="15"/>
        <v>OK</v>
      </c>
      <c r="M215" s="13">
        <f t="shared" si="12"/>
        <v>1117984.6499999999</v>
      </c>
      <c r="N215" s="8">
        <f>Table5[[#This Row],[Total Qty Sold]]*Table5[[#This Row],[Unit Price]]</f>
        <v>0</v>
      </c>
      <c r="O215" s="9"/>
      <c r="P215" s="40" t="str">
        <f ca="1">IF(Table5[[#This Row],[Last sale Date]]="","Never Sold",TODAY()-Table5[[#This Row],[Last sale Date]])</f>
        <v>Never Sold</v>
      </c>
      <c r="Q215" s="6" t="str">
        <f>IF(Table5[[#This Row],[Re order Level]]&lt;=Table5[[#This Row],[Current stock]],"ORDERASAP","OK BUT BE CHECKING")</f>
        <v>OK BUT BE CHECKING</v>
      </c>
      <c r="R215" s="6" t="str">
        <f t="shared" si="13"/>
        <v>ACTIVE</v>
      </c>
      <c r="S215" s="8">
        <f>IF(Table5[[#This Row],[DEADSTOCK FLAG]]="DEAD",Table5[[#This Row],[Inventory Value]],0)</f>
        <v>0</v>
      </c>
    </row>
    <row r="216" spans="1:19" x14ac:dyDescent="0.25">
      <c r="A216" s="24" t="str">
        <f>'Inventory master'!A216</f>
        <v>ITEM215-A</v>
      </c>
      <c r="B216" s="6" t="str">
        <f>'Inventory master'!B216</f>
        <v>Fiber Optic Cutter</v>
      </c>
      <c r="C216" s="6" t="str">
        <f>'Inventory master'!C216</f>
        <v>Tools</v>
      </c>
      <c r="D216" s="6" t="str">
        <f>'Inventory master'!D216</f>
        <v>Siemon</v>
      </c>
      <c r="E216" s="10" t="str">
        <f>'Inventory master'!E216</f>
        <v>565.76</v>
      </c>
      <c r="F216" s="10" t="str">
        <f>'Inventory master'!F216</f>
        <v>857.05</v>
      </c>
      <c r="G216" s="10" t="str">
        <f>'Inventory master'!G216</f>
        <v>98</v>
      </c>
      <c r="H216" s="8">
        <f>IFERROR(_xlfn.XLOOKUP(A216, 'Opening stock'!A216:A815, 'Opening stock'!E216:E815), "")</f>
        <v>1470</v>
      </c>
      <c r="I216" s="8">
        <f>IFERROR(SUMIF(Table3[Item ID],'Inventory calculations'!A216,Table3[Quantity]),0)</f>
        <v>0</v>
      </c>
      <c r="J216" s="8">
        <f>IFERROR(SUMIF(Table4[Item ID],'Inventory calculations'!A216,Table4[Quantity Purchased]),0)</f>
        <v>8</v>
      </c>
      <c r="K216" s="10">
        <f t="shared" si="14"/>
        <v>1478</v>
      </c>
      <c r="L216" s="6" t="str">
        <f t="shared" si="15"/>
        <v>OK</v>
      </c>
      <c r="M216" s="13">
        <f t="shared" si="12"/>
        <v>836193.28000000003</v>
      </c>
      <c r="N216" s="8">
        <f>Table5[[#This Row],[Total Qty Sold]]*Table5[[#This Row],[Unit Price]]</f>
        <v>0</v>
      </c>
      <c r="O216" s="9"/>
      <c r="P216" s="40" t="str">
        <f ca="1">IF(Table5[[#This Row],[Last sale Date]]="","Never Sold",TODAY()-Table5[[#This Row],[Last sale Date]])</f>
        <v>Never Sold</v>
      </c>
      <c r="Q216" s="6" t="str">
        <f>IF(Table5[[#This Row],[Re order Level]]&lt;=Table5[[#This Row],[Current stock]],"ORDERASAP","OK BUT BE CHECKING")</f>
        <v>OK BUT BE CHECKING</v>
      </c>
      <c r="R216" s="6" t="str">
        <f t="shared" si="13"/>
        <v>ACTIVE</v>
      </c>
      <c r="S216" s="8">
        <f>IF(Table5[[#This Row],[DEADSTOCK FLAG]]="DEAD",Table5[[#This Row],[Inventory Value]],0)</f>
        <v>0</v>
      </c>
    </row>
    <row r="217" spans="1:19" x14ac:dyDescent="0.25">
      <c r="A217" s="24" t="str">
        <f>'Inventory master'!A217</f>
        <v>ITEM216-A</v>
      </c>
      <c r="B217" s="6" t="str">
        <f>'Inventory master'!B217</f>
        <v>96-Port Fiber Patch Panel</v>
      </c>
      <c r="C217" s="6" t="str">
        <f>'Inventory master'!C217</f>
        <v>Patch Panels</v>
      </c>
      <c r="D217" s="6" t="str">
        <f>'Inventory master'!D217</f>
        <v>Corning Inc.</v>
      </c>
      <c r="E217" s="10" t="str">
        <f>'Inventory master'!E217</f>
        <v>614.69</v>
      </c>
      <c r="F217" s="10" t="str">
        <f>'Inventory master'!F217</f>
        <v>681.31</v>
      </c>
      <c r="G217" s="10" t="str">
        <f>'Inventory master'!G217</f>
        <v>57</v>
      </c>
      <c r="H217" s="8">
        <f>IFERROR(_xlfn.XLOOKUP(A217, 'Opening stock'!A217:A816, 'Opening stock'!E217:E816), "")</f>
        <v>855</v>
      </c>
      <c r="I217" s="8">
        <f>IFERROR(SUMIF(Table3[Item ID],'Inventory calculations'!A217,Table3[Quantity]),0)</f>
        <v>0</v>
      </c>
      <c r="J217" s="8">
        <f>IFERROR(SUMIF(Table4[Item ID],'Inventory calculations'!A217,Table4[Quantity Purchased]),0)</f>
        <v>9</v>
      </c>
      <c r="K217" s="10">
        <f t="shared" si="14"/>
        <v>864</v>
      </c>
      <c r="L217" s="6" t="str">
        <f t="shared" si="15"/>
        <v>OK</v>
      </c>
      <c r="M217" s="13">
        <f t="shared" si="12"/>
        <v>531092.16</v>
      </c>
      <c r="N217" s="8">
        <f>Table5[[#This Row],[Total Qty Sold]]*Table5[[#This Row],[Unit Price]]</f>
        <v>0</v>
      </c>
      <c r="O217" s="9"/>
      <c r="P217" s="40" t="str">
        <f ca="1">IF(Table5[[#This Row],[Last sale Date]]="","Never Sold",TODAY()-Table5[[#This Row],[Last sale Date]])</f>
        <v>Never Sold</v>
      </c>
      <c r="Q217" s="6" t="str">
        <f>IF(Table5[[#This Row],[Re order Level]]&lt;=Table5[[#This Row],[Current stock]],"ORDERASAP","OK BUT BE CHECKING")</f>
        <v>OK BUT BE CHECKING</v>
      </c>
      <c r="R217" s="6" t="str">
        <f t="shared" si="13"/>
        <v>ACTIVE</v>
      </c>
      <c r="S217" s="8">
        <f>IF(Table5[[#This Row],[DEADSTOCK FLAG]]="DEAD",Table5[[#This Row],[Inventory Value]],0)</f>
        <v>0</v>
      </c>
    </row>
    <row r="218" spans="1:19" x14ac:dyDescent="0.25">
      <c r="A218" s="24" t="str">
        <f>'Inventory master'!A218</f>
        <v>ITEM217-A</v>
      </c>
      <c r="B218" s="6" t="str">
        <f>'Inventory master'!B218</f>
        <v>Outdoor Fiber Cable 200m</v>
      </c>
      <c r="C218" s="6" t="str">
        <f>'Inventory master'!C218</f>
        <v>Fiber Optic Cables</v>
      </c>
      <c r="D218" s="6" t="str">
        <f>'Inventory master'!D218</f>
        <v>Panduit</v>
      </c>
      <c r="E218" s="10" t="str">
        <f>'Inventory master'!E218</f>
        <v>514.58</v>
      </c>
      <c r="F218" s="10" t="str">
        <f>'Inventory master'!F218</f>
        <v>817.06</v>
      </c>
      <c r="G218" s="10" t="str">
        <f>'Inventory master'!G218</f>
        <v>56</v>
      </c>
      <c r="H218" s="8">
        <f>IFERROR(_xlfn.XLOOKUP(A218, 'Opening stock'!A218:A817, 'Opening stock'!E218:E817), "")</f>
        <v>840</v>
      </c>
      <c r="I218" s="8">
        <f>IFERROR(SUMIF(Table3[Item ID],'Inventory calculations'!A218,Table3[Quantity]),0)</f>
        <v>3</v>
      </c>
      <c r="J218" s="8">
        <f>IFERROR(SUMIF(Table4[Item ID],'Inventory calculations'!A218,Table4[Quantity Purchased]),0)</f>
        <v>29</v>
      </c>
      <c r="K218" s="10">
        <f t="shared" si="14"/>
        <v>866</v>
      </c>
      <c r="L218" s="6" t="str">
        <f t="shared" si="15"/>
        <v>OK</v>
      </c>
      <c r="M218" s="13">
        <f t="shared" si="12"/>
        <v>445626.28</v>
      </c>
      <c r="N218" s="8">
        <f>Table5[[#This Row],[Total Qty Sold]]*Table5[[#This Row],[Unit Price]]</f>
        <v>2451.1799999999998</v>
      </c>
      <c r="O218" s="9">
        <f>IFERROR(_xlfn.MAXIFS(Table3[Date],Table3[Item ID],Table5[[#This Row],[Item ID]]),"")</f>
        <v>45630</v>
      </c>
      <c r="P218" s="40">
        <f ca="1">IF(Table5[[#This Row],[Last sale Date]]="","Never Sold",TODAY()-Table5[[#This Row],[Last sale Date]])</f>
        <v>422</v>
      </c>
      <c r="Q218" s="6" t="str">
        <f>IF(Table5[[#This Row],[Re order Level]]&lt;=Table5[[#This Row],[Current stock]],"ORDERASAP","OK BUT BE CHECKING")</f>
        <v>OK BUT BE CHECKING</v>
      </c>
      <c r="R218" s="6" t="str">
        <f t="shared" si="13"/>
        <v>ACTIVE</v>
      </c>
      <c r="S218" s="8">
        <f>IF(Table5[[#This Row],[DEADSTOCK FLAG]]="DEAD",Table5[[#This Row],[Inventory Value]],0)</f>
        <v>0</v>
      </c>
    </row>
    <row r="219" spans="1:19" x14ac:dyDescent="0.25">
      <c r="A219" s="24" t="str">
        <f>'Inventory master'!A219</f>
        <v>ITEM218-A</v>
      </c>
      <c r="B219" s="6" t="str">
        <f>'Inventory master'!B219</f>
        <v>MTP APC Connector</v>
      </c>
      <c r="C219" s="6" t="str">
        <f>'Inventory master'!C219</f>
        <v>Connectors</v>
      </c>
      <c r="D219" s="6" t="str">
        <f>'Inventory master'!D219</f>
        <v>Belden</v>
      </c>
      <c r="E219" s="10" t="str">
        <f>'Inventory master'!E219</f>
        <v>576.2</v>
      </c>
      <c r="F219" s="10" t="str">
        <f>'Inventory master'!F219</f>
        <v>771.37</v>
      </c>
      <c r="G219" s="10" t="str">
        <f>'Inventory master'!G219</f>
        <v>60</v>
      </c>
      <c r="H219" s="8">
        <f>IFERROR(_xlfn.XLOOKUP(A219, 'Opening stock'!A219:A818, 'Opening stock'!E219:E818), "")</f>
        <v>900</v>
      </c>
      <c r="I219" s="8">
        <f>IFERROR(SUMIF(Table3[Item ID],'Inventory calculations'!A219,Table3[Quantity]),0)</f>
        <v>0</v>
      </c>
      <c r="J219" s="8">
        <f>IFERROR(SUMIF(Table4[Item ID],'Inventory calculations'!A219,Table4[Quantity Purchased]),0)</f>
        <v>0</v>
      </c>
      <c r="K219" s="10">
        <f t="shared" si="14"/>
        <v>900</v>
      </c>
      <c r="L219" s="6" t="str">
        <f t="shared" si="15"/>
        <v>OK</v>
      </c>
      <c r="M219" s="13">
        <f t="shared" si="12"/>
        <v>518580.00000000006</v>
      </c>
      <c r="N219" s="8">
        <f>Table5[[#This Row],[Total Qty Sold]]*Table5[[#This Row],[Unit Price]]</f>
        <v>0</v>
      </c>
      <c r="O219" s="9"/>
      <c r="P219" s="40" t="str">
        <f ca="1">IF(Table5[[#This Row],[Last sale Date]]="","Never Sold",TODAY()-Table5[[#This Row],[Last sale Date]])</f>
        <v>Never Sold</v>
      </c>
      <c r="Q219" s="6" t="str">
        <f>IF(Table5[[#This Row],[Re order Level]]&lt;=Table5[[#This Row],[Current stock]],"ORDERASAP","OK BUT BE CHECKING")</f>
        <v>OK BUT BE CHECKING</v>
      </c>
      <c r="R219" s="6" t="str">
        <f t="shared" si="13"/>
        <v>ACTIVE</v>
      </c>
      <c r="S219" s="8">
        <f>IF(Table5[[#This Row],[DEADSTOCK FLAG]]="DEAD",Table5[[#This Row],[Inventory Value]],0)</f>
        <v>0</v>
      </c>
    </row>
    <row r="220" spans="1:19" x14ac:dyDescent="0.25">
      <c r="A220" s="24" t="str">
        <f>'Inventory master'!A220</f>
        <v>ITEM219-A</v>
      </c>
      <c r="B220" s="6" t="str">
        <f>'Inventory master'!B220</f>
        <v>Fiber Cleaner</v>
      </c>
      <c r="C220" s="6" t="str">
        <f>'Inventory master'!C220</f>
        <v>Accessories</v>
      </c>
      <c r="D220" s="6" t="str">
        <f>'Inventory master'!D220</f>
        <v>Amphenol</v>
      </c>
      <c r="E220" s="10" t="str">
        <f>'Inventory master'!E220</f>
        <v>156.61</v>
      </c>
      <c r="F220" s="10" t="str">
        <f>'Inventory master'!F220</f>
        <v>240.23</v>
      </c>
      <c r="G220" s="10" t="str">
        <f>'Inventory master'!G220</f>
        <v>56</v>
      </c>
      <c r="H220" s="8">
        <f>IFERROR(_xlfn.XLOOKUP(A220, 'Opening stock'!A220:A819, 'Opening stock'!E220:E819), "")</f>
        <v>840</v>
      </c>
      <c r="I220" s="8">
        <f>IFERROR(SUMIF(Table3[Item ID],'Inventory calculations'!A220,Table3[Quantity]),0)</f>
        <v>0</v>
      </c>
      <c r="J220" s="8">
        <f>IFERROR(SUMIF(Table4[Item ID],'Inventory calculations'!A220,Table4[Quantity Purchased]),0)</f>
        <v>5</v>
      </c>
      <c r="K220" s="10">
        <f t="shared" si="14"/>
        <v>845</v>
      </c>
      <c r="L220" s="6" t="str">
        <f t="shared" si="15"/>
        <v>OK</v>
      </c>
      <c r="M220" s="13">
        <f t="shared" si="12"/>
        <v>132335.45000000001</v>
      </c>
      <c r="N220" s="8">
        <f>Table5[[#This Row],[Total Qty Sold]]*Table5[[#This Row],[Unit Price]]</f>
        <v>0</v>
      </c>
      <c r="O220" s="9"/>
      <c r="P220" s="40" t="str">
        <f ca="1">IF(Table5[[#This Row],[Last sale Date]]="","Never Sold",TODAY()-Table5[[#This Row],[Last sale Date]])</f>
        <v>Never Sold</v>
      </c>
      <c r="Q220" s="6" t="str">
        <f>IF(Table5[[#This Row],[Re order Level]]&lt;=Table5[[#This Row],[Current stock]],"ORDERASAP","OK BUT BE CHECKING")</f>
        <v>OK BUT BE CHECKING</v>
      </c>
      <c r="R220" s="6" t="str">
        <f t="shared" si="13"/>
        <v>ACTIVE</v>
      </c>
      <c r="S220" s="8">
        <f>IF(Table5[[#This Row],[DEADSTOCK FLAG]]="DEAD",Table5[[#This Row],[Inventory Value]],0)</f>
        <v>0</v>
      </c>
    </row>
    <row r="221" spans="1:19" x14ac:dyDescent="0.25">
      <c r="A221" s="24" t="str">
        <f>'Inventory master'!A221</f>
        <v>ITEM220-A</v>
      </c>
      <c r="B221" s="6" t="str">
        <f>'Inventory master'!B221</f>
        <v>Pedestal Enclosure</v>
      </c>
      <c r="C221" s="6" t="str">
        <f>'Inventory master'!C221</f>
        <v>Enclosures</v>
      </c>
      <c r="D221" s="6" t="str">
        <f>'Inventory master'!D221</f>
        <v>CommScope</v>
      </c>
      <c r="E221" s="10" t="str">
        <f>'Inventory master'!E221</f>
        <v>1526.95</v>
      </c>
      <c r="F221" s="10" t="str">
        <f>'Inventory master'!F221</f>
        <v>2028.18</v>
      </c>
      <c r="G221" s="10" t="str">
        <f>'Inventory master'!G221</f>
        <v>86</v>
      </c>
      <c r="H221" s="8">
        <f>IFERROR(_xlfn.XLOOKUP(A221, 'Opening stock'!A221:A820, 'Opening stock'!E221:E820), "")</f>
        <v>1290</v>
      </c>
      <c r="I221" s="8">
        <f>IFERROR(SUMIF(Table3[Item ID],'Inventory calculations'!A221,Table3[Quantity]),0)</f>
        <v>0</v>
      </c>
      <c r="J221" s="8">
        <f>IFERROR(SUMIF(Table4[Item ID],'Inventory calculations'!A221,Table4[Quantity Purchased]),0)</f>
        <v>0</v>
      </c>
      <c r="K221" s="10">
        <f t="shared" si="14"/>
        <v>1290</v>
      </c>
      <c r="L221" s="6" t="str">
        <f t="shared" si="15"/>
        <v>OK</v>
      </c>
      <c r="M221" s="13">
        <f t="shared" si="12"/>
        <v>1969765.5</v>
      </c>
      <c r="N221" s="8">
        <f>Table5[[#This Row],[Total Qty Sold]]*Table5[[#This Row],[Unit Price]]</f>
        <v>0</v>
      </c>
      <c r="O221" s="9"/>
      <c r="P221" s="40" t="str">
        <f ca="1">IF(Table5[[#This Row],[Last sale Date]]="","Never Sold",TODAY()-Table5[[#This Row],[Last sale Date]])</f>
        <v>Never Sold</v>
      </c>
      <c r="Q221" s="6" t="str">
        <f>IF(Table5[[#This Row],[Re order Level]]&lt;=Table5[[#This Row],[Current stock]],"ORDERASAP","OK BUT BE CHECKING")</f>
        <v>OK BUT BE CHECKING</v>
      </c>
      <c r="R221" s="6" t="str">
        <f t="shared" si="13"/>
        <v>ACTIVE</v>
      </c>
      <c r="S221" s="8">
        <f>IF(Table5[[#This Row],[DEADSTOCK FLAG]]="DEAD",Table5[[#This Row],[Inventory Value]],0)</f>
        <v>0</v>
      </c>
    </row>
    <row r="222" spans="1:19" x14ac:dyDescent="0.25">
      <c r="A222" s="24" t="str">
        <f>'Inventory master'!A222</f>
        <v>ITEM221-A</v>
      </c>
      <c r="B222" s="6" t="str">
        <f>'Inventory master'!B222</f>
        <v>Outdoor Fiber Cable 200m</v>
      </c>
      <c r="C222" s="6" t="str">
        <f>'Inventory master'!C222</f>
        <v>Fiber Optic Cables</v>
      </c>
      <c r="D222" s="6" t="str">
        <f>'Inventory master'!D222</f>
        <v>HellermannTyton</v>
      </c>
      <c r="E222" s="10" t="str">
        <f>'Inventory master'!E222</f>
        <v>677.52</v>
      </c>
      <c r="F222" s="10" t="str">
        <f>'Inventory master'!F222</f>
        <v>747.37</v>
      </c>
      <c r="G222" s="10" t="str">
        <f>'Inventory master'!G222</f>
        <v>34</v>
      </c>
      <c r="H222" s="8">
        <f>IFERROR(_xlfn.XLOOKUP(A222, 'Opening stock'!A222:A821, 'Opening stock'!E222:E821), "")</f>
        <v>510</v>
      </c>
      <c r="I222" s="8">
        <f>IFERROR(SUMIF(Table3[Item ID],'Inventory calculations'!A222,Table3[Quantity]),0)</f>
        <v>6</v>
      </c>
      <c r="J222" s="8">
        <f>IFERROR(SUMIF(Table4[Item ID],'Inventory calculations'!A222,Table4[Quantity Purchased]),0)</f>
        <v>0</v>
      </c>
      <c r="K222" s="10">
        <f t="shared" si="14"/>
        <v>504</v>
      </c>
      <c r="L222" s="6" t="str">
        <f t="shared" si="15"/>
        <v>OK</v>
      </c>
      <c r="M222" s="13">
        <f t="shared" si="12"/>
        <v>341470.08</v>
      </c>
      <c r="N222" s="8">
        <f>Table5[[#This Row],[Total Qty Sold]]*Table5[[#This Row],[Unit Price]]</f>
        <v>4484.22</v>
      </c>
      <c r="O222" s="9">
        <f>IFERROR(_xlfn.MAXIFS(Table3[Date],Table3[Item ID],Table5[[#This Row],[Item ID]]),"")</f>
        <v>45426</v>
      </c>
      <c r="P222" s="40">
        <f ca="1">IF(Table5[[#This Row],[Last sale Date]]="","Never Sold",TODAY()-Table5[[#This Row],[Last sale Date]])</f>
        <v>626</v>
      </c>
      <c r="Q222" s="6" t="str">
        <f>IF(Table5[[#This Row],[Re order Level]]&lt;=Table5[[#This Row],[Current stock]],"ORDERASAP","OK BUT BE CHECKING")</f>
        <v>OK BUT BE CHECKING</v>
      </c>
      <c r="R222" s="6" t="str">
        <f t="shared" si="13"/>
        <v>ACTIVE</v>
      </c>
      <c r="S222" s="8">
        <f>IF(Table5[[#This Row],[DEADSTOCK FLAG]]="DEAD",Table5[[#This Row],[Inventory Value]],0)</f>
        <v>0</v>
      </c>
    </row>
    <row r="223" spans="1:19" x14ac:dyDescent="0.25">
      <c r="A223" s="24" t="str">
        <f>'Inventory master'!A223</f>
        <v>ITEM222-A</v>
      </c>
      <c r="B223" s="6" t="str">
        <f>'Inventory master'!B223</f>
        <v>Mechanical Splicer</v>
      </c>
      <c r="C223" s="6" t="str">
        <f>'Inventory master'!C223</f>
        <v>Splicers</v>
      </c>
      <c r="D223" s="6" t="str">
        <f>'Inventory master'!D223</f>
        <v>CommScope</v>
      </c>
      <c r="E223" s="10" t="str">
        <f>'Inventory master'!E223</f>
        <v>205.16</v>
      </c>
      <c r="F223" s="10" t="str">
        <f>'Inventory master'!F223</f>
        <v>256.84</v>
      </c>
      <c r="G223" s="10" t="str">
        <f>'Inventory master'!G223</f>
        <v>66</v>
      </c>
      <c r="H223" s="8">
        <f>IFERROR(_xlfn.XLOOKUP(A223, 'Opening stock'!A223:A822, 'Opening stock'!E223:E822), "")</f>
        <v>990</v>
      </c>
      <c r="I223" s="8">
        <f>IFERROR(SUMIF(Table3[Item ID],'Inventory calculations'!A223,Table3[Quantity]),0)</f>
        <v>0</v>
      </c>
      <c r="J223" s="8">
        <f>IFERROR(SUMIF(Table4[Item ID],'Inventory calculations'!A223,Table4[Quantity Purchased]),0)</f>
        <v>0</v>
      </c>
      <c r="K223" s="10">
        <f t="shared" si="14"/>
        <v>990</v>
      </c>
      <c r="L223" s="6" t="str">
        <f t="shared" si="15"/>
        <v>OK</v>
      </c>
      <c r="M223" s="13">
        <f t="shared" si="12"/>
        <v>203108.4</v>
      </c>
      <c r="N223" s="8">
        <f>Table5[[#This Row],[Total Qty Sold]]*Table5[[#This Row],[Unit Price]]</f>
        <v>0</v>
      </c>
      <c r="O223" s="9"/>
      <c r="P223" s="40" t="str">
        <f ca="1">IF(Table5[[#This Row],[Last sale Date]]="","Never Sold",TODAY()-Table5[[#This Row],[Last sale Date]])</f>
        <v>Never Sold</v>
      </c>
      <c r="Q223" s="6" t="str">
        <f>IF(Table5[[#This Row],[Re order Level]]&lt;=Table5[[#This Row],[Current stock]],"ORDERASAP","OK BUT BE CHECKING")</f>
        <v>OK BUT BE CHECKING</v>
      </c>
      <c r="R223" s="6" t="str">
        <f t="shared" si="13"/>
        <v>ACTIVE</v>
      </c>
      <c r="S223" s="8">
        <f>IF(Table5[[#This Row],[DEADSTOCK FLAG]]="DEAD",Table5[[#This Row],[Inventory Value]],0)</f>
        <v>0</v>
      </c>
    </row>
    <row r="224" spans="1:19" x14ac:dyDescent="0.25">
      <c r="A224" s="24" t="str">
        <f>'Inventory master'!A224</f>
        <v>ITEM223-A</v>
      </c>
      <c r="B224" s="6" t="str">
        <f>'Inventory master'!B224</f>
        <v>1x16 PLC Splitter</v>
      </c>
      <c r="C224" s="6" t="str">
        <f>'Inventory master'!C224</f>
        <v>Splitters</v>
      </c>
      <c r="D224" s="6" t="str">
        <f>'Inventory master'!D224</f>
        <v>AFL</v>
      </c>
      <c r="E224" s="10" t="str">
        <f>'Inventory master'!E224</f>
        <v>1247.14</v>
      </c>
      <c r="F224" s="10" t="str">
        <f>'Inventory master'!F224</f>
        <v>1824.53</v>
      </c>
      <c r="G224" s="10" t="str">
        <f>'Inventory master'!G224</f>
        <v>52</v>
      </c>
      <c r="H224" s="8">
        <f>IFERROR(_xlfn.XLOOKUP(A224, 'Opening stock'!A224:A823, 'Opening stock'!E224:E823), "")</f>
        <v>780</v>
      </c>
      <c r="I224" s="8">
        <f>IFERROR(SUMIF(Table3[Item ID],'Inventory calculations'!A224,Table3[Quantity]),0)</f>
        <v>0</v>
      </c>
      <c r="J224" s="8">
        <f>IFERROR(SUMIF(Table4[Item ID],'Inventory calculations'!A224,Table4[Quantity Purchased]),0)</f>
        <v>0</v>
      </c>
      <c r="K224" s="10">
        <f t="shared" si="14"/>
        <v>780</v>
      </c>
      <c r="L224" s="6" t="str">
        <f t="shared" si="15"/>
        <v>OK</v>
      </c>
      <c r="M224" s="13">
        <f t="shared" si="12"/>
        <v>972769.20000000007</v>
      </c>
      <c r="N224" s="8">
        <f>Table5[[#This Row],[Total Qty Sold]]*Table5[[#This Row],[Unit Price]]</f>
        <v>0</v>
      </c>
      <c r="O224" s="9"/>
      <c r="P224" s="40" t="str">
        <f ca="1">IF(Table5[[#This Row],[Last sale Date]]="","Never Sold",TODAY()-Table5[[#This Row],[Last sale Date]])</f>
        <v>Never Sold</v>
      </c>
      <c r="Q224" s="6" t="str">
        <f>IF(Table5[[#This Row],[Re order Level]]&lt;=Table5[[#This Row],[Current stock]],"ORDERASAP","OK BUT BE CHECKING")</f>
        <v>OK BUT BE CHECKING</v>
      </c>
      <c r="R224" s="6" t="str">
        <f t="shared" si="13"/>
        <v>ACTIVE</v>
      </c>
      <c r="S224" s="8">
        <f>IF(Table5[[#This Row],[DEADSTOCK FLAG]]="DEAD",Table5[[#This Row],[Inventory Value]],0)</f>
        <v>0</v>
      </c>
    </row>
    <row r="225" spans="1:19" x14ac:dyDescent="0.25">
      <c r="A225" s="24" t="str">
        <f>'Inventory master'!A225</f>
        <v>ITEM224-A</v>
      </c>
      <c r="B225" s="6" t="str">
        <f>'Inventory master'!B225</f>
        <v>SFP Transceiver</v>
      </c>
      <c r="C225" s="6" t="str">
        <f>'Inventory master'!C225</f>
        <v>Transceivers</v>
      </c>
      <c r="D225" s="6" t="str">
        <f>'Inventory master'!D225</f>
        <v>Amphenol</v>
      </c>
      <c r="E225" s="10" t="str">
        <f>'Inventory master'!E225</f>
        <v>881.42</v>
      </c>
      <c r="F225" s="10" t="str">
        <f>'Inventory master'!F225</f>
        <v>1388.11</v>
      </c>
      <c r="G225" s="10" t="str">
        <f>'Inventory master'!G225</f>
        <v>87</v>
      </c>
      <c r="H225" s="8">
        <f>IFERROR(_xlfn.XLOOKUP(A225, 'Opening stock'!A225:A824, 'Opening stock'!E225:E824), "")</f>
        <v>1305</v>
      </c>
      <c r="I225" s="8">
        <f>IFERROR(SUMIF(Table3[Item ID],'Inventory calculations'!A225,Table3[Quantity]),0)</f>
        <v>0</v>
      </c>
      <c r="J225" s="8">
        <f>IFERROR(SUMIF(Table4[Item ID],'Inventory calculations'!A225,Table4[Quantity Purchased]),0)</f>
        <v>0</v>
      </c>
      <c r="K225" s="10">
        <f t="shared" si="14"/>
        <v>1305</v>
      </c>
      <c r="L225" s="6" t="str">
        <f t="shared" si="15"/>
        <v>OK</v>
      </c>
      <c r="M225" s="13">
        <f t="shared" si="12"/>
        <v>1150253.0999999999</v>
      </c>
      <c r="N225" s="8">
        <f>Table5[[#This Row],[Total Qty Sold]]*Table5[[#This Row],[Unit Price]]</f>
        <v>0</v>
      </c>
      <c r="O225" s="9"/>
      <c r="P225" s="40" t="str">
        <f ca="1">IF(Table5[[#This Row],[Last sale Date]]="","Never Sold",TODAY()-Table5[[#This Row],[Last sale Date]])</f>
        <v>Never Sold</v>
      </c>
      <c r="Q225" s="6" t="str">
        <f>IF(Table5[[#This Row],[Re order Level]]&lt;=Table5[[#This Row],[Current stock]],"ORDERASAP","OK BUT BE CHECKING")</f>
        <v>OK BUT BE CHECKING</v>
      </c>
      <c r="R225" s="6" t="str">
        <f t="shared" si="13"/>
        <v>ACTIVE</v>
      </c>
      <c r="S225" s="8">
        <f>IF(Table5[[#This Row],[DEADSTOCK FLAG]]="DEAD",Table5[[#This Row],[Inventory Value]],0)</f>
        <v>0</v>
      </c>
    </row>
    <row r="226" spans="1:19" x14ac:dyDescent="0.25">
      <c r="A226" s="24" t="str">
        <f>'Inventory master'!A226</f>
        <v>ITEM225-A</v>
      </c>
      <c r="B226" s="6" t="str">
        <f>'Inventory master'!B226</f>
        <v>LC UPC Connector</v>
      </c>
      <c r="C226" s="6" t="str">
        <f>'Inventory master'!C226</f>
        <v>Connectors</v>
      </c>
      <c r="D226" s="6" t="str">
        <f>'Inventory master'!D226</f>
        <v>Amphenol</v>
      </c>
      <c r="E226" s="10" t="str">
        <f>'Inventory master'!E226</f>
        <v>264.95</v>
      </c>
      <c r="F226" s="10" t="str">
        <f>'Inventory master'!F226</f>
        <v>462.15</v>
      </c>
      <c r="G226" s="10" t="str">
        <f>'Inventory master'!G226</f>
        <v>71</v>
      </c>
      <c r="H226" s="8">
        <f>IFERROR(_xlfn.XLOOKUP(A226, 'Opening stock'!A226:A825, 'Opening stock'!E226:E825), "")</f>
        <v>1065</v>
      </c>
      <c r="I226" s="8">
        <f>IFERROR(SUMIF(Table3[Item ID],'Inventory calculations'!A226,Table3[Quantity]),0)</f>
        <v>0</v>
      </c>
      <c r="J226" s="8">
        <f>IFERROR(SUMIF(Table4[Item ID],'Inventory calculations'!A226,Table4[Quantity Purchased]),0)</f>
        <v>7</v>
      </c>
      <c r="K226" s="10">
        <f t="shared" si="14"/>
        <v>1072</v>
      </c>
      <c r="L226" s="6" t="str">
        <f t="shared" si="15"/>
        <v>OK</v>
      </c>
      <c r="M226" s="13">
        <f t="shared" si="12"/>
        <v>284026.39999999997</v>
      </c>
      <c r="N226" s="8">
        <f>Table5[[#This Row],[Total Qty Sold]]*Table5[[#This Row],[Unit Price]]</f>
        <v>0</v>
      </c>
      <c r="O226" s="9"/>
      <c r="P226" s="40" t="str">
        <f ca="1">IF(Table5[[#This Row],[Last sale Date]]="","Never Sold",TODAY()-Table5[[#This Row],[Last sale Date]])</f>
        <v>Never Sold</v>
      </c>
      <c r="Q226" s="6" t="str">
        <f>IF(Table5[[#This Row],[Re order Level]]&lt;=Table5[[#This Row],[Current stock]],"ORDERASAP","OK BUT BE CHECKING")</f>
        <v>OK BUT BE CHECKING</v>
      </c>
      <c r="R226" s="6" t="str">
        <f t="shared" si="13"/>
        <v>ACTIVE</v>
      </c>
      <c r="S226" s="8">
        <f>IF(Table5[[#This Row],[DEADSTOCK FLAG]]="DEAD",Table5[[#This Row],[Inventory Value]],0)</f>
        <v>0</v>
      </c>
    </row>
    <row r="227" spans="1:19" x14ac:dyDescent="0.25">
      <c r="A227" s="24" t="str">
        <f>'Inventory master'!A227</f>
        <v>ITEM226-A</v>
      </c>
      <c r="B227" s="6" t="str">
        <f>'Inventory master'!B227</f>
        <v>SFP Transceiver</v>
      </c>
      <c r="C227" s="6" t="str">
        <f>'Inventory master'!C227</f>
        <v>Transceivers</v>
      </c>
      <c r="D227" s="6" t="str">
        <f>'Inventory master'!D227</f>
        <v>Corning Inc.</v>
      </c>
      <c r="E227" s="10" t="str">
        <f>'Inventory master'!E227</f>
        <v>1053.91</v>
      </c>
      <c r="F227" s="10" t="str">
        <f>'Inventory master'!F227</f>
        <v>1808.9</v>
      </c>
      <c r="G227" s="10" t="str">
        <f>'Inventory master'!G227</f>
        <v>68</v>
      </c>
      <c r="H227" s="8">
        <f>IFERROR(_xlfn.XLOOKUP(A227, 'Opening stock'!A227:A826, 'Opening stock'!E227:E826), "")</f>
        <v>1020</v>
      </c>
      <c r="I227" s="8">
        <f>IFERROR(SUMIF(Table3[Item ID],'Inventory calculations'!A227,Table3[Quantity]),0)</f>
        <v>9</v>
      </c>
      <c r="J227" s="8">
        <f>IFERROR(SUMIF(Table4[Item ID],'Inventory calculations'!A227,Table4[Quantity Purchased]),0)</f>
        <v>0</v>
      </c>
      <c r="K227" s="10">
        <f t="shared" si="14"/>
        <v>1011</v>
      </c>
      <c r="L227" s="6" t="str">
        <f t="shared" si="15"/>
        <v>OK</v>
      </c>
      <c r="M227" s="13">
        <f t="shared" si="12"/>
        <v>1065503.01</v>
      </c>
      <c r="N227" s="8">
        <f>Table5[[#This Row],[Total Qty Sold]]*Table5[[#This Row],[Unit Price]]</f>
        <v>16280.1</v>
      </c>
      <c r="O227" s="9">
        <f>IFERROR(_xlfn.MAXIFS(Table3[Date],Table3[Item ID],Table5[[#This Row],[Item ID]]),"")</f>
        <v>45721</v>
      </c>
      <c r="P227" s="40">
        <f ca="1">IF(Table5[[#This Row],[Last sale Date]]="","Never Sold",TODAY()-Table5[[#This Row],[Last sale Date]])</f>
        <v>331</v>
      </c>
      <c r="Q227" s="6" t="str">
        <f>IF(Table5[[#This Row],[Re order Level]]&lt;=Table5[[#This Row],[Current stock]],"ORDERASAP","OK BUT BE CHECKING")</f>
        <v>OK BUT BE CHECKING</v>
      </c>
      <c r="R227" s="6" t="str">
        <f t="shared" si="13"/>
        <v>ACTIVE</v>
      </c>
      <c r="S227" s="8">
        <f>IF(Table5[[#This Row],[DEADSTOCK FLAG]]="DEAD",Table5[[#This Row],[Inventory Value]],0)</f>
        <v>0</v>
      </c>
    </row>
    <row r="228" spans="1:19" x14ac:dyDescent="0.25">
      <c r="A228" s="24" t="str">
        <f>'Inventory master'!A228</f>
        <v>ITEM227-A</v>
      </c>
      <c r="B228" s="6" t="str">
        <f>'Inventory master'!B228</f>
        <v>48-Port Fiber Patch Panel</v>
      </c>
      <c r="C228" s="6" t="str">
        <f>'Inventory master'!C228</f>
        <v>Patch Panels</v>
      </c>
      <c r="D228" s="6" t="str">
        <f>'Inventory master'!D228</f>
        <v>Corning Inc.</v>
      </c>
      <c r="E228" s="10" t="str">
        <f>'Inventory master'!E228</f>
        <v>1337.64</v>
      </c>
      <c r="F228" s="10" t="str">
        <f>'Inventory master'!F228</f>
        <v>2170.99</v>
      </c>
      <c r="G228" s="10" t="str">
        <f>'Inventory master'!G228</f>
        <v>85</v>
      </c>
      <c r="H228" s="8">
        <f>IFERROR(_xlfn.XLOOKUP(A228, 'Opening stock'!A228:A827, 'Opening stock'!E228:E827), "")</f>
        <v>1275</v>
      </c>
      <c r="I228" s="8">
        <f>IFERROR(SUMIF(Table3[Item ID],'Inventory calculations'!A228,Table3[Quantity]),0)</f>
        <v>0</v>
      </c>
      <c r="J228" s="8">
        <f>IFERROR(SUMIF(Table4[Item ID],'Inventory calculations'!A228,Table4[Quantity Purchased]),0)</f>
        <v>0</v>
      </c>
      <c r="K228" s="10">
        <f t="shared" si="14"/>
        <v>1275</v>
      </c>
      <c r="L228" s="6" t="str">
        <f t="shared" si="15"/>
        <v>OK</v>
      </c>
      <c r="M228" s="13">
        <f t="shared" si="12"/>
        <v>1705491.0000000002</v>
      </c>
      <c r="N228" s="8">
        <f>Table5[[#This Row],[Total Qty Sold]]*Table5[[#This Row],[Unit Price]]</f>
        <v>0</v>
      </c>
      <c r="O228" s="9"/>
      <c r="P228" s="40" t="str">
        <f ca="1">IF(Table5[[#This Row],[Last sale Date]]="","Never Sold",TODAY()-Table5[[#This Row],[Last sale Date]])</f>
        <v>Never Sold</v>
      </c>
      <c r="Q228" s="6" t="str">
        <f>IF(Table5[[#This Row],[Re order Level]]&lt;=Table5[[#This Row],[Current stock]],"ORDERASAP","OK BUT BE CHECKING")</f>
        <v>OK BUT BE CHECKING</v>
      </c>
      <c r="R228" s="6" t="str">
        <f t="shared" si="13"/>
        <v>ACTIVE</v>
      </c>
      <c r="S228" s="8">
        <f>IF(Table5[[#This Row],[DEADSTOCK FLAG]]="DEAD",Table5[[#This Row],[Inventory Value]],0)</f>
        <v>0</v>
      </c>
    </row>
    <row r="229" spans="1:19" x14ac:dyDescent="0.25">
      <c r="A229" s="24" t="str">
        <f>'Inventory master'!A229</f>
        <v>ITEM228-A</v>
      </c>
      <c r="B229" s="6" t="str">
        <f>'Inventory master'!B229</f>
        <v>48-Port Fiber Patch Panel</v>
      </c>
      <c r="C229" s="6" t="str">
        <f>'Inventory master'!C229</f>
        <v>Patch Panels</v>
      </c>
      <c r="D229" s="6" t="str">
        <f>'Inventory master'!D229</f>
        <v>Belden</v>
      </c>
      <c r="E229" s="10" t="str">
        <f>'Inventory master'!E229</f>
        <v>1323.84</v>
      </c>
      <c r="F229" s="10" t="str">
        <f>'Inventory master'!F229</f>
        <v>1534.28</v>
      </c>
      <c r="G229" s="10" t="str">
        <f>'Inventory master'!G229</f>
        <v>66</v>
      </c>
      <c r="H229" s="8">
        <f>IFERROR(_xlfn.XLOOKUP(A229, 'Opening stock'!A229:A828, 'Opening stock'!E229:E828), "")</f>
        <v>990</v>
      </c>
      <c r="I229" s="8">
        <f>IFERROR(SUMIF(Table3[Item ID],'Inventory calculations'!A229,Table3[Quantity]),0)</f>
        <v>0</v>
      </c>
      <c r="J229" s="8">
        <f>IFERROR(SUMIF(Table4[Item ID],'Inventory calculations'!A229,Table4[Quantity Purchased]),0)</f>
        <v>12</v>
      </c>
      <c r="K229" s="10">
        <f t="shared" si="14"/>
        <v>1002</v>
      </c>
      <c r="L229" s="6" t="str">
        <f t="shared" si="15"/>
        <v>OK</v>
      </c>
      <c r="M229" s="13">
        <f t="shared" si="12"/>
        <v>1326487.68</v>
      </c>
      <c r="N229" s="8">
        <f>Table5[[#This Row],[Total Qty Sold]]*Table5[[#This Row],[Unit Price]]</f>
        <v>0</v>
      </c>
      <c r="O229" s="9"/>
      <c r="P229" s="40" t="str">
        <f ca="1">IF(Table5[[#This Row],[Last sale Date]]="","Never Sold",TODAY()-Table5[[#This Row],[Last sale Date]])</f>
        <v>Never Sold</v>
      </c>
      <c r="Q229" s="6" t="str">
        <f>IF(Table5[[#This Row],[Re order Level]]&lt;=Table5[[#This Row],[Current stock]],"ORDERASAP","OK BUT BE CHECKING")</f>
        <v>OK BUT BE CHECKING</v>
      </c>
      <c r="R229" s="6" t="str">
        <f t="shared" si="13"/>
        <v>ACTIVE</v>
      </c>
      <c r="S229" s="8">
        <f>IF(Table5[[#This Row],[DEADSTOCK FLAG]]="DEAD",Table5[[#This Row],[Inventory Value]],0)</f>
        <v>0</v>
      </c>
    </row>
    <row r="230" spans="1:19" x14ac:dyDescent="0.25">
      <c r="A230" s="24" t="str">
        <f>'Inventory master'!A230</f>
        <v>ITEM229-A</v>
      </c>
      <c r="B230" s="6" t="str">
        <f>'Inventory master'!B230</f>
        <v>1x4 PLC Splitter</v>
      </c>
      <c r="C230" s="6" t="str">
        <f>'Inventory master'!C230</f>
        <v>Splitters</v>
      </c>
      <c r="D230" s="6" t="str">
        <f>'Inventory master'!D230</f>
        <v>Siemon</v>
      </c>
      <c r="E230" s="10" t="str">
        <f>'Inventory master'!E230</f>
        <v>1786.09</v>
      </c>
      <c r="F230" s="10" t="str">
        <f>'Inventory master'!F230</f>
        <v>2418.91</v>
      </c>
      <c r="G230" s="10" t="str">
        <f>'Inventory master'!G230</f>
        <v>81</v>
      </c>
      <c r="H230" s="8">
        <f>IFERROR(_xlfn.XLOOKUP(A230, 'Opening stock'!A230:A829, 'Opening stock'!E230:E829), "")</f>
        <v>1215</v>
      </c>
      <c r="I230" s="8">
        <f>IFERROR(SUMIF(Table3[Item ID],'Inventory calculations'!A230,Table3[Quantity]),0)</f>
        <v>4</v>
      </c>
      <c r="J230" s="8">
        <f>IFERROR(SUMIF(Table4[Item ID],'Inventory calculations'!A230,Table4[Quantity Purchased]),0)</f>
        <v>0</v>
      </c>
      <c r="K230" s="10">
        <f t="shared" si="14"/>
        <v>1211</v>
      </c>
      <c r="L230" s="6" t="str">
        <f t="shared" si="15"/>
        <v>OK</v>
      </c>
      <c r="M230" s="13">
        <f t="shared" si="12"/>
        <v>2162954.9899999998</v>
      </c>
      <c r="N230" s="8">
        <f>Table5[[#This Row],[Total Qty Sold]]*Table5[[#This Row],[Unit Price]]</f>
        <v>9675.64</v>
      </c>
      <c r="O230" s="9">
        <f>IFERROR(_xlfn.MAXIFS(Table3[Date],Table3[Item ID],Table5[[#This Row],[Item ID]]),"")</f>
        <v>45542</v>
      </c>
      <c r="P230" s="40">
        <f ca="1">IF(Table5[[#This Row],[Last sale Date]]="","Never Sold",TODAY()-Table5[[#This Row],[Last sale Date]])</f>
        <v>510</v>
      </c>
      <c r="Q230" s="6" t="str">
        <f>IF(Table5[[#This Row],[Re order Level]]&lt;=Table5[[#This Row],[Current stock]],"ORDERASAP","OK BUT BE CHECKING")</f>
        <v>OK BUT BE CHECKING</v>
      </c>
      <c r="R230" s="6" t="str">
        <f t="shared" si="13"/>
        <v>ACTIVE</v>
      </c>
      <c r="S230" s="8">
        <f>IF(Table5[[#This Row],[DEADSTOCK FLAG]]="DEAD",Table5[[#This Row],[Inventory Value]],0)</f>
        <v>0</v>
      </c>
    </row>
    <row r="231" spans="1:19" x14ac:dyDescent="0.25">
      <c r="A231" s="24" t="str">
        <f>'Inventory master'!A231</f>
        <v>ITEM230-A</v>
      </c>
      <c r="B231" s="6" t="str">
        <f>'Inventory master'!B231</f>
        <v>Fiber Adapter</v>
      </c>
      <c r="C231" s="6" t="str">
        <f>'Inventory master'!C231</f>
        <v>Accessories</v>
      </c>
      <c r="D231" s="6" t="str">
        <f>'Inventory master'!D231</f>
        <v>AFL</v>
      </c>
      <c r="E231" s="10" t="str">
        <f>'Inventory master'!E231</f>
        <v>1113.26</v>
      </c>
      <c r="F231" s="10" t="str">
        <f>'Inventory master'!F231</f>
        <v>1381.12</v>
      </c>
      <c r="G231" s="10" t="str">
        <f>'Inventory master'!G231</f>
        <v>70</v>
      </c>
      <c r="H231" s="8">
        <f>IFERROR(_xlfn.XLOOKUP(A231, 'Opening stock'!A231:A830, 'Opening stock'!E231:E830), "")</f>
        <v>1050</v>
      </c>
      <c r="I231" s="8">
        <f>IFERROR(SUMIF(Table3[Item ID],'Inventory calculations'!A231,Table3[Quantity]),0)</f>
        <v>147</v>
      </c>
      <c r="J231" s="8">
        <f>IFERROR(SUMIF(Table4[Item ID],'Inventory calculations'!A231,Table4[Quantity Purchased]),0)</f>
        <v>0</v>
      </c>
      <c r="K231" s="10">
        <f t="shared" si="14"/>
        <v>903</v>
      </c>
      <c r="L231" s="6" t="str">
        <f t="shared" si="15"/>
        <v>OK</v>
      </c>
      <c r="M231" s="13">
        <f t="shared" si="12"/>
        <v>1005273.78</v>
      </c>
      <c r="N231" s="8">
        <f>Table5[[#This Row],[Total Qty Sold]]*Table5[[#This Row],[Unit Price]]</f>
        <v>203024.63999999998</v>
      </c>
      <c r="O231" s="9">
        <f>IFERROR(_xlfn.MAXIFS(Table3[Date],Table3[Item ID],Table5[[#This Row],[Item ID]]),"")</f>
        <v>45652</v>
      </c>
      <c r="P231" s="40">
        <f ca="1">IF(Table5[[#This Row],[Last sale Date]]="","Never Sold",TODAY()-Table5[[#This Row],[Last sale Date]])</f>
        <v>400</v>
      </c>
      <c r="Q231" s="6" t="str">
        <f>IF(Table5[[#This Row],[Re order Level]]&lt;=Table5[[#This Row],[Current stock]],"ORDERASAP","OK BUT BE CHECKING")</f>
        <v>OK BUT BE CHECKING</v>
      </c>
      <c r="R231" s="6" t="str">
        <f t="shared" si="13"/>
        <v>ACTIVE</v>
      </c>
      <c r="S231" s="8">
        <f>IF(Table5[[#This Row],[DEADSTOCK FLAG]]="DEAD",Table5[[#This Row],[Inventory Value]],0)</f>
        <v>0</v>
      </c>
    </row>
    <row r="232" spans="1:19" x14ac:dyDescent="0.25">
      <c r="A232" s="24" t="str">
        <f>'Inventory master'!A232</f>
        <v>ITEM231-A</v>
      </c>
      <c r="B232" s="6" t="str">
        <f>'Inventory master'!B232</f>
        <v>Pedestal Enclosure</v>
      </c>
      <c r="C232" s="6" t="str">
        <f>'Inventory master'!C232</f>
        <v>Enclosures</v>
      </c>
      <c r="D232" s="6" t="str">
        <f>'Inventory master'!D232</f>
        <v>TE Connectivity</v>
      </c>
      <c r="E232" s="10" t="str">
        <f>'Inventory master'!E232</f>
        <v>167.41</v>
      </c>
      <c r="F232" s="10" t="str">
        <f>'Inventory master'!F232</f>
        <v>283.06</v>
      </c>
      <c r="G232" s="10" t="str">
        <f>'Inventory master'!G232</f>
        <v>62</v>
      </c>
      <c r="H232" s="8">
        <f>IFERROR(_xlfn.XLOOKUP(A232, 'Opening stock'!A232:A831, 'Opening stock'!E232:E831), "")</f>
        <v>930</v>
      </c>
      <c r="I232" s="8">
        <f>IFERROR(SUMIF(Table3[Item ID],'Inventory calculations'!A232,Table3[Quantity]),0)</f>
        <v>0</v>
      </c>
      <c r="J232" s="8">
        <f>IFERROR(SUMIF(Table4[Item ID],'Inventory calculations'!A232,Table4[Quantity Purchased]),0)</f>
        <v>8</v>
      </c>
      <c r="K232" s="10">
        <f t="shared" si="14"/>
        <v>938</v>
      </c>
      <c r="L232" s="6" t="str">
        <f t="shared" si="15"/>
        <v>OK</v>
      </c>
      <c r="M232" s="13">
        <f t="shared" si="12"/>
        <v>157030.57999999999</v>
      </c>
      <c r="N232" s="8">
        <f>Table5[[#This Row],[Total Qty Sold]]*Table5[[#This Row],[Unit Price]]</f>
        <v>0</v>
      </c>
      <c r="O232" s="9"/>
      <c r="P232" s="40" t="str">
        <f ca="1">IF(Table5[[#This Row],[Last sale Date]]="","Never Sold",TODAY()-Table5[[#This Row],[Last sale Date]])</f>
        <v>Never Sold</v>
      </c>
      <c r="Q232" s="6" t="str">
        <f>IF(Table5[[#This Row],[Re order Level]]&lt;=Table5[[#This Row],[Current stock]],"ORDERASAP","OK BUT BE CHECKING")</f>
        <v>OK BUT BE CHECKING</v>
      </c>
      <c r="R232" s="6" t="str">
        <f t="shared" si="13"/>
        <v>ACTIVE</v>
      </c>
      <c r="S232" s="8">
        <f>IF(Table5[[#This Row],[DEADSTOCK FLAG]]="DEAD",Table5[[#This Row],[Inventory Value]],0)</f>
        <v>0</v>
      </c>
    </row>
    <row r="233" spans="1:19" x14ac:dyDescent="0.25">
      <c r="A233" s="24" t="str">
        <f>'Inventory master'!A233</f>
        <v>ITEM232-A</v>
      </c>
      <c r="B233" s="6" t="str">
        <f>'Inventory master'!B233</f>
        <v>MPO APC Connector</v>
      </c>
      <c r="C233" s="6" t="str">
        <f>'Inventory master'!C233</f>
        <v>Connectors</v>
      </c>
      <c r="D233" s="6" t="str">
        <f>'Inventory master'!D233</f>
        <v>Panduit</v>
      </c>
      <c r="E233" s="10" t="str">
        <f>'Inventory master'!E233</f>
        <v>1011.75</v>
      </c>
      <c r="F233" s="10" t="str">
        <f>'Inventory master'!F233</f>
        <v>1340.94</v>
      </c>
      <c r="G233" s="10" t="str">
        <f>'Inventory master'!G233</f>
        <v>43</v>
      </c>
      <c r="H233" s="8">
        <f>IFERROR(_xlfn.XLOOKUP(A233, 'Opening stock'!A233:A832, 'Opening stock'!E233:E832), "")</f>
        <v>645</v>
      </c>
      <c r="I233" s="8">
        <f>IFERROR(SUMIF(Table3[Item ID],'Inventory calculations'!A233,Table3[Quantity]),0)</f>
        <v>0</v>
      </c>
      <c r="J233" s="8">
        <f>IFERROR(SUMIF(Table4[Item ID],'Inventory calculations'!A233,Table4[Quantity Purchased]),0)</f>
        <v>21</v>
      </c>
      <c r="K233" s="10">
        <f t="shared" si="14"/>
        <v>666</v>
      </c>
      <c r="L233" s="6" t="str">
        <f t="shared" si="15"/>
        <v>OK</v>
      </c>
      <c r="M233" s="13">
        <f t="shared" si="12"/>
        <v>673825.5</v>
      </c>
      <c r="N233" s="8">
        <f>Table5[[#This Row],[Total Qty Sold]]*Table5[[#This Row],[Unit Price]]</f>
        <v>0</v>
      </c>
      <c r="O233" s="9"/>
      <c r="P233" s="40" t="str">
        <f ca="1">IF(Table5[[#This Row],[Last sale Date]]="","Never Sold",TODAY()-Table5[[#This Row],[Last sale Date]])</f>
        <v>Never Sold</v>
      </c>
      <c r="Q233" s="6" t="str">
        <f>IF(Table5[[#This Row],[Re order Level]]&lt;=Table5[[#This Row],[Current stock]],"ORDERASAP","OK BUT BE CHECKING")</f>
        <v>OK BUT BE CHECKING</v>
      </c>
      <c r="R233" s="6" t="str">
        <f t="shared" si="13"/>
        <v>ACTIVE</v>
      </c>
      <c r="S233" s="8">
        <f>IF(Table5[[#This Row],[DEADSTOCK FLAG]]="DEAD",Table5[[#This Row],[Inventory Value]],0)</f>
        <v>0</v>
      </c>
    </row>
    <row r="234" spans="1:19" x14ac:dyDescent="0.25">
      <c r="A234" s="24" t="str">
        <f>'Inventory master'!A234</f>
        <v>ITEM233-A</v>
      </c>
      <c r="B234" s="6" t="str">
        <f>'Inventory master'!B234</f>
        <v>SFP Transceiver</v>
      </c>
      <c r="C234" s="6" t="str">
        <f>'Inventory master'!C234</f>
        <v>Transceivers</v>
      </c>
      <c r="D234" s="6" t="str">
        <f>'Inventory master'!D234</f>
        <v>Panduit</v>
      </c>
      <c r="E234" s="10" t="str">
        <f>'Inventory master'!E234</f>
        <v>630.29</v>
      </c>
      <c r="F234" s="10" t="str">
        <f>'Inventory master'!F234</f>
        <v>1128.47</v>
      </c>
      <c r="G234" s="10" t="str">
        <f>'Inventory master'!G234</f>
        <v>42</v>
      </c>
      <c r="H234" s="8">
        <f>IFERROR(_xlfn.XLOOKUP(A234, 'Opening stock'!A234:A833, 'Opening stock'!E234:E833), "")</f>
        <v>630</v>
      </c>
      <c r="I234" s="8">
        <f>IFERROR(SUMIF(Table3[Item ID],'Inventory calculations'!A234,Table3[Quantity]),0)</f>
        <v>5</v>
      </c>
      <c r="J234" s="8">
        <f>IFERROR(SUMIF(Table4[Item ID],'Inventory calculations'!A234,Table4[Quantity Purchased]),0)</f>
        <v>0</v>
      </c>
      <c r="K234" s="10">
        <f t="shared" si="14"/>
        <v>625</v>
      </c>
      <c r="L234" s="6" t="str">
        <f t="shared" si="15"/>
        <v>OK</v>
      </c>
      <c r="M234" s="13">
        <f t="shared" si="12"/>
        <v>393931.25</v>
      </c>
      <c r="N234" s="8">
        <f>Table5[[#This Row],[Total Qty Sold]]*Table5[[#This Row],[Unit Price]]</f>
        <v>5642.35</v>
      </c>
      <c r="O234" s="9">
        <f>IFERROR(_xlfn.MAXIFS(Table3[Date],Table3[Item ID],Table5[[#This Row],[Item ID]]),"")</f>
        <v>45521</v>
      </c>
      <c r="P234" s="40">
        <f ca="1">IF(Table5[[#This Row],[Last sale Date]]="","Never Sold",TODAY()-Table5[[#This Row],[Last sale Date]])</f>
        <v>531</v>
      </c>
      <c r="Q234" s="6" t="str">
        <f>IF(Table5[[#This Row],[Re order Level]]&lt;=Table5[[#This Row],[Current stock]],"ORDERASAP","OK BUT BE CHECKING")</f>
        <v>OK BUT BE CHECKING</v>
      </c>
      <c r="R234" s="6" t="str">
        <f t="shared" si="13"/>
        <v>ACTIVE</v>
      </c>
      <c r="S234" s="8">
        <f>IF(Table5[[#This Row],[DEADSTOCK FLAG]]="DEAD",Table5[[#This Row],[Inventory Value]],0)</f>
        <v>0</v>
      </c>
    </row>
    <row r="235" spans="1:19" x14ac:dyDescent="0.25">
      <c r="A235" s="24" t="str">
        <f>'Inventory master'!A235</f>
        <v>ITEM234-A</v>
      </c>
      <c r="B235" s="6" t="str">
        <f>'Inventory master'!B235</f>
        <v>Fiber Adapter</v>
      </c>
      <c r="C235" s="6" t="str">
        <f>'Inventory master'!C235</f>
        <v>Accessories</v>
      </c>
      <c r="D235" s="6" t="str">
        <f>'Inventory master'!D235</f>
        <v>TE Connectivity</v>
      </c>
      <c r="E235" s="10" t="str">
        <f>'Inventory master'!E235</f>
        <v>833.0</v>
      </c>
      <c r="F235" s="10" t="str">
        <f>'Inventory master'!F235</f>
        <v>1567.74</v>
      </c>
      <c r="G235" s="10" t="str">
        <f>'Inventory master'!G235</f>
        <v>21</v>
      </c>
      <c r="H235" s="8">
        <f>IFERROR(_xlfn.XLOOKUP(A235, 'Opening stock'!A235:A834, 'Opening stock'!E235:E834), "")</f>
        <v>315</v>
      </c>
      <c r="I235" s="8">
        <f>IFERROR(SUMIF(Table3[Item ID],'Inventory calculations'!A235,Table3[Quantity]),0)</f>
        <v>0</v>
      </c>
      <c r="J235" s="8">
        <f>IFERROR(SUMIF(Table4[Item ID],'Inventory calculations'!A235,Table4[Quantity Purchased]),0)</f>
        <v>2</v>
      </c>
      <c r="K235" s="10">
        <f t="shared" si="14"/>
        <v>317</v>
      </c>
      <c r="L235" s="6" t="str">
        <f t="shared" si="15"/>
        <v>OK</v>
      </c>
      <c r="M235" s="13">
        <f t="shared" si="12"/>
        <v>264061</v>
      </c>
      <c r="N235" s="8">
        <f>Table5[[#This Row],[Total Qty Sold]]*Table5[[#This Row],[Unit Price]]</f>
        <v>0</v>
      </c>
      <c r="O235" s="9"/>
      <c r="P235" s="40" t="str">
        <f ca="1">IF(Table5[[#This Row],[Last sale Date]]="","Never Sold",TODAY()-Table5[[#This Row],[Last sale Date]])</f>
        <v>Never Sold</v>
      </c>
      <c r="Q235" s="6" t="str">
        <f>IF(Table5[[#This Row],[Re order Level]]&lt;=Table5[[#This Row],[Current stock]],"ORDERASAP","OK BUT BE CHECKING")</f>
        <v>OK BUT BE CHECKING</v>
      </c>
      <c r="R235" s="6" t="str">
        <f t="shared" si="13"/>
        <v>ACTIVE</v>
      </c>
      <c r="S235" s="8">
        <f>IF(Table5[[#This Row],[DEADSTOCK FLAG]]="DEAD",Table5[[#This Row],[Inventory Value]],0)</f>
        <v>0</v>
      </c>
    </row>
    <row r="236" spans="1:19" x14ac:dyDescent="0.25">
      <c r="A236" s="24" t="str">
        <f>'Inventory master'!A236</f>
        <v>ITEM235-A</v>
      </c>
      <c r="B236" s="6" t="str">
        <f>'Inventory master'!B236</f>
        <v>Wall-Mount Enclosure</v>
      </c>
      <c r="C236" s="6" t="str">
        <f>'Inventory master'!C236</f>
        <v>Enclosures</v>
      </c>
      <c r="D236" s="6" t="str">
        <f>'Inventory master'!D236</f>
        <v>Amphenol</v>
      </c>
      <c r="E236" s="10" t="str">
        <f>'Inventory master'!E236</f>
        <v>1887.18</v>
      </c>
      <c r="F236" s="10" t="str">
        <f>'Inventory master'!F236</f>
        <v>3195.13</v>
      </c>
      <c r="G236" s="10" t="str">
        <f>'Inventory master'!G236</f>
        <v>100</v>
      </c>
      <c r="H236" s="8">
        <f>IFERROR(_xlfn.XLOOKUP(A236, 'Opening stock'!A236:A835, 'Opening stock'!E236:E835), "")</f>
        <v>1500</v>
      </c>
      <c r="I236" s="8">
        <f>IFERROR(SUMIF(Table3[Item ID],'Inventory calculations'!A236,Table3[Quantity]),0)</f>
        <v>0</v>
      </c>
      <c r="J236" s="8">
        <f>IFERROR(SUMIF(Table4[Item ID],'Inventory calculations'!A236,Table4[Quantity Purchased]),0)</f>
        <v>0</v>
      </c>
      <c r="K236" s="10">
        <f t="shared" si="14"/>
        <v>1500</v>
      </c>
      <c r="L236" s="6" t="str">
        <f t="shared" si="15"/>
        <v>OK</v>
      </c>
      <c r="M236" s="13">
        <f t="shared" si="12"/>
        <v>2830770</v>
      </c>
      <c r="N236" s="8">
        <f>Table5[[#This Row],[Total Qty Sold]]*Table5[[#This Row],[Unit Price]]</f>
        <v>0</v>
      </c>
      <c r="O236" s="9"/>
      <c r="P236" s="40" t="str">
        <f ca="1">IF(Table5[[#This Row],[Last sale Date]]="","Never Sold",TODAY()-Table5[[#This Row],[Last sale Date]])</f>
        <v>Never Sold</v>
      </c>
      <c r="Q236" s="6" t="str">
        <f>IF(Table5[[#This Row],[Re order Level]]&lt;=Table5[[#This Row],[Current stock]],"ORDERASAP","OK BUT BE CHECKING")</f>
        <v>OK BUT BE CHECKING</v>
      </c>
      <c r="R236" s="6" t="str">
        <f t="shared" si="13"/>
        <v>ACTIVE</v>
      </c>
      <c r="S236" s="8">
        <f>IF(Table5[[#This Row],[DEADSTOCK FLAG]]="DEAD",Table5[[#This Row],[Inventory Value]],0)</f>
        <v>0</v>
      </c>
    </row>
    <row r="237" spans="1:19" x14ac:dyDescent="0.25">
      <c r="A237" s="24" t="str">
        <f>'Inventory master'!A237</f>
        <v>ITEM236-A</v>
      </c>
      <c r="B237" s="6" t="str">
        <f>'Inventory master'!B237</f>
        <v>Fiber Optic Stripper</v>
      </c>
      <c r="C237" s="6" t="str">
        <f>'Inventory master'!C237</f>
        <v>Tools</v>
      </c>
      <c r="D237" s="6" t="str">
        <f>'Inventory master'!D237</f>
        <v>HellermannTyton</v>
      </c>
      <c r="E237" s="10" t="str">
        <f>'Inventory master'!E237</f>
        <v>1769.51</v>
      </c>
      <c r="F237" s="10" t="str">
        <f>'Inventory master'!F237</f>
        <v>2372.45</v>
      </c>
      <c r="G237" s="10" t="str">
        <f>'Inventory master'!G237</f>
        <v>41</v>
      </c>
      <c r="H237" s="8">
        <f>IFERROR(_xlfn.XLOOKUP(A237, 'Opening stock'!A237:A836, 'Opening stock'!E237:E836), "")</f>
        <v>615</v>
      </c>
      <c r="I237" s="8">
        <f>IFERROR(SUMIF(Table3[Item ID],'Inventory calculations'!A237,Table3[Quantity]),0)</f>
        <v>0</v>
      </c>
      <c r="J237" s="8">
        <f>IFERROR(SUMIF(Table4[Item ID],'Inventory calculations'!A237,Table4[Quantity Purchased]),0)</f>
        <v>12</v>
      </c>
      <c r="K237" s="10">
        <f t="shared" si="14"/>
        <v>627</v>
      </c>
      <c r="L237" s="6" t="str">
        <f t="shared" si="15"/>
        <v>OK</v>
      </c>
      <c r="M237" s="13">
        <f t="shared" si="12"/>
        <v>1109482.77</v>
      </c>
      <c r="N237" s="8">
        <f>Table5[[#This Row],[Total Qty Sold]]*Table5[[#This Row],[Unit Price]]</f>
        <v>0</v>
      </c>
      <c r="O237" s="9"/>
      <c r="P237" s="40" t="str">
        <f ca="1">IF(Table5[[#This Row],[Last sale Date]]="","Never Sold",TODAY()-Table5[[#This Row],[Last sale Date]])</f>
        <v>Never Sold</v>
      </c>
      <c r="Q237" s="6" t="str">
        <f>IF(Table5[[#This Row],[Re order Level]]&lt;=Table5[[#This Row],[Current stock]],"ORDERASAP","OK BUT BE CHECKING")</f>
        <v>OK BUT BE CHECKING</v>
      </c>
      <c r="R237" s="6" t="str">
        <f t="shared" si="13"/>
        <v>ACTIVE</v>
      </c>
      <c r="S237" s="8">
        <f>IF(Table5[[#This Row],[DEADSTOCK FLAG]]="DEAD",Table5[[#This Row],[Inventory Value]],0)</f>
        <v>0</v>
      </c>
    </row>
    <row r="238" spans="1:19" x14ac:dyDescent="0.25">
      <c r="A238" s="24" t="str">
        <f>'Inventory master'!A238</f>
        <v>ITEM237-A</v>
      </c>
      <c r="B238" s="6" t="str">
        <f>'Inventory master'!B238</f>
        <v>24-Port Fiber Patch Panel</v>
      </c>
      <c r="C238" s="6" t="str">
        <f>'Inventory master'!C238</f>
        <v>Patch Panels</v>
      </c>
      <c r="D238" s="6" t="str">
        <f>'Inventory master'!D238</f>
        <v>HellermannTyton</v>
      </c>
      <c r="E238" s="10" t="str">
        <f>'Inventory master'!E238</f>
        <v>9.79</v>
      </c>
      <c r="F238" s="10" t="str">
        <f>'Inventory master'!F238</f>
        <v>11.91</v>
      </c>
      <c r="G238" s="10" t="str">
        <f>'Inventory master'!G238</f>
        <v>65</v>
      </c>
      <c r="H238" s="8">
        <f>IFERROR(_xlfn.XLOOKUP(A238, 'Opening stock'!A238:A837, 'Opening stock'!E238:E837), "")</f>
        <v>975</v>
      </c>
      <c r="I238" s="8">
        <f>IFERROR(SUMIF(Table3[Item ID],'Inventory calculations'!A238,Table3[Quantity]),0)</f>
        <v>0</v>
      </c>
      <c r="J238" s="8">
        <f>IFERROR(SUMIF(Table4[Item ID],'Inventory calculations'!A238,Table4[Quantity Purchased]),0)</f>
        <v>1</v>
      </c>
      <c r="K238" s="10">
        <f t="shared" si="14"/>
        <v>976</v>
      </c>
      <c r="L238" s="6" t="str">
        <f t="shared" si="15"/>
        <v>OK</v>
      </c>
      <c r="M238" s="13">
        <f t="shared" si="12"/>
        <v>9555.0399999999991</v>
      </c>
      <c r="N238" s="8">
        <f>Table5[[#This Row],[Total Qty Sold]]*Table5[[#This Row],[Unit Price]]</f>
        <v>0</v>
      </c>
      <c r="O238" s="9"/>
      <c r="P238" s="40" t="str">
        <f ca="1">IF(Table5[[#This Row],[Last sale Date]]="","Never Sold",TODAY()-Table5[[#This Row],[Last sale Date]])</f>
        <v>Never Sold</v>
      </c>
      <c r="Q238" s="6" t="str">
        <f>IF(Table5[[#This Row],[Re order Level]]&lt;=Table5[[#This Row],[Current stock]],"ORDERASAP","OK BUT BE CHECKING")</f>
        <v>OK BUT BE CHECKING</v>
      </c>
      <c r="R238" s="6" t="str">
        <f t="shared" si="13"/>
        <v>ACTIVE</v>
      </c>
      <c r="S238" s="8">
        <f>IF(Table5[[#This Row],[DEADSTOCK FLAG]]="DEAD",Table5[[#This Row],[Inventory Value]],0)</f>
        <v>0</v>
      </c>
    </row>
    <row r="239" spans="1:19" x14ac:dyDescent="0.25">
      <c r="A239" s="24" t="str">
        <f>'Inventory master'!A239</f>
        <v>ITEM238-A</v>
      </c>
      <c r="B239" s="6" t="str">
        <f>'Inventory master'!B239</f>
        <v>1x2 PLC Splitter</v>
      </c>
      <c r="C239" s="6" t="str">
        <f>'Inventory master'!C239</f>
        <v>Splitters</v>
      </c>
      <c r="D239" s="6" t="str">
        <f>'Inventory master'!D239</f>
        <v>Panduit</v>
      </c>
      <c r="E239" s="10" t="str">
        <f>'Inventory master'!E239</f>
        <v>485.67</v>
      </c>
      <c r="F239" s="10" t="str">
        <f>'Inventory master'!F239</f>
        <v>907.75</v>
      </c>
      <c r="G239" s="10" t="str">
        <f>'Inventory master'!G239</f>
        <v>17</v>
      </c>
      <c r="H239" s="8">
        <f>IFERROR(_xlfn.XLOOKUP(A239, 'Opening stock'!A239:A838, 'Opening stock'!E239:E838), "")</f>
        <v>255</v>
      </c>
      <c r="I239" s="8">
        <f>IFERROR(SUMIF(Table3[Item ID],'Inventory calculations'!A239,Table3[Quantity]),0)</f>
        <v>0</v>
      </c>
      <c r="J239" s="8">
        <f>IFERROR(SUMIF(Table4[Item ID],'Inventory calculations'!A239,Table4[Quantity Purchased]),0)</f>
        <v>5</v>
      </c>
      <c r="K239" s="10">
        <f t="shared" si="14"/>
        <v>260</v>
      </c>
      <c r="L239" s="6" t="str">
        <f t="shared" si="15"/>
        <v>OK</v>
      </c>
      <c r="M239" s="13">
        <f t="shared" si="12"/>
        <v>126274.2</v>
      </c>
      <c r="N239" s="8">
        <f>Table5[[#This Row],[Total Qty Sold]]*Table5[[#This Row],[Unit Price]]</f>
        <v>0</v>
      </c>
      <c r="O239" s="9"/>
      <c r="P239" s="40" t="str">
        <f ca="1">IF(Table5[[#This Row],[Last sale Date]]="","Never Sold",TODAY()-Table5[[#This Row],[Last sale Date]])</f>
        <v>Never Sold</v>
      </c>
      <c r="Q239" s="6" t="str">
        <f>IF(Table5[[#This Row],[Re order Level]]&lt;=Table5[[#This Row],[Current stock]],"ORDERASAP","OK BUT BE CHECKING")</f>
        <v>OK BUT BE CHECKING</v>
      </c>
      <c r="R239" s="6" t="str">
        <f t="shared" si="13"/>
        <v>ACTIVE</v>
      </c>
      <c r="S239" s="8">
        <f>IF(Table5[[#This Row],[DEADSTOCK FLAG]]="DEAD",Table5[[#This Row],[Inventory Value]],0)</f>
        <v>0</v>
      </c>
    </row>
    <row r="240" spans="1:19" x14ac:dyDescent="0.25">
      <c r="A240" s="24" t="str">
        <f>'Inventory master'!A240</f>
        <v>ITEM239-A</v>
      </c>
      <c r="B240" s="6" t="str">
        <f>'Inventory master'!B240</f>
        <v>SFP Transceiver</v>
      </c>
      <c r="C240" s="6" t="str">
        <f>'Inventory master'!C240</f>
        <v>Transceivers</v>
      </c>
      <c r="D240" s="6" t="str">
        <f>'Inventory master'!D240</f>
        <v>Huber+Suhner</v>
      </c>
      <c r="E240" s="10" t="str">
        <f>'Inventory master'!E240</f>
        <v>968.64</v>
      </c>
      <c r="F240" s="10" t="str">
        <f>'Inventory master'!F240</f>
        <v>1370.19</v>
      </c>
      <c r="G240" s="10" t="str">
        <f>'Inventory master'!G240</f>
        <v>94</v>
      </c>
      <c r="H240" s="8">
        <f>IFERROR(_xlfn.XLOOKUP(A240, 'Opening stock'!A240:A839, 'Opening stock'!E240:E839), "")</f>
        <v>1410</v>
      </c>
      <c r="I240" s="8">
        <f>IFERROR(SUMIF(Table3[Item ID],'Inventory calculations'!A240,Table3[Quantity]),0)</f>
        <v>0</v>
      </c>
      <c r="J240" s="8">
        <f>IFERROR(SUMIF(Table4[Item ID],'Inventory calculations'!A240,Table4[Quantity Purchased]),0)</f>
        <v>3</v>
      </c>
      <c r="K240" s="10">
        <f t="shared" si="14"/>
        <v>1413</v>
      </c>
      <c r="L240" s="6" t="str">
        <f t="shared" si="15"/>
        <v>OK</v>
      </c>
      <c r="M240" s="13">
        <f t="shared" si="12"/>
        <v>1368688.32</v>
      </c>
      <c r="N240" s="8">
        <f>Table5[[#This Row],[Total Qty Sold]]*Table5[[#This Row],[Unit Price]]</f>
        <v>0</v>
      </c>
      <c r="O240" s="9"/>
      <c r="P240" s="40" t="str">
        <f ca="1">IF(Table5[[#This Row],[Last sale Date]]="","Never Sold",TODAY()-Table5[[#This Row],[Last sale Date]])</f>
        <v>Never Sold</v>
      </c>
      <c r="Q240" s="6" t="str">
        <f>IF(Table5[[#This Row],[Re order Level]]&lt;=Table5[[#This Row],[Current stock]],"ORDERASAP","OK BUT BE CHECKING")</f>
        <v>OK BUT BE CHECKING</v>
      </c>
      <c r="R240" s="6" t="str">
        <f t="shared" si="13"/>
        <v>ACTIVE</v>
      </c>
      <c r="S240" s="8">
        <f>IF(Table5[[#This Row],[DEADSTOCK FLAG]]="DEAD",Table5[[#This Row],[Inventory Value]],0)</f>
        <v>0</v>
      </c>
    </row>
    <row r="241" spans="1:19" x14ac:dyDescent="0.25">
      <c r="A241" s="24" t="str">
        <f>'Inventory master'!A241</f>
        <v>ITEM240-A</v>
      </c>
      <c r="B241" s="6" t="str">
        <f>'Inventory master'!B241</f>
        <v>Dome Enclosure</v>
      </c>
      <c r="C241" s="6" t="str">
        <f>'Inventory master'!C241</f>
        <v>Enclosures</v>
      </c>
      <c r="D241" s="6" t="str">
        <f>'Inventory master'!D241</f>
        <v>Huber+Suhner</v>
      </c>
      <c r="E241" s="10" t="str">
        <f>'Inventory master'!E241</f>
        <v>1387.29</v>
      </c>
      <c r="F241" s="10" t="str">
        <f>'Inventory master'!F241</f>
        <v>2768.88</v>
      </c>
      <c r="G241" s="10" t="str">
        <f>'Inventory master'!G241</f>
        <v>38</v>
      </c>
      <c r="H241" s="8">
        <f>IFERROR(_xlfn.XLOOKUP(A241, 'Opening stock'!A241:A840, 'Opening stock'!E241:E840), "")</f>
        <v>570</v>
      </c>
      <c r="I241" s="8">
        <f>IFERROR(SUMIF(Table3[Item ID],'Inventory calculations'!A241,Table3[Quantity]),0)</f>
        <v>0</v>
      </c>
      <c r="J241" s="8">
        <f>IFERROR(SUMIF(Table4[Item ID],'Inventory calculations'!A241,Table4[Quantity Purchased]),0)</f>
        <v>0</v>
      </c>
      <c r="K241" s="10">
        <f t="shared" si="14"/>
        <v>570</v>
      </c>
      <c r="L241" s="6" t="str">
        <f t="shared" si="15"/>
        <v>OK</v>
      </c>
      <c r="M241" s="13">
        <f t="shared" si="12"/>
        <v>790755.29999999993</v>
      </c>
      <c r="N241" s="8">
        <f>Table5[[#This Row],[Total Qty Sold]]*Table5[[#This Row],[Unit Price]]</f>
        <v>0</v>
      </c>
      <c r="O241" s="9"/>
      <c r="P241" s="40" t="str">
        <f ca="1">IF(Table5[[#This Row],[Last sale Date]]="","Never Sold",TODAY()-Table5[[#This Row],[Last sale Date]])</f>
        <v>Never Sold</v>
      </c>
      <c r="Q241" s="6" t="str">
        <f>IF(Table5[[#This Row],[Re order Level]]&lt;=Table5[[#This Row],[Current stock]],"ORDERASAP","OK BUT BE CHECKING")</f>
        <v>OK BUT BE CHECKING</v>
      </c>
      <c r="R241" s="6" t="str">
        <f t="shared" si="13"/>
        <v>ACTIVE</v>
      </c>
      <c r="S241" s="8">
        <f>IF(Table5[[#This Row],[DEADSTOCK FLAG]]="DEAD",Table5[[#This Row],[Inventory Value]],0)</f>
        <v>0</v>
      </c>
    </row>
    <row r="242" spans="1:19" x14ac:dyDescent="0.25">
      <c r="A242" s="24" t="str">
        <f>'Inventory master'!A242</f>
        <v>ITEM241-A</v>
      </c>
      <c r="B242" s="6" t="str">
        <f>'Inventory master'!B242</f>
        <v>MTP UPC Connector</v>
      </c>
      <c r="C242" s="6" t="str">
        <f>'Inventory master'!C242</f>
        <v>Connectors</v>
      </c>
      <c r="D242" s="6" t="str">
        <f>'Inventory master'!D242</f>
        <v>Belden</v>
      </c>
      <c r="E242" s="10" t="str">
        <f>'Inventory master'!E242</f>
        <v>580.93</v>
      </c>
      <c r="F242" s="10" t="str">
        <f>'Inventory master'!F242</f>
        <v>683.41</v>
      </c>
      <c r="G242" s="10" t="str">
        <f>'Inventory master'!G242</f>
        <v>98</v>
      </c>
      <c r="H242" s="8">
        <f>IFERROR(_xlfn.XLOOKUP(A242, 'Opening stock'!A242:A841, 'Opening stock'!E242:E841), "")</f>
        <v>1470</v>
      </c>
      <c r="I242" s="8">
        <f>IFERROR(SUMIF(Table3[Item ID],'Inventory calculations'!A242,Table3[Quantity]),0)</f>
        <v>4</v>
      </c>
      <c r="J242" s="8">
        <f>IFERROR(SUMIF(Table4[Item ID],'Inventory calculations'!A242,Table4[Quantity Purchased]),0)</f>
        <v>8</v>
      </c>
      <c r="K242" s="10">
        <f t="shared" si="14"/>
        <v>1474</v>
      </c>
      <c r="L242" s="6" t="str">
        <f t="shared" si="15"/>
        <v>OK</v>
      </c>
      <c r="M242" s="13">
        <f t="shared" si="12"/>
        <v>856290.82</v>
      </c>
      <c r="N242" s="8">
        <f>Table5[[#This Row],[Total Qty Sold]]*Table5[[#This Row],[Unit Price]]</f>
        <v>2733.64</v>
      </c>
      <c r="O242" s="9">
        <f>IFERROR(_xlfn.MAXIFS(Table3[Date],Table3[Item ID],Table5[[#This Row],[Item ID]]),"")</f>
        <v>45603</v>
      </c>
      <c r="P242" s="40">
        <f ca="1">IF(Table5[[#This Row],[Last sale Date]]="","Never Sold",TODAY()-Table5[[#This Row],[Last sale Date]])</f>
        <v>449</v>
      </c>
      <c r="Q242" s="6" t="str">
        <f>IF(Table5[[#This Row],[Re order Level]]&lt;=Table5[[#This Row],[Current stock]],"ORDERASAP","OK BUT BE CHECKING")</f>
        <v>OK BUT BE CHECKING</v>
      </c>
      <c r="R242" s="6" t="str">
        <f t="shared" si="13"/>
        <v>ACTIVE</v>
      </c>
      <c r="S242" s="8">
        <f>IF(Table5[[#This Row],[DEADSTOCK FLAG]]="DEAD",Table5[[#This Row],[Inventory Value]],0)</f>
        <v>0</v>
      </c>
    </row>
    <row r="243" spans="1:19" x14ac:dyDescent="0.25">
      <c r="A243" s="24" t="str">
        <f>'Inventory master'!A243</f>
        <v>ITEM242-A</v>
      </c>
      <c r="B243" s="6" t="str">
        <f>'Inventory master'!B243</f>
        <v>Fusion Splicer</v>
      </c>
      <c r="C243" s="6" t="str">
        <f>'Inventory master'!C243</f>
        <v>Splicers</v>
      </c>
      <c r="D243" s="6" t="str">
        <f>'Inventory master'!D243</f>
        <v>AFL</v>
      </c>
      <c r="E243" s="10" t="str">
        <f>'Inventory master'!E243</f>
        <v>903.46</v>
      </c>
      <c r="F243" s="10" t="str">
        <f>'Inventory master'!F243</f>
        <v>1431.44</v>
      </c>
      <c r="G243" s="10" t="str">
        <f>'Inventory master'!G243</f>
        <v>53</v>
      </c>
      <c r="H243" s="8">
        <f>IFERROR(_xlfn.XLOOKUP(A243, 'Opening stock'!A243:A842, 'Opening stock'!E243:E842), "")</f>
        <v>795</v>
      </c>
      <c r="I243" s="8">
        <f>IFERROR(SUMIF(Table3[Item ID],'Inventory calculations'!A243,Table3[Quantity]),0)</f>
        <v>0</v>
      </c>
      <c r="J243" s="8">
        <f>IFERROR(SUMIF(Table4[Item ID],'Inventory calculations'!A243,Table4[Quantity Purchased]),0)</f>
        <v>0</v>
      </c>
      <c r="K243" s="10">
        <f t="shared" si="14"/>
        <v>795</v>
      </c>
      <c r="L243" s="6" t="str">
        <f t="shared" si="15"/>
        <v>OK</v>
      </c>
      <c r="M243" s="13">
        <f t="shared" si="12"/>
        <v>718250.70000000007</v>
      </c>
      <c r="N243" s="8">
        <f>Table5[[#This Row],[Total Qty Sold]]*Table5[[#This Row],[Unit Price]]</f>
        <v>0</v>
      </c>
      <c r="O243" s="9"/>
      <c r="P243" s="40" t="str">
        <f ca="1">IF(Table5[[#This Row],[Last sale Date]]="","Never Sold",TODAY()-Table5[[#This Row],[Last sale Date]])</f>
        <v>Never Sold</v>
      </c>
      <c r="Q243" s="6" t="str">
        <f>IF(Table5[[#This Row],[Re order Level]]&lt;=Table5[[#This Row],[Current stock]],"ORDERASAP","OK BUT BE CHECKING")</f>
        <v>OK BUT BE CHECKING</v>
      </c>
      <c r="R243" s="6" t="str">
        <f t="shared" si="13"/>
        <v>ACTIVE</v>
      </c>
      <c r="S243" s="8">
        <f>IF(Table5[[#This Row],[DEADSTOCK FLAG]]="DEAD",Table5[[#This Row],[Inventory Value]],0)</f>
        <v>0</v>
      </c>
    </row>
    <row r="244" spans="1:19" x14ac:dyDescent="0.25">
      <c r="A244" s="24" t="str">
        <f>'Inventory master'!A244</f>
        <v>ITEM243-A</v>
      </c>
      <c r="B244" s="6" t="str">
        <f>'Inventory master'!B244</f>
        <v>MTP UPC Connector</v>
      </c>
      <c r="C244" s="6" t="str">
        <f>'Inventory master'!C244</f>
        <v>Connectors</v>
      </c>
      <c r="D244" s="6" t="str">
        <f>'Inventory master'!D244</f>
        <v>Corning Inc.</v>
      </c>
      <c r="E244" s="10" t="str">
        <f>'Inventory master'!E244</f>
        <v>651.64</v>
      </c>
      <c r="F244" s="10" t="str">
        <f>'Inventory master'!F244</f>
        <v>1208.94</v>
      </c>
      <c r="G244" s="10" t="str">
        <f>'Inventory master'!G244</f>
        <v>12</v>
      </c>
      <c r="H244" s="8">
        <f>IFERROR(_xlfn.XLOOKUP(A244, 'Opening stock'!A244:A843, 'Opening stock'!E244:E843), "")</f>
        <v>180</v>
      </c>
      <c r="I244" s="8">
        <f>IFERROR(SUMIF(Table3[Item ID],'Inventory calculations'!A244,Table3[Quantity]),0)</f>
        <v>0</v>
      </c>
      <c r="J244" s="8">
        <f>IFERROR(SUMIF(Table4[Item ID],'Inventory calculations'!A244,Table4[Quantity Purchased]),0)</f>
        <v>2</v>
      </c>
      <c r="K244" s="10">
        <f t="shared" si="14"/>
        <v>182</v>
      </c>
      <c r="L244" s="6" t="str">
        <f t="shared" si="15"/>
        <v>OK</v>
      </c>
      <c r="M244" s="13">
        <f t="shared" si="12"/>
        <v>118598.48</v>
      </c>
      <c r="N244" s="8">
        <f>Table5[[#This Row],[Total Qty Sold]]*Table5[[#This Row],[Unit Price]]</f>
        <v>0</v>
      </c>
      <c r="O244" s="9"/>
      <c r="P244" s="40" t="str">
        <f ca="1">IF(Table5[[#This Row],[Last sale Date]]="","Never Sold",TODAY()-Table5[[#This Row],[Last sale Date]])</f>
        <v>Never Sold</v>
      </c>
      <c r="Q244" s="6" t="str">
        <f>IF(Table5[[#This Row],[Re order Level]]&lt;=Table5[[#This Row],[Current stock]],"ORDERASAP","OK BUT BE CHECKING")</f>
        <v>OK BUT BE CHECKING</v>
      </c>
      <c r="R244" s="6" t="str">
        <f t="shared" si="13"/>
        <v>ACTIVE</v>
      </c>
      <c r="S244" s="8">
        <f>IF(Table5[[#This Row],[DEADSTOCK FLAG]]="DEAD",Table5[[#This Row],[Inventory Value]],0)</f>
        <v>0</v>
      </c>
    </row>
    <row r="245" spans="1:19" x14ac:dyDescent="0.25">
      <c r="A245" s="24" t="str">
        <f>'Inventory master'!A245</f>
        <v>ITEM244-A</v>
      </c>
      <c r="B245" s="6" t="str">
        <f>'Inventory master'!B245</f>
        <v>SC APC Connector</v>
      </c>
      <c r="C245" s="6" t="str">
        <f>'Inventory master'!C245</f>
        <v>Connectors</v>
      </c>
      <c r="D245" s="6" t="str">
        <f>'Inventory master'!D245</f>
        <v>Leviton</v>
      </c>
      <c r="E245" s="10" t="str">
        <f>'Inventory master'!E245</f>
        <v>1748.51</v>
      </c>
      <c r="F245" s="10" t="str">
        <f>'Inventory master'!F245</f>
        <v>1934.34</v>
      </c>
      <c r="G245" s="10" t="str">
        <f>'Inventory master'!G245</f>
        <v>18</v>
      </c>
      <c r="H245" s="8">
        <f>IFERROR(_xlfn.XLOOKUP(A245, 'Opening stock'!A245:A844, 'Opening stock'!E245:E844), "")</f>
        <v>270</v>
      </c>
      <c r="I245" s="8">
        <f>IFERROR(SUMIF(Table3[Item ID],'Inventory calculations'!A245,Table3[Quantity]),0)</f>
        <v>0</v>
      </c>
      <c r="J245" s="8">
        <f>IFERROR(SUMIF(Table4[Item ID],'Inventory calculations'!A245,Table4[Quantity Purchased]),0)</f>
        <v>27</v>
      </c>
      <c r="K245" s="10">
        <f t="shared" si="14"/>
        <v>297</v>
      </c>
      <c r="L245" s="6" t="str">
        <f t="shared" si="15"/>
        <v>OK</v>
      </c>
      <c r="M245" s="13">
        <f t="shared" si="12"/>
        <v>519307.47</v>
      </c>
      <c r="N245" s="8">
        <f>Table5[[#This Row],[Total Qty Sold]]*Table5[[#This Row],[Unit Price]]</f>
        <v>0</v>
      </c>
      <c r="O245" s="9"/>
      <c r="P245" s="40" t="str">
        <f ca="1">IF(Table5[[#This Row],[Last sale Date]]="","Never Sold",TODAY()-Table5[[#This Row],[Last sale Date]])</f>
        <v>Never Sold</v>
      </c>
      <c r="Q245" s="6" t="str">
        <f>IF(Table5[[#This Row],[Re order Level]]&lt;=Table5[[#This Row],[Current stock]],"ORDERASAP","OK BUT BE CHECKING")</f>
        <v>OK BUT BE CHECKING</v>
      </c>
      <c r="R245" s="6" t="str">
        <f t="shared" si="13"/>
        <v>ACTIVE</v>
      </c>
      <c r="S245" s="8">
        <f>IF(Table5[[#This Row],[DEADSTOCK FLAG]]="DEAD",Table5[[#This Row],[Inventory Value]],0)</f>
        <v>0</v>
      </c>
    </row>
    <row r="246" spans="1:19" x14ac:dyDescent="0.25">
      <c r="A246" s="24" t="str">
        <f>'Inventory master'!A246</f>
        <v>ITEM245-A</v>
      </c>
      <c r="B246" s="6" t="str">
        <f>'Inventory master'!B246</f>
        <v>Fixed Attenuator 10dB</v>
      </c>
      <c r="C246" s="6" t="str">
        <f>'Inventory master'!C246</f>
        <v>Attenuators</v>
      </c>
      <c r="D246" s="6" t="str">
        <f>'Inventory master'!D246</f>
        <v>Belden</v>
      </c>
      <c r="E246" s="10" t="str">
        <f>'Inventory master'!E246</f>
        <v>1524.7</v>
      </c>
      <c r="F246" s="10" t="str">
        <f>'Inventory master'!F246</f>
        <v>1699.36</v>
      </c>
      <c r="G246" s="10" t="str">
        <f>'Inventory master'!G246</f>
        <v>64</v>
      </c>
      <c r="H246" s="8">
        <f>IFERROR(_xlfn.XLOOKUP(A246, 'Opening stock'!A246:A845, 'Opening stock'!E246:E845), "")</f>
        <v>960</v>
      </c>
      <c r="I246" s="8">
        <f>IFERROR(SUMIF(Table3[Item ID],'Inventory calculations'!A246,Table3[Quantity]),0)</f>
        <v>0</v>
      </c>
      <c r="J246" s="8">
        <f>IFERROR(SUMIF(Table4[Item ID],'Inventory calculations'!A246,Table4[Quantity Purchased]),0)</f>
        <v>3</v>
      </c>
      <c r="K246" s="10">
        <f t="shared" si="14"/>
        <v>963</v>
      </c>
      <c r="L246" s="6" t="str">
        <f t="shared" si="15"/>
        <v>OK</v>
      </c>
      <c r="M246" s="13">
        <f t="shared" si="12"/>
        <v>1468286.1</v>
      </c>
      <c r="N246" s="8">
        <f>Table5[[#This Row],[Total Qty Sold]]*Table5[[#This Row],[Unit Price]]</f>
        <v>0</v>
      </c>
      <c r="O246" s="9"/>
      <c r="P246" s="40" t="str">
        <f ca="1">IF(Table5[[#This Row],[Last sale Date]]="","Never Sold",TODAY()-Table5[[#This Row],[Last sale Date]])</f>
        <v>Never Sold</v>
      </c>
      <c r="Q246" s="6" t="str">
        <f>IF(Table5[[#This Row],[Re order Level]]&lt;=Table5[[#This Row],[Current stock]],"ORDERASAP","OK BUT BE CHECKING")</f>
        <v>OK BUT BE CHECKING</v>
      </c>
      <c r="R246" s="6" t="str">
        <f t="shared" si="13"/>
        <v>ACTIVE</v>
      </c>
      <c r="S246" s="8">
        <f>IF(Table5[[#This Row],[DEADSTOCK FLAG]]="DEAD",Table5[[#This Row],[Inventory Value]],0)</f>
        <v>0</v>
      </c>
    </row>
    <row r="247" spans="1:19" x14ac:dyDescent="0.25">
      <c r="A247" s="24" t="str">
        <f>'Inventory master'!A247</f>
        <v>ITEM246-A</v>
      </c>
      <c r="B247" s="6" t="str">
        <f>'Inventory master'!B247</f>
        <v>SFP Transceiver</v>
      </c>
      <c r="C247" s="6" t="str">
        <f>'Inventory master'!C247</f>
        <v>Transceivers</v>
      </c>
      <c r="D247" s="6" t="str">
        <f>'Inventory master'!D247</f>
        <v>Amphenol</v>
      </c>
      <c r="E247" s="10" t="str">
        <f>'Inventory master'!E247</f>
        <v>96.32</v>
      </c>
      <c r="F247" s="10" t="str">
        <f>'Inventory master'!F247</f>
        <v>178.19</v>
      </c>
      <c r="G247" s="10" t="str">
        <f>'Inventory master'!G247</f>
        <v>52</v>
      </c>
      <c r="H247" s="8">
        <f>IFERROR(_xlfn.XLOOKUP(A247, 'Opening stock'!A247:A846, 'Opening stock'!E247:E846), "")</f>
        <v>780</v>
      </c>
      <c r="I247" s="8">
        <f>IFERROR(SUMIF(Table3[Item ID],'Inventory calculations'!A247,Table3[Quantity]),0)</f>
        <v>0</v>
      </c>
      <c r="J247" s="8">
        <f>IFERROR(SUMIF(Table4[Item ID],'Inventory calculations'!A247,Table4[Quantity Purchased]),0)</f>
        <v>10</v>
      </c>
      <c r="K247" s="10">
        <f t="shared" si="14"/>
        <v>790</v>
      </c>
      <c r="L247" s="6" t="str">
        <f t="shared" si="15"/>
        <v>OK</v>
      </c>
      <c r="M247" s="13">
        <f t="shared" si="12"/>
        <v>76092.799999999988</v>
      </c>
      <c r="N247" s="8">
        <f>Table5[[#This Row],[Total Qty Sold]]*Table5[[#This Row],[Unit Price]]</f>
        <v>0</v>
      </c>
      <c r="O247" s="9"/>
      <c r="P247" s="40" t="str">
        <f ca="1">IF(Table5[[#This Row],[Last sale Date]]="","Never Sold",TODAY()-Table5[[#This Row],[Last sale Date]])</f>
        <v>Never Sold</v>
      </c>
      <c r="Q247" s="6" t="str">
        <f>IF(Table5[[#This Row],[Re order Level]]&lt;=Table5[[#This Row],[Current stock]],"ORDERASAP","OK BUT BE CHECKING")</f>
        <v>OK BUT BE CHECKING</v>
      </c>
      <c r="R247" s="6" t="str">
        <f t="shared" si="13"/>
        <v>ACTIVE</v>
      </c>
      <c r="S247" s="8">
        <f>IF(Table5[[#This Row],[DEADSTOCK FLAG]]="DEAD",Table5[[#This Row],[Inventory Value]],0)</f>
        <v>0</v>
      </c>
    </row>
    <row r="248" spans="1:19" x14ac:dyDescent="0.25">
      <c r="A248" s="24" t="str">
        <f>'Inventory master'!A248</f>
        <v>ITEM247-A</v>
      </c>
      <c r="B248" s="6" t="str">
        <f>'Inventory master'!B248</f>
        <v>Rack-Mount Enclosure</v>
      </c>
      <c r="C248" s="6" t="str">
        <f>'Inventory master'!C248</f>
        <v>Enclosures</v>
      </c>
      <c r="D248" s="6" t="str">
        <f>'Inventory master'!D248</f>
        <v>TE Connectivity</v>
      </c>
      <c r="E248" s="10" t="str">
        <f>'Inventory master'!E248</f>
        <v>57.06</v>
      </c>
      <c r="F248" s="10" t="str">
        <f>'Inventory master'!F248</f>
        <v>95.97</v>
      </c>
      <c r="G248" s="10" t="str">
        <f>'Inventory master'!G248</f>
        <v>93</v>
      </c>
      <c r="H248" s="8">
        <f>IFERROR(_xlfn.XLOOKUP(A248, 'Opening stock'!A248:A847, 'Opening stock'!E248:E847), "")</f>
        <v>1395</v>
      </c>
      <c r="I248" s="8">
        <f>IFERROR(SUMIF(Table3[Item ID],'Inventory calculations'!A248,Table3[Quantity]),0)</f>
        <v>0</v>
      </c>
      <c r="J248" s="8">
        <f>IFERROR(SUMIF(Table4[Item ID],'Inventory calculations'!A248,Table4[Quantity Purchased]),0)</f>
        <v>17</v>
      </c>
      <c r="K248" s="10">
        <f t="shared" si="14"/>
        <v>1412</v>
      </c>
      <c r="L248" s="6" t="str">
        <f t="shared" si="15"/>
        <v>OK</v>
      </c>
      <c r="M248" s="13">
        <f t="shared" si="12"/>
        <v>80568.72</v>
      </c>
      <c r="N248" s="8">
        <f>Table5[[#This Row],[Total Qty Sold]]*Table5[[#This Row],[Unit Price]]</f>
        <v>0</v>
      </c>
      <c r="O248" s="9"/>
      <c r="P248" s="40" t="str">
        <f ca="1">IF(Table5[[#This Row],[Last sale Date]]="","Never Sold",TODAY()-Table5[[#This Row],[Last sale Date]])</f>
        <v>Never Sold</v>
      </c>
      <c r="Q248" s="6" t="str">
        <f>IF(Table5[[#This Row],[Re order Level]]&lt;=Table5[[#This Row],[Current stock]],"ORDERASAP","OK BUT BE CHECKING")</f>
        <v>OK BUT BE CHECKING</v>
      </c>
      <c r="R248" s="6" t="str">
        <f t="shared" si="13"/>
        <v>ACTIVE</v>
      </c>
      <c r="S248" s="8">
        <f>IF(Table5[[#This Row],[DEADSTOCK FLAG]]="DEAD",Table5[[#This Row],[Inventory Value]],0)</f>
        <v>0</v>
      </c>
    </row>
    <row r="249" spans="1:19" x14ac:dyDescent="0.25">
      <c r="A249" s="24" t="str">
        <f>'Inventory master'!A249</f>
        <v>ITEM248-A</v>
      </c>
      <c r="B249" s="6" t="str">
        <f>'Inventory master'!B249</f>
        <v>Fusion Splicer</v>
      </c>
      <c r="C249" s="6" t="str">
        <f>'Inventory master'!C249</f>
        <v>Splicers</v>
      </c>
      <c r="D249" s="6" t="str">
        <f>'Inventory master'!D249</f>
        <v>Panduit</v>
      </c>
      <c r="E249" s="10" t="str">
        <f>'Inventory master'!E249</f>
        <v>1214.41</v>
      </c>
      <c r="F249" s="10" t="str">
        <f>'Inventory master'!F249</f>
        <v>1737.45</v>
      </c>
      <c r="G249" s="10" t="str">
        <f>'Inventory master'!G249</f>
        <v>41</v>
      </c>
      <c r="H249" s="8">
        <f>IFERROR(_xlfn.XLOOKUP(A249, 'Opening stock'!A249:A848, 'Opening stock'!E249:E848), "")</f>
        <v>615</v>
      </c>
      <c r="I249" s="8">
        <f>IFERROR(SUMIF(Table3[Item ID],'Inventory calculations'!A249,Table3[Quantity]),0)</f>
        <v>0</v>
      </c>
      <c r="J249" s="8">
        <f>IFERROR(SUMIF(Table4[Item ID],'Inventory calculations'!A249,Table4[Quantity Purchased]),0)</f>
        <v>0</v>
      </c>
      <c r="K249" s="10">
        <f t="shared" si="14"/>
        <v>615</v>
      </c>
      <c r="L249" s="6" t="str">
        <f t="shared" si="15"/>
        <v>OK</v>
      </c>
      <c r="M249" s="13">
        <f t="shared" si="12"/>
        <v>746862.15</v>
      </c>
      <c r="N249" s="8">
        <f>Table5[[#This Row],[Total Qty Sold]]*Table5[[#This Row],[Unit Price]]</f>
        <v>0</v>
      </c>
      <c r="O249" s="9"/>
      <c r="P249" s="40" t="str">
        <f ca="1">IF(Table5[[#This Row],[Last sale Date]]="","Never Sold",TODAY()-Table5[[#This Row],[Last sale Date]])</f>
        <v>Never Sold</v>
      </c>
      <c r="Q249" s="6" t="str">
        <f>IF(Table5[[#This Row],[Re order Level]]&lt;=Table5[[#This Row],[Current stock]],"ORDERASAP","OK BUT BE CHECKING")</f>
        <v>OK BUT BE CHECKING</v>
      </c>
      <c r="R249" s="6" t="str">
        <f t="shared" si="13"/>
        <v>ACTIVE</v>
      </c>
      <c r="S249" s="8">
        <f>IF(Table5[[#This Row],[DEADSTOCK FLAG]]="DEAD",Table5[[#This Row],[Inventory Value]],0)</f>
        <v>0</v>
      </c>
    </row>
    <row r="250" spans="1:19" x14ac:dyDescent="0.25">
      <c r="A250" s="24" t="str">
        <f>'Inventory master'!A250</f>
        <v>ITEM249-A</v>
      </c>
      <c r="B250" s="6" t="str">
        <f>'Inventory master'!B250</f>
        <v>Fiber Optic Cutter</v>
      </c>
      <c r="C250" s="6" t="str">
        <f>'Inventory master'!C250</f>
        <v>Tools</v>
      </c>
      <c r="D250" s="6" t="str">
        <f>'Inventory master'!D250</f>
        <v>CommScope</v>
      </c>
      <c r="E250" s="10" t="str">
        <f>'Inventory master'!E250</f>
        <v>605.54</v>
      </c>
      <c r="F250" s="10" t="str">
        <f>'Inventory master'!F250</f>
        <v>908.9</v>
      </c>
      <c r="G250" s="10" t="str">
        <f>'Inventory master'!G250</f>
        <v>75</v>
      </c>
      <c r="H250" s="8">
        <f>IFERROR(_xlfn.XLOOKUP(A250, 'Opening stock'!A250:A849, 'Opening stock'!E250:E849), "")</f>
        <v>1125</v>
      </c>
      <c r="I250" s="8">
        <f>IFERROR(SUMIF(Table3[Item ID],'Inventory calculations'!A250,Table3[Quantity]),0)</f>
        <v>0</v>
      </c>
      <c r="J250" s="8">
        <f>IFERROR(SUMIF(Table4[Item ID],'Inventory calculations'!A250,Table4[Quantity Purchased]),0)</f>
        <v>1</v>
      </c>
      <c r="K250" s="10">
        <f t="shared" si="14"/>
        <v>1126</v>
      </c>
      <c r="L250" s="6" t="str">
        <f t="shared" si="15"/>
        <v>OK</v>
      </c>
      <c r="M250" s="13">
        <f t="shared" si="12"/>
        <v>681838.03999999992</v>
      </c>
      <c r="N250" s="8">
        <f>Table5[[#This Row],[Total Qty Sold]]*Table5[[#This Row],[Unit Price]]</f>
        <v>0</v>
      </c>
      <c r="O250" s="9"/>
      <c r="P250" s="40" t="str">
        <f ca="1">IF(Table5[[#This Row],[Last sale Date]]="","Never Sold",TODAY()-Table5[[#This Row],[Last sale Date]])</f>
        <v>Never Sold</v>
      </c>
      <c r="Q250" s="6" t="str">
        <f>IF(Table5[[#This Row],[Re order Level]]&lt;=Table5[[#This Row],[Current stock]],"ORDERASAP","OK BUT BE CHECKING")</f>
        <v>OK BUT BE CHECKING</v>
      </c>
      <c r="R250" s="6" t="str">
        <f t="shared" si="13"/>
        <v>ACTIVE</v>
      </c>
      <c r="S250" s="8">
        <f>IF(Table5[[#This Row],[DEADSTOCK FLAG]]="DEAD",Table5[[#This Row],[Inventory Value]],0)</f>
        <v>0</v>
      </c>
    </row>
    <row r="251" spans="1:19" x14ac:dyDescent="0.25">
      <c r="A251" s="24" t="str">
        <f>'Inventory master'!A251</f>
        <v>ITEM250-A</v>
      </c>
      <c r="B251" s="6" t="str">
        <f>'Inventory master'!B251</f>
        <v>Fiber Optic Polisher</v>
      </c>
      <c r="C251" s="6" t="str">
        <f>'Inventory master'!C251</f>
        <v>Tools</v>
      </c>
      <c r="D251" s="6" t="str">
        <f>'Inventory master'!D251</f>
        <v>Corning Inc.</v>
      </c>
      <c r="E251" s="10" t="str">
        <f>'Inventory master'!E251</f>
        <v>1638.91</v>
      </c>
      <c r="F251" s="10" t="str">
        <f>'Inventory master'!F251</f>
        <v>2234.32</v>
      </c>
      <c r="G251" s="10" t="str">
        <f>'Inventory master'!G251</f>
        <v>30</v>
      </c>
      <c r="H251" s="8">
        <f>IFERROR(_xlfn.XLOOKUP(A251, 'Opening stock'!A251:A850, 'Opening stock'!E251:E850), "")</f>
        <v>450</v>
      </c>
      <c r="I251" s="8">
        <f>IFERROR(SUMIF(Table3[Item ID],'Inventory calculations'!A251,Table3[Quantity]),0)</f>
        <v>0</v>
      </c>
      <c r="J251" s="8">
        <f>IFERROR(SUMIF(Table4[Item ID],'Inventory calculations'!A251,Table4[Quantity Purchased]),0)</f>
        <v>62</v>
      </c>
      <c r="K251" s="10">
        <f t="shared" si="14"/>
        <v>512</v>
      </c>
      <c r="L251" s="6" t="str">
        <f t="shared" si="15"/>
        <v>OK</v>
      </c>
      <c r="M251" s="13">
        <f t="shared" si="12"/>
        <v>839121.92000000004</v>
      </c>
      <c r="N251" s="8">
        <f>Table5[[#This Row],[Total Qty Sold]]*Table5[[#This Row],[Unit Price]]</f>
        <v>0</v>
      </c>
      <c r="O251" s="9"/>
      <c r="P251" s="40" t="str">
        <f ca="1">IF(Table5[[#This Row],[Last sale Date]]="","Never Sold",TODAY()-Table5[[#This Row],[Last sale Date]])</f>
        <v>Never Sold</v>
      </c>
      <c r="Q251" s="6" t="str">
        <f>IF(Table5[[#This Row],[Re order Level]]&lt;=Table5[[#This Row],[Current stock]],"ORDERASAP","OK BUT BE CHECKING")</f>
        <v>OK BUT BE CHECKING</v>
      </c>
      <c r="R251" s="6" t="str">
        <f t="shared" si="13"/>
        <v>ACTIVE</v>
      </c>
      <c r="S251" s="8">
        <f>IF(Table5[[#This Row],[DEADSTOCK FLAG]]="DEAD",Table5[[#This Row],[Inventory Value]],0)</f>
        <v>0</v>
      </c>
    </row>
    <row r="252" spans="1:19" x14ac:dyDescent="0.25">
      <c r="A252" s="24" t="str">
        <f>'Inventory master'!A252</f>
        <v>ITEM251-A</v>
      </c>
      <c r="B252" s="6" t="str">
        <f>'Inventory master'!B252</f>
        <v>Armored Fiber Cable 50m</v>
      </c>
      <c r="C252" s="6" t="str">
        <f>'Inventory master'!C252</f>
        <v>Fiber Optic Cables</v>
      </c>
      <c r="D252" s="6" t="str">
        <f>'Inventory master'!D252</f>
        <v>CommScope</v>
      </c>
      <c r="E252" s="10" t="str">
        <f>'Inventory master'!E252</f>
        <v>471.79</v>
      </c>
      <c r="F252" s="10" t="str">
        <f>'Inventory master'!F252</f>
        <v>878.98</v>
      </c>
      <c r="G252" s="10" t="str">
        <f>'Inventory master'!G252</f>
        <v>34</v>
      </c>
      <c r="H252" s="8">
        <f>IFERROR(_xlfn.XLOOKUP(A252, 'Opening stock'!A252:A851, 'Opening stock'!E252:E851), "")</f>
        <v>510</v>
      </c>
      <c r="I252" s="8">
        <f>IFERROR(SUMIF(Table3[Item ID],'Inventory calculations'!A252,Table3[Quantity]),0)</f>
        <v>0</v>
      </c>
      <c r="J252" s="8">
        <f>IFERROR(SUMIF(Table4[Item ID],'Inventory calculations'!A252,Table4[Quantity Purchased]),0)</f>
        <v>42</v>
      </c>
      <c r="K252" s="10">
        <f t="shared" si="14"/>
        <v>552</v>
      </c>
      <c r="L252" s="6" t="str">
        <f t="shared" si="15"/>
        <v>OK</v>
      </c>
      <c r="M252" s="13">
        <f t="shared" si="12"/>
        <v>260428.08000000002</v>
      </c>
      <c r="N252" s="8">
        <f>Table5[[#This Row],[Total Qty Sold]]*Table5[[#This Row],[Unit Price]]</f>
        <v>0</v>
      </c>
      <c r="O252" s="9"/>
      <c r="P252" s="40" t="str">
        <f ca="1">IF(Table5[[#This Row],[Last sale Date]]="","Never Sold",TODAY()-Table5[[#This Row],[Last sale Date]])</f>
        <v>Never Sold</v>
      </c>
      <c r="Q252" s="6" t="str">
        <f>IF(Table5[[#This Row],[Re order Level]]&lt;=Table5[[#This Row],[Current stock]],"ORDERASAP","OK BUT BE CHECKING")</f>
        <v>OK BUT BE CHECKING</v>
      </c>
      <c r="R252" s="6" t="str">
        <f t="shared" si="13"/>
        <v>ACTIVE</v>
      </c>
      <c r="S252" s="8">
        <f>IF(Table5[[#This Row],[DEADSTOCK FLAG]]="DEAD",Table5[[#This Row],[Inventory Value]],0)</f>
        <v>0</v>
      </c>
    </row>
    <row r="253" spans="1:19" x14ac:dyDescent="0.25">
      <c r="A253" s="24" t="str">
        <f>'Inventory master'!A253</f>
        <v>ITEM252-A</v>
      </c>
      <c r="B253" s="6" t="str">
        <f>'Inventory master'!B253</f>
        <v>1x32 PLC Splitter</v>
      </c>
      <c r="C253" s="6" t="str">
        <f>'Inventory master'!C253</f>
        <v>Splitters</v>
      </c>
      <c r="D253" s="6" t="str">
        <f>'Inventory master'!D253</f>
        <v>Prysmian Group</v>
      </c>
      <c r="E253" s="10" t="str">
        <f>'Inventory master'!E253</f>
        <v>685.9</v>
      </c>
      <c r="F253" s="10" t="str">
        <f>'Inventory master'!F253</f>
        <v>846.22</v>
      </c>
      <c r="G253" s="10" t="str">
        <f>'Inventory master'!G253</f>
        <v>34</v>
      </c>
      <c r="H253" s="8">
        <f>IFERROR(_xlfn.XLOOKUP(A253, 'Opening stock'!A253:A852, 'Opening stock'!E253:E852), "")</f>
        <v>510</v>
      </c>
      <c r="I253" s="8">
        <f>IFERROR(SUMIF(Table3[Item ID],'Inventory calculations'!A253,Table3[Quantity]),0)</f>
        <v>0</v>
      </c>
      <c r="J253" s="8">
        <f>IFERROR(SUMIF(Table4[Item ID],'Inventory calculations'!A253,Table4[Quantity Purchased]),0)</f>
        <v>0</v>
      </c>
      <c r="K253" s="10">
        <f t="shared" si="14"/>
        <v>510</v>
      </c>
      <c r="L253" s="6" t="str">
        <f t="shared" si="15"/>
        <v>OK</v>
      </c>
      <c r="M253" s="13">
        <f t="shared" si="12"/>
        <v>349809</v>
      </c>
      <c r="N253" s="8">
        <f>Table5[[#This Row],[Total Qty Sold]]*Table5[[#This Row],[Unit Price]]</f>
        <v>0</v>
      </c>
      <c r="O253" s="9"/>
      <c r="P253" s="40" t="str">
        <f ca="1">IF(Table5[[#This Row],[Last sale Date]]="","Never Sold",TODAY()-Table5[[#This Row],[Last sale Date]])</f>
        <v>Never Sold</v>
      </c>
      <c r="Q253" s="6" t="str">
        <f>IF(Table5[[#This Row],[Re order Level]]&lt;=Table5[[#This Row],[Current stock]],"ORDERASAP","OK BUT BE CHECKING")</f>
        <v>OK BUT BE CHECKING</v>
      </c>
      <c r="R253" s="6" t="str">
        <f t="shared" si="13"/>
        <v>ACTIVE</v>
      </c>
      <c r="S253" s="8">
        <f>IF(Table5[[#This Row],[DEADSTOCK FLAG]]="DEAD",Table5[[#This Row],[Inventory Value]],0)</f>
        <v>0</v>
      </c>
    </row>
    <row r="254" spans="1:19" x14ac:dyDescent="0.25">
      <c r="A254" s="24" t="str">
        <f>'Inventory master'!A254</f>
        <v>ITEM253-A</v>
      </c>
      <c r="B254" s="6" t="str">
        <f>'Inventory master'!B254</f>
        <v>Fusion Splicer</v>
      </c>
      <c r="C254" s="6" t="str">
        <f>'Inventory master'!C254</f>
        <v>Splicers</v>
      </c>
      <c r="D254" s="6" t="str">
        <f>'Inventory master'!D254</f>
        <v>Belden</v>
      </c>
      <c r="E254" s="10" t="str">
        <f>'Inventory master'!E254</f>
        <v>1787.45</v>
      </c>
      <c r="F254" s="10" t="str">
        <f>'Inventory master'!F254</f>
        <v>2488.37</v>
      </c>
      <c r="G254" s="10" t="str">
        <f>'Inventory master'!G254</f>
        <v>25</v>
      </c>
      <c r="H254" s="8">
        <f>IFERROR(_xlfn.XLOOKUP(A254, 'Opening stock'!A254:A853, 'Opening stock'!E254:E853), "")</f>
        <v>375</v>
      </c>
      <c r="I254" s="8">
        <f>IFERROR(SUMIF(Table3[Item ID],'Inventory calculations'!A254,Table3[Quantity]),0)</f>
        <v>0</v>
      </c>
      <c r="J254" s="8">
        <f>IFERROR(SUMIF(Table4[Item ID],'Inventory calculations'!A254,Table4[Quantity Purchased]),0)</f>
        <v>16</v>
      </c>
      <c r="K254" s="10">
        <f t="shared" si="14"/>
        <v>391</v>
      </c>
      <c r="L254" s="6" t="str">
        <f t="shared" si="15"/>
        <v>OK</v>
      </c>
      <c r="M254" s="13">
        <f t="shared" si="12"/>
        <v>698892.95000000007</v>
      </c>
      <c r="N254" s="8">
        <f>Table5[[#This Row],[Total Qty Sold]]*Table5[[#This Row],[Unit Price]]</f>
        <v>0</v>
      </c>
      <c r="O254" s="9"/>
      <c r="P254" s="40" t="str">
        <f ca="1">IF(Table5[[#This Row],[Last sale Date]]="","Never Sold",TODAY()-Table5[[#This Row],[Last sale Date]])</f>
        <v>Never Sold</v>
      </c>
      <c r="Q254" s="6" t="str">
        <f>IF(Table5[[#This Row],[Re order Level]]&lt;=Table5[[#This Row],[Current stock]],"ORDERASAP","OK BUT BE CHECKING")</f>
        <v>OK BUT BE CHECKING</v>
      </c>
      <c r="R254" s="6" t="str">
        <f t="shared" si="13"/>
        <v>ACTIVE</v>
      </c>
      <c r="S254" s="8">
        <f>IF(Table5[[#This Row],[DEADSTOCK FLAG]]="DEAD",Table5[[#This Row],[Inventory Value]],0)</f>
        <v>0</v>
      </c>
    </row>
    <row r="255" spans="1:19" x14ac:dyDescent="0.25">
      <c r="A255" s="24" t="str">
        <f>'Inventory master'!A255</f>
        <v>ITEM254-A</v>
      </c>
      <c r="B255" s="6" t="str">
        <f>'Inventory master'!B255</f>
        <v>Dome Enclosure</v>
      </c>
      <c r="C255" s="6" t="str">
        <f>'Inventory master'!C255</f>
        <v>Enclosures</v>
      </c>
      <c r="D255" s="6" t="str">
        <f>'Inventory master'!D255</f>
        <v>Leviton</v>
      </c>
      <c r="E255" s="10" t="str">
        <f>'Inventory master'!E255</f>
        <v>1587.47</v>
      </c>
      <c r="F255" s="10" t="str">
        <f>'Inventory master'!F255</f>
        <v>2362.54</v>
      </c>
      <c r="G255" s="10" t="str">
        <f>'Inventory master'!G255</f>
        <v>38</v>
      </c>
      <c r="H255" s="8">
        <f>IFERROR(_xlfn.XLOOKUP(A255, 'Opening stock'!A255:A854, 'Opening stock'!E255:E854), "")</f>
        <v>570</v>
      </c>
      <c r="I255" s="8">
        <f>IFERROR(SUMIF(Table3[Item ID],'Inventory calculations'!A255,Table3[Quantity]),0)</f>
        <v>0</v>
      </c>
      <c r="J255" s="8">
        <f>IFERROR(SUMIF(Table4[Item ID],'Inventory calculations'!A255,Table4[Quantity Purchased]),0)</f>
        <v>13</v>
      </c>
      <c r="K255" s="10">
        <f t="shared" si="14"/>
        <v>583</v>
      </c>
      <c r="L255" s="6" t="str">
        <f t="shared" si="15"/>
        <v>OK</v>
      </c>
      <c r="M255" s="13">
        <f t="shared" si="12"/>
        <v>925495.01</v>
      </c>
      <c r="N255" s="8">
        <f>Table5[[#This Row],[Total Qty Sold]]*Table5[[#This Row],[Unit Price]]</f>
        <v>0</v>
      </c>
      <c r="O255" s="9"/>
      <c r="P255" s="40" t="str">
        <f ca="1">IF(Table5[[#This Row],[Last sale Date]]="","Never Sold",TODAY()-Table5[[#This Row],[Last sale Date]])</f>
        <v>Never Sold</v>
      </c>
      <c r="Q255" s="6" t="str">
        <f>IF(Table5[[#This Row],[Re order Level]]&lt;=Table5[[#This Row],[Current stock]],"ORDERASAP","OK BUT BE CHECKING")</f>
        <v>OK BUT BE CHECKING</v>
      </c>
      <c r="R255" s="6" t="str">
        <f t="shared" si="13"/>
        <v>ACTIVE</v>
      </c>
      <c r="S255" s="8">
        <f>IF(Table5[[#This Row],[DEADSTOCK FLAG]]="DEAD",Table5[[#This Row],[Inventory Value]],0)</f>
        <v>0</v>
      </c>
    </row>
    <row r="256" spans="1:19" x14ac:dyDescent="0.25">
      <c r="A256" s="24" t="str">
        <f>'Inventory master'!A256</f>
        <v>ITEM255-A</v>
      </c>
      <c r="B256" s="6" t="str">
        <f>'Inventory master'!B256</f>
        <v>LC UPC Connector</v>
      </c>
      <c r="C256" s="6" t="str">
        <f>'Inventory master'!C256</f>
        <v>Connectors</v>
      </c>
      <c r="D256" s="6" t="str">
        <f>'Inventory master'!D256</f>
        <v>Prysmian Group</v>
      </c>
      <c r="E256" s="10" t="str">
        <f>'Inventory master'!E256</f>
        <v>1459.35</v>
      </c>
      <c r="F256" s="10" t="str">
        <f>'Inventory master'!F256</f>
        <v>2111.63</v>
      </c>
      <c r="G256" s="10" t="str">
        <f>'Inventory master'!G256</f>
        <v>62</v>
      </c>
      <c r="H256" s="8">
        <f>IFERROR(_xlfn.XLOOKUP(A256, 'Opening stock'!A256:A855, 'Opening stock'!E256:E855), "")</f>
        <v>930</v>
      </c>
      <c r="I256" s="8">
        <f>IFERROR(SUMIF(Table3[Item ID],'Inventory calculations'!A256,Table3[Quantity]),0)</f>
        <v>0</v>
      </c>
      <c r="J256" s="8">
        <f>IFERROR(SUMIF(Table4[Item ID],'Inventory calculations'!A256,Table4[Quantity Purchased]),0)</f>
        <v>5</v>
      </c>
      <c r="K256" s="10">
        <f t="shared" si="14"/>
        <v>935</v>
      </c>
      <c r="L256" s="6" t="str">
        <f t="shared" si="15"/>
        <v>OK</v>
      </c>
      <c r="M256" s="13">
        <f t="shared" si="12"/>
        <v>1364492.25</v>
      </c>
      <c r="N256" s="8">
        <f>Table5[[#This Row],[Total Qty Sold]]*Table5[[#This Row],[Unit Price]]</f>
        <v>0</v>
      </c>
      <c r="O256" s="9"/>
      <c r="P256" s="40" t="str">
        <f ca="1">IF(Table5[[#This Row],[Last sale Date]]="","Never Sold",TODAY()-Table5[[#This Row],[Last sale Date]])</f>
        <v>Never Sold</v>
      </c>
      <c r="Q256" s="6" t="str">
        <f>IF(Table5[[#This Row],[Re order Level]]&lt;=Table5[[#This Row],[Current stock]],"ORDERASAP","OK BUT BE CHECKING")</f>
        <v>OK BUT BE CHECKING</v>
      </c>
      <c r="R256" s="6" t="str">
        <f t="shared" si="13"/>
        <v>ACTIVE</v>
      </c>
      <c r="S256" s="8">
        <f>IF(Table5[[#This Row],[DEADSTOCK FLAG]]="DEAD",Table5[[#This Row],[Inventory Value]],0)</f>
        <v>0</v>
      </c>
    </row>
    <row r="257" spans="1:19" x14ac:dyDescent="0.25">
      <c r="A257" s="24" t="str">
        <f>'Inventory master'!A257</f>
        <v>ITEM256-A</v>
      </c>
      <c r="B257" s="6" t="str">
        <f>'Inventory master'!B257</f>
        <v>Armored Fiber Cable 200m</v>
      </c>
      <c r="C257" s="6" t="str">
        <f>'Inventory master'!C257</f>
        <v>Fiber Optic Cables</v>
      </c>
      <c r="D257" s="6" t="str">
        <f>'Inventory master'!D257</f>
        <v>Corning Inc.</v>
      </c>
      <c r="E257" s="10" t="str">
        <f>'Inventory master'!E257</f>
        <v>1720.18</v>
      </c>
      <c r="F257" s="10" t="str">
        <f>'Inventory master'!F257</f>
        <v>2797.87</v>
      </c>
      <c r="G257" s="10" t="str">
        <f>'Inventory master'!G257</f>
        <v>99</v>
      </c>
      <c r="H257" s="8">
        <f>IFERROR(_xlfn.XLOOKUP(A257, 'Opening stock'!A257:A856, 'Opening stock'!E257:E856), "")</f>
        <v>1485</v>
      </c>
      <c r="I257" s="8">
        <f>IFERROR(SUMIF(Table3[Item ID],'Inventory calculations'!A257,Table3[Quantity]),0)</f>
        <v>0</v>
      </c>
      <c r="J257" s="8">
        <f>IFERROR(SUMIF(Table4[Item ID],'Inventory calculations'!A257,Table4[Quantity Purchased]),0)</f>
        <v>24</v>
      </c>
      <c r="K257" s="10">
        <f t="shared" si="14"/>
        <v>1509</v>
      </c>
      <c r="L257" s="6" t="str">
        <f t="shared" si="15"/>
        <v>OK</v>
      </c>
      <c r="M257" s="13">
        <f t="shared" si="12"/>
        <v>2595751.62</v>
      </c>
      <c r="N257" s="8">
        <f>Table5[[#This Row],[Total Qty Sold]]*Table5[[#This Row],[Unit Price]]</f>
        <v>0</v>
      </c>
      <c r="O257" s="9"/>
      <c r="P257" s="40" t="str">
        <f ca="1">IF(Table5[[#This Row],[Last sale Date]]="","Never Sold",TODAY()-Table5[[#This Row],[Last sale Date]])</f>
        <v>Never Sold</v>
      </c>
      <c r="Q257" s="6" t="str">
        <f>IF(Table5[[#This Row],[Re order Level]]&lt;=Table5[[#This Row],[Current stock]],"ORDERASAP","OK BUT BE CHECKING")</f>
        <v>OK BUT BE CHECKING</v>
      </c>
      <c r="R257" s="6" t="str">
        <f t="shared" si="13"/>
        <v>ACTIVE</v>
      </c>
      <c r="S257" s="8">
        <f>IF(Table5[[#This Row],[DEADSTOCK FLAG]]="DEAD",Table5[[#This Row],[Inventory Value]],0)</f>
        <v>0</v>
      </c>
    </row>
    <row r="258" spans="1:19" x14ac:dyDescent="0.25">
      <c r="A258" s="24" t="str">
        <f>'Inventory master'!A258</f>
        <v>ITEM257-A</v>
      </c>
      <c r="B258" s="6" t="str">
        <f>'Inventory master'!B258</f>
        <v>CFP Transceiver</v>
      </c>
      <c r="C258" s="6" t="str">
        <f>'Inventory master'!C258</f>
        <v>Transceivers</v>
      </c>
      <c r="D258" s="6" t="str">
        <f>'Inventory master'!D258</f>
        <v>CommScope</v>
      </c>
      <c r="E258" s="10" t="str">
        <f>'Inventory master'!E258</f>
        <v>239.3</v>
      </c>
      <c r="F258" s="10" t="str">
        <f>'Inventory master'!F258</f>
        <v>432.97</v>
      </c>
      <c r="G258" s="10" t="str">
        <f>'Inventory master'!G258</f>
        <v>32</v>
      </c>
      <c r="H258" s="8">
        <f>IFERROR(_xlfn.XLOOKUP(A258, 'Opening stock'!A258:A857, 'Opening stock'!E258:E857), "")</f>
        <v>480</v>
      </c>
      <c r="I258" s="8">
        <f>IFERROR(SUMIF(Table3[Item ID],'Inventory calculations'!A258,Table3[Quantity]),0)</f>
        <v>0</v>
      </c>
      <c r="J258" s="8">
        <f>IFERROR(SUMIF(Table4[Item ID],'Inventory calculations'!A258,Table4[Quantity Purchased]),0)</f>
        <v>8</v>
      </c>
      <c r="K258" s="10">
        <f t="shared" si="14"/>
        <v>488</v>
      </c>
      <c r="L258" s="6" t="str">
        <f t="shared" si="15"/>
        <v>OK</v>
      </c>
      <c r="M258" s="13">
        <f t="shared" ref="M258:M321" si="16">K258*E258</f>
        <v>116778.40000000001</v>
      </c>
      <c r="N258" s="8">
        <f>Table5[[#This Row],[Total Qty Sold]]*Table5[[#This Row],[Unit Price]]</f>
        <v>0</v>
      </c>
      <c r="O258" s="9"/>
      <c r="P258" s="40" t="str">
        <f ca="1">IF(Table5[[#This Row],[Last sale Date]]="","Never Sold",TODAY()-Table5[[#This Row],[Last sale Date]])</f>
        <v>Never Sold</v>
      </c>
      <c r="Q258" s="6" t="str">
        <f>IF(Table5[[#This Row],[Re order Level]]&lt;=Table5[[#This Row],[Current stock]],"ORDERASAP","OK BUT BE CHECKING")</f>
        <v>OK BUT BE CHECKING</v>
      </c>
      <c r="R258" s="6" t="str">
        <f t="shared" ref="R258:R321" si="17">IF(AND(ISNUMBER(B258), B258 &gt; 60), "DEAD", "ACTIVE")</f>
        <v>ACTIVE</v>
      </c>
      <c r="S258" s="8">
        <f>IF(Table5[[#This Row],[DEADSTOCK FLAG]]="DEAD",Table5[[#This Row],[Inventory Value]],0)</f>
        <v>0</v>
      </c>
    </row>
    <row r="259" spans="1:19" x14ac:dyDescent="0.25">
      <c r="A259" s="24" t="str">
        <f>'Inventory master'!A259</f>
        <v>ITEM258-A</v>
      </c>
      <c r="B259" s="6" t="str">
        <f>'Inventory master'!B259</f>
        <v>Wall-Mount Enclosure</v>
      </c>
      <c r="C259" s="6" t="str">
        <f>'Inventory master'!C259</f>
        <v>Enclosures</v>
      </c>
      <c r="D259" s="6" t="str">
        <f>'Inventory master'!D259</f>
        <v>Huber+Suhner</v>
      </c>
      <c r="E259" s="10" t="str">
        <f>'Inventory master'!E259</f>
        <v>1043.1</v>
      </c>
      <c r="F259" s="10" t="str">
        <f>'Inventory master'!F259</f>
        <v>1601.69</v>
      </c>
      <c r="G259" s="10" t="str">
        <f>'Inventory master'!G259</f>
        <v>21</v>
      </c>
      <c r="H259" s="8">
        <f>IFERROR(_xlfn.XLOOKUP(A259, 'Opening stock'!A259:A858, 'Opening stock'!E259:E858), "")</f>
        <v>315</v>
      </c>
      <c r="I259" s="8">
        <f>IFERROR(SUMIF(Table3[Item ID],'Inventory calculations'!A259,Table3[Quantity]),0)</f>
        <v>7</v>
      </c>
      <c r="J259" s="8">
        <f>IFERROR(SUMIF(Table4[Item ID],'Inventory calculations'!A259,Table4[Quantity Purchased]),0)</f>
        <v>0</v>
      </c>
      <c r="K259" s="10">
        <f t="shared" ref="K259:K322" si="18">H259+J259-I259</f>
        <v>308</v>
      </c>
      <c r="L259" s="6" t="str">
        <f t="shared" ref="L259:L322" si="19">IF(K259&lt;0,"STOCK ISSUE","OK")</f>
        <v>OK</v>
      </c>
      <c r="M259" s="13">
        <f t="shared" si="16"/>
        <v>321274.8</v>
      </c>
      <c r="N259" s="8">
        <f>Table5[[#This Row],[Total Qty Sold]]*Table5[[#This Row],[Unit Price]]</f>
        <v>11211.83</v>
      </c>
      <c r="O259" s="9">
        <f>IFERROR(_xlfn.MAXIFS(Table3[Date],Table3[Item ID],Table5[[#This Row],[Item ID]]),"")</f>
        <v>45447</v>
      </c>
      <c r="P259" s="40">
        <f ca="1">IF(Table5[[#This Row],[Last sale Date]]="","Never Sold",TODAY()-Table5[[#This Row],[Last sale Date]])</f>
        <v>605</v>
      </c>
      <c r="Q259" s="6" t="str">
        <f>IF(Table5[[#This Row],[Re order Level]]&lt;=Table5[[#This Row],[Current stock]],"ORDERASAP","OK BUT BE CHECKING")</f>
        <v>OK BUT BE CHECKING</v>
      </c>
      <c r="R259" s="6" t="str">
        <f t="shared" si="17"/>
        <v>ACTIVE</v>
      </c>
      <c r="S259" s="8">
        <f>IF(Table5[[#This Row],[DEADSTOCK FLAG]]="DEAD",Table5[[#This Row],[Inventory Value]],0)</f>
        <v>0</v>
      </c>
    </row>
    <row r="260" spans="1:19" x14ac:dyDescent="0.25">
      <c r="A260" s="24" t="str">
        <f>'Inventory master'!A260</f>
        <v>ITEM259-A</v>
      </c>
      <c r="B260" s="6" t="str">
        <f>'Inventory master'!B260</f>
        <v>Fiber Optic Stripper</v>
      </c>
      <c r="C260" s="6" t="str">
        <f>'Inventory master'!C260</f>
        <v>Tools</v>
      </c>
      <c r="D260" s="6" t="str">
        <f>'Inventory master'!D260</f>
        <v>CommScope</v>
      </c>
      <c r="E260" s="10" t="str">
        <f>'Inventory master'!E260</f>
        <v>1335.57</v>
      </c>
      <c r="F260" s="10" t="str">
        <f>'Inventory master'!F260</f>
        <v>2041.49</v>
      </c>
      <c r="G260" s="10" t="str">
        <f>'Inventory master'!G260</f>
        <v>71</v>
      </c>
      <c r="H260" s="8">
        <f>IFERROR(_xlfn.XLOOKUP(A260, 'Opening stock'!A260:A859, 'Opening stock'!E260:E859), "")</f>
        <v>1065</v>
      </c>
      <c r="I260" s="8">
        <f>IFERROR(SUMIF(Table3[Item ID],'Inventory calculations'!A260,Table3[Quantity]),0)</f>
        <v>0</v>
      </c>
      <c r="J260" s="8">
        <f>IFERROR(SUMIF(Table4[Item ID],'Inventory calculations'!A260,Table4[Quantity Purchased]),0)</f>
        <v>39</v>
      </c>
      <c r="K260" s="10">
        <f t="shared" si="18"/>
        <v>1104</v>
      </c>
      <c r="L260" s="6" t="str">
        <f t="shared" si="19"/>
        <v>OK</v>
      </c>
      <c r="M260" s="13">
        <f t="shared" si="16"/>
        <v>1474469.28</v>
      </c>
      <c r="N260" s="8">
        <f>Table5[[#This Row],[Total Qty Sold]]*Table5[[#This Row],[Unit Price]]</f>
        <v>0</v>
      </c>
      <c r="O260" s="9"/>
      <c r="P260" s="40" t="str">
        <f ca="1">IF(Table5[[#This Row],[Last sale Date]]="","Never Sold",TODAY()-Table5[[#This Row],[Last sale Date]])</f>
        <v>Never Sold</v>
      </c>
      <c r="Q260" s="6" t="str">
        <f>IF(Table5[[#This Row],[Re order Level]]&lt;=Table5[[#This Row],[Current stock]],"ORDERASAP","OK BUT BE CHECKING")</f>
        <v>OK BUT BE CHECKING</v>
      </c>
      <c r="R260" s="6" t="str">
        <f t="shared" si="17"/>
        <v>ACTIVE</v>
      </c>
      <c r="S260" s="8">
        <f>IF(Table5[[#This Row],[DEADSTOCK FLAG]]="DEAD",Table5[[#This Row],[Inventory Value]],0)</f>
        <v>0</v>
      </c>
    </row>
    <row r="261" spans="1:19" x14ac:dyDescent="0.25">
      <c r="A261" s="24" t="str">
        <f>'Inventory master'!A261</f>
        <v>ITEM260-A</v>
      </c>
      <c r="B261" s="6" t="str">
        <f>'Inventory master'!B261</f>
        <v>CFP Transceiver</v>
      </c>
      <c r="C261" s="6" t="str">
        <f>'Inventory master'!C261</f>
        <v>Transceivers</v>
      </c>
      <c r="D261" s="6" t="str">
        <f>'Inventory master'!D261</f>
        <v>TE Connectivity</v>
      </c>
      <c r="E261" s="10" t="str">
        <f>'Inventory master'!E261</f>
        <v>465.33</v>
      </c>
      <c r="F261" s="10" t="str">
        <f>'Inventory master'!F261</f>
        <v>882.28</v>
      </c>
      <c r="G261" s="10" t="str">
        <f>'Inventory master'!G261</f>
        <v>87</v>
      </c>
      <c r="H261" s="8">
        <f>IFERROR(_xlfn.XLOOKUP(A261, 'Opening stock'!A261:A860, 'Opening stock'!E261:E860), "")</f>
        <v>1305</v>
      </c>
      <c r="I261" s="8">
        <f>IFERROR(SUMIF(Table3[Item ID],'Inventory calculations'!A261,Table3[Quantity]),0)</f>
        <v>0</v>
      </c>
      <c r="J261" s="8">
        <f>IFERROR(SUMIF(Table4[Item ID],'Inventory calculations'!A261,Table4[Quantity Purchased]),0)</f>
        <v>0</v>
      </c>
      <c r="K261" s="10">
        <f t="shared" si="18"/>
        <v>1305</v>
      </c>
      <c r="L261" s="6" t="str">
        <f t="shared" si="19"/>
        <v>OK</v>
      </c>
      <c r="M261" s="13">
        <f t="shared" si="16"/>
        <v>607255.65</v>
      </c>
      <c r="N261" s="8">
        <f>Table5[[#This Row],[Total Qty Sold]]*Table5[[#This Row],[Unit Price]]</f>
        <v>0</v>
      </c>
      <c r="O261" s="9"/>
      <c r="P261" s="40" t="str">
        <f ca="1">IF(Table5[[#This Row],[Last sale Date]]="","Never Sold",TODAY()-Table5[[#This Row],[Last sale Date]])</f>
        <v>Never Sold</v>
      </c>
      <c r="Q261" s="6" t="str">
        <f>IF(Table5[[#This Row],[Re order Level]]&lt;=Table5[[#This Row],[Current stock]],"ORDERASAP","OK BUT BE CHECKING")</f>
        <v>OK BUT BE CHECKING</v>
      </c>
      <c r="R261" s="6" t="str">
        <f t="shared" si="17"/>
        <v>ACTIVE</v>
      </c>
      <c r="S261" s="8">
        <f>IF(Table5[[#This Row],[DEADSTOCK FLAG]]="DEAD",Table5[[#This Row],[Inventory Value]],0)</f>
        <v>0</v>
      </c>
    </row>
    <row r="262" spans="1:19" x14ac:dyDescent="0.25">
      <c r="A262" s="24" t="str">
        <f>'Inventory master'!A262</f>
        <v>ITEM261-A</v>
      </c>
      <c r="B262" s="6" t="str">
        <f>'Inventory master'!B262</f>
        <v>Mechanical Splicer</v>
      </c>
      <c r="C262" s="6" t="str">
        <f>'Inventory master'!C262</f>
        <v>Splicers</v>
      </c>
      <c r="D262" s="6" t="str">
        <f>'Inventory master'!D262</f>
        <v>TE Connectivity</v>
      </c>
      <c r="E262" s="10" t="str">
        <f>'Inventory master'!E262</f>
        <v>526.82</v>
      </c>
      <c r="F262" s="10" t="str">
        <f>'Inventory master'!F262</f>
        <v>582.04</v>
      </c>
      <c r="G262" s="10" t="str">
        <f>'Inventory master'!G262</f>
        <v>56</v>
      </c>
      <c r="H262" s="8">
        <f>IFERROR(_xlfn.XLOOKUP(A262, 'Opening stock'!A262:A861, 'Opening stock'!E262:E861), "")</f>
        <v>840</v>
      </c>
      <c r="I262" s="8">
        <f>IFERROR(SUMIF(Table3[Item ID],'Inventory calculations'!A262,Table3[Quantity]),0)</f>
        <v>0</v>
      </c>
      <c r="J262" s="8">
        <f>IFERROR(SUMIF(Table4[Item ID],'Inventory calculations'!A262,Table4[Quantity Purchased]),0)</f>
        <v>0</v>
      </c>
      <c r="K262" s="10">
        <f t="shared" si="18"/>
        <v>840</v>
      </c>
      <c r="L262" s="6" t="str">
        <f t="shared" si="19"/>
        <v>OK</v>
      </c>
      <c r="M262" s="13">
        <f t="shared" si="16"/>
        <v>442528.80000000005</v>
      </c>
      <c r="N262" s="8">
        <f>Table5[[#This Row],[Total Qty Sold]]*Table5[[#This Row],[Unit Price]]</f>
        <v>0</v>
      </c>
      <c r="O262" s="9"/>
      <c r="P262" s="40" t="str">
        <f ca="1">IF(Table5[[#This Row],[Last sale Date]]="","Never Sold",TODAY()-Table5[[#This Row],[Last sale Date]])</f>
        <v>Never Sold</v>
      </c>
      <c r="Q262" s="6" t="str">
        <f>IF(Table5[[#This Row],[Re order Level]]&lt;=Table5[[#This Row],[Current stock]],"ORDERASAP","OK BUT BE CHECKING")</f>
        <v>OK BUT BE CHECKING</v>
      </c>
      <c r="R262" s="6" t="str">
        <f t="shared" si="17"/>
        <v>ACTIVE</v>
      </c>
      <c r="S262" s="8">
        <f>IF(Table5[[#This Row],[DEADSTOCK FLAG]]="DEAD",Table5[[#This Row],[Inventory Value]],0)</f>
        <v>0</v>
      </c>
    </row>
    <row r="263" spans="1:19" x14ac:dyDescent="0.25">
      <c r="A263" s="24" t="str">
        <f>'Inventory master'!A263</f>
        <v>ITEM262-A</v>
      </c>
      <c r="B263" s="6" t="str">
        <f>'Inventory master'!B263</f>
        <v>1x16 PLC Splitter</v>
      </c>
      <c r="C263" s="6" t="str">
        <f>'Inventory master'!C263</f>
        <v>Splitters</v>
      </c>
      <c r="D263" s="6" t="str">
        <f>'Inventory master'!D263</f>
        <v>Belden</v>
      </c>
      <c r="E263" s="10" t="str">
        <f>'Inventory master'!E263</f>
        <v>1702.82</v>
      </c>
      <c r="F263" s="10" t="str">
        <f>'Inventory master'!F263</f>
        <v>2284.38</v>
      </c>
      <c r="G263" s="10" t="str">
        <f>'Inventory master'!G263</f>
        <v>75</v>
      </c>
      <c r="H263" s="8">
        <f>IFERROR(_xlfn.XLOOKUP(A263, 'Opening stock'!A263:A862, 'Opening stock'!E263:E862), "")</f>
        <v>1125</v>
      </c>
      <c r="I263" s="8">
        <f>IFERROR(SUMIF(Table3[Item ID],'Inventory calculations'!A263,Table3[Quantity]),0)</f>
        <v>0</v>
      </c>
      <c r="J263" s="8">
        <f>IFERROR(SUMIF(Table4[Item ID],'Inventory calculations'!A263,Table4[Quantity Purchased]),0)</f>
        <v>7</v>
      </c>
      <c r="K263" s="10">
        <f t="shared" si="18"/>
        <v>1132</v>
      </c>
      <c r="L263" s="6" t="str">
        <f t="shared" si="19"/>
        <v>OK</v>
      </c>
      <c r="M263" s="13">
        <f t="shared" si="16"/>
        <v>1927592.24</v>
      </c>
      <c r="N263" s="8">
        <f>Table5[[#This Row],[Total Qty Sold]]*Table5[[#This Row],[Unit Price]]</f>
        <v>0</v>
      </c>
      <c r="O263" s="9"/>
      <c r="P263" s="40" t="str">
        <f ca="1">IF(Table5[[#This Row],[Last sale Date]]="","Never Sold",TODAY()-Table5[[#This Row],[Last sale Date]])</f>
        <v>Never Sold</v>
      </c>
      <c r="Q263" s="6" t="str">
        <f>IF(Table5[[#This Row],[Re order Level]]&lt;=Table5[[#This Row],[Current stock]],"ORDERASAP","OK BUT BE CHECKING")</f>
        <v>OK BUT BE CHECKING</v>
      </c>
      <c r="R263" s="6" t="str">
        <f t="shared" si="17"/>
        <v>ACTIVE</v>
      </c>
      <c r="S263" s="8">
        <f>IF(Table5[[#This Row],[DEADSTOCK FLAG]]="DEAD",Table5[[#This Row],[Inventory Value]],0)</f>
        <v>0</v>
      </c>
    </row>
    <row r="264" spans="1:19" x14ac:dyDescent="0.25">
      <c r="A264" s="24" t="str">
        <f>'Inventory master'!A264</f>
        <v>ITEM263-A</v>
      </c>
      <c r="B264" s="6" t="str">
        <f>'Inventory master'!B264</f>
        <v>SFP Transceiver</v>
      </c>
      <c r="C264" s="6" t="str">
        <f>'Inventory master'!C264</f>
        <v>Transceivers</v>
      </c>
      <c r="D264" s="6" t="str">
        <f>'Inventory master'!D264</f>
        <v>Siemon</v>
      </c>
      <c r="E264" s="10" t="str">
        <f>'Inventory master'!E264</f>
        <v>264.83</v>
      </c>
      <c r="F264" s="10" t="str">
        <f>'Inventory master'!F264</f>
        <v>350.42</v>
      </c>
      <c r="G264" s="10" t="str">
        <f>'Inventory master'!G264</f>
        <v>18</v>
      </c>
      <c r="H264" s="8">
        <f>IFERROR(_xlfn.XLOOKUP(A264, 'Opening stock'!A264:A863, 'Opening stock'!E264:E863), "")</f>
        <v>270</v>
      </c>
      <c r="I264" s="8">
        <f>IFERROR(SUMIF(Table3[Item ID],'Inventory calculations'!A264,Table3[Quantity]),0)</f>
        <v>0</v>
      </c>
      <c r="J264" s="8">
        <f>IFERROR(SUMIF(Table4[Item ID],'Inventory calculations'!A264,Table4[Quantity Purchased]),0)</f>
        <v>2</v>
      </c>
      <c r="K264" s="10">
        <f t="shared" si="18"/>
        <v>272</v>
      </c>
      <c r="L264" s="6" t="str">
        <f t="shared" si="19"/>
        <v>OK</v>
      </c>
      <c r="M264" s="13">
        <f t="shared" si="16"/>
        <v>72033.759999999995</v>
      </c>
      <c r="N264" s="8">
        <f>Table5[[#This Row],[Total Qty Sold]]*Table5[[#This Row],[Unit Price]]</f>
        <v>0</v>
      </c>
      <c r="O264" s="9"/>
      <c r="P264" s="40" t="str">
        <f ca="1">IF(Table5[[#This Row],[Last sale Date]]="","Never Sold",TODAY()-Table5[[#This Row],[Last sale Date]])</f>
        <v>Never Sold</v>
      </c>
      <c r="Q264" s="6" t="str">
        <f>IF(Table5[[#This Row],[Re order Level]]&lt;=Table5[[#This Row],[Current stock]],"ORDERASAP","OK BUT BE CHECKING")</f>
        <v>OK BUT BE CHECKING</v>
      </c>
      <c r="R264" s="6" t="str">
        <f t="shared" si="17"/>
        <v>ACTIVE</v>
      </c>
      <c r="S264" s="8">
        <f>IF(Table5[[#This Row],[DEADSTOCK FLAG]]="DEAD",Table5[[#This Row],[Inventory Value]],0)</f>
        <v>0</v>
      </c>
    </row>
    <row r="265" spans="1:19" x14ac:dyDescent="0.25">
      <c r="A265" s="24" t="str">
        <f>'Inventory master'!A265</f>
        <v>ITEM264-A</v>
      </c>
      <c r="B265" s="6" t="str">
        <f>'Inventory master'!B265</f>
        <v>Fixed Attenuator 1dB</v>
      </c>
      <c r="C265" s="6" t="str">
        <f>'Inventory master'!C265</f>
        <v>Attenuators</v>
      </c>
      <c r="D265" s="6" t="str">
        <f>'Inventory master'!D265</f>
        <v>Prysmian Group</v>
      </c>
      <c r="E265" s="10" t="str">
        <f>'Inventory master'!E265</f>
        <v>962.39</v>
      </c>
      <c r="F265" s="10" t="str">
        <f>'Inventory master'!F265</f>
        <v>1516.05</v>
      </c>
      <c r="G265" s="10" t="str">
        <f>'Inventory master'!G265</f>
        <v>100</v>
      </c>
      <c r="H265" s="8">
        <f>IFERROR(_xlfn.XLOOKUP(A265, 'Opening stock'!A265:A864, 'Opening stock'!E265:E864), "")</f>
        <v>1500</v>
      </c>
      <c r="I265" s="8">
        <f>IFERROR(SUMIF(Table3[Item ID],'Inventory calculations'!A265,Table3[Quantity]),0)</f>
        <v>0</v>
      </c>
      <c r="J265" s="8">
        <f>IFERROR(SUMIF(Table4[Item ID],'Inventory calculations'!A265,Table4[Quantity Purchased]),0)</f>
        <v>0</v>
      </c>
      <c r="K265" s="10">
        <f t="shared" si="18"/>
        <v>1500</v>
      </c>
      <c r="L265" s="6" t="str">
        <f t="shared" si="19"/>
        <v>OK</v>
      </c>
      <c r="M265" s="13">
        <f t="shared" si="16"/>
        <v>1443585</v>
      </c>
      <c r="N265" s="8">
        <f>Table5[[#This Row],[Total Qty Sold]]*Table5[[#This Row],[Unit Price]]</f>
        <v>0</v>
      </c>
      <c r="O265" s="9"/>
      <c r="P265" s="40" t="str">
        <f ca="1">IF(Table5[[#This Row],[Last sale Date]]="","Never Sold",TODAY()-Table5[[#This Row],[Last sale Date]])</f>
        <v>Never Sold</v>
      </c>
      <c r="Q265" s="6" t="str">
        <f>IF(Table5[[#This Row],[Re order Level]]&lt;=Table5[[#This Row],[Current stock]],"ORDERASAP","OK BUT BE CHECKING")</f>
        <v>OK BUT BE CHECKING</v>
      </c>
      <c r="R265" s="6" t="str">
        <f t="shared" si="17"/>
        <v>ACTIVE</v>
      </c>
      <c r="S265" s="8">
        <f>IF(Table5[[#This Row],[DEADSTOCK FLAG]]="DEAD",Table5[[#This Row],[Inventory Value]],0)</f>
        <v>0</v>
      </c>
    </row>
    <row r="266" spans="1:19" x14ac:dyDescent="0.25">
      <c r="A266" s="24" t="str">
        <f>'Inventory master'!A266</f>
        <v>ITEM265-A</v>
      </c>
      <c r="B266" s="6" t="str">
        <f>'Inventory master'!B266</f>
        <v>Fiber Pigtail</v>
      </c>
      <c r="C266" s="6" t="str">
        <f>'Inventory master'!C266</f>
        <v>Accessories</v>
      </c>
      <c r="D266" s="6" t="str">
        <f>'Inventory master'!D266</f>
        <v>CommScope</v>
      </c>
      <c r="E266" s="10" t="str">
        <f>'Inventory master'!E266</f>
        <v>1613.57</v>
      </c>
      <c r="F266" s="10" t="str">
        <f>'Inventory master'!F266</f>
        <v>3152.21</v>
      </c>
      <c r="G266" s="10" t="str">
        <f>'Inventory master'!G266</f>
        <v>80</v>
      </c>
      <c r="H266" s="8">
        <f>IFERROR(_xlfn.XLOOKUP(A266, 'Opening stock'!A266:A865, 'Opening stock'!E266:E865), "")</f>
        <v>1200</v>
      </c>
      <c r="I266" s="8">
        <f>IFERROR(SUMIF(Table3[Item ID],'Inventory calculations'!A266,Table3[Quantity]),0)</f>
        <v>10</v>
      </c>
      <c r="J266" s="8">
        <f>IFERROR(SUMIF(Table4[Item ID],'Inventory calculations'!A266,Table4[Quantity Purchased]),0)</f>
        <v>0</v>
      </c>
      <c r="K266" s="10">
        <f t="shared" si="18"/>
        <v>1190</v>
      </c>
      <c r="L266" s="6" t="str">
        <f t="shared" si="19"/>
        <v>OK</v>
      </c>
      <c r="M266" s="13">
        <f t="shared" si="16"/>
        <v>1920148.2999999998</v>
      </c>
      <c r="N266" s="8">
        <f>Table5[[#This Row],[Total Qty Sold]]*Table5[[#This Row],[Unit Price]]</f>
        <v>31522.1</v>
      </c>
      <c r="O266" s="9">
        <f>IFERROR(_xlfn.MAXIFS(Table3[Date],Table3[Item ID],Table5[[#This Row],[Item ID]]),"")</f>
        <v>45524</v>
      </c>
      <c r="P266" s="40">
        <f ca="1">IF(Table5[[#This Row],[Last sale Date]]="","Never Sold",TODAY()-Table5[[#This Row],[Last sale Date]])</f>
        <v>528</v>
      </c>
      <c r="Q266" s="6" t="str">
        <f>IF(Table5[[#This Row],[Re order Level]]&lt;=Table5[[#This Row],[Current stock]],"ORDERASAP","OK BUT BE CHECKING")</f>
        <v>OK BUT BE CHECKING</v>
      </c>
      <c r="R266" s="6" t="str">
        <f t="shared" si="17"/>
        <v>ACTIVE</v>
      </c>
      <c r="S266" s="8">
        <f>IF(Table5[[#This Row],[DEADSTOCK FLAG]]="DEAD",Table5[[#This Row],[Inventory Value]],0)</f>
        <v>0</v>
      </c>
    </row>
    <row r="267" spans="1:19" x14ac:dyDescent="0.25">
      <c r="A267" s="24" t="str">
        <f>'Inventory master'!A267</f>
        <v>ITEM266-A</v>
      </c>
      <c r="B267" s="6" t="str">
        <f>'Inventory master'!B267</f>
        <v>Fixed Attenuator 3dB</v>
      </c>
      <c r="C267" s="6" t="str">
        <f>'Inventory master'!C267</f>
        <v>Attenuators</v>
      </c>
      <c r="D267" s="6" t="str">
        <f>'Inventory master'!D267</f>
        <v>AFL</v>
      </c>
      <c r="E267" s="10" t="str">
        <f>'Inventory master'!E267</f>
        <v>1263.68</v>
      </c>
      <c r="F267" s="10" t="str">
        <f>'Inventory master'!F267</f>
        <v>1676.36</v>
      </c>
      <c r="G267" s="10" t="str">
        <f>'Inventory master'!G267</f>
        <v>22</v>
      </c>
      <c r="H267" s="8">
        <f>IFERROR(_xlfn.XLOOKUP(A267, 'Opening stock'!A267:A866, 'Opening stock'!E267:E866), "")</f>
        <v>330</v>
      </c>
      <c r="I267" s="8">
        <f>IFERROR(SUMIF(Table3[Item ID],'Inventory calculations'!A267,Table3[Quantity]),0)</f>
        <v>0</v>
      </c>
      <c r="J267" s="8">
        <f>IFERROR(SUMIF(Table4[Item ID],'Inventory calculations'!A267,Table4[Quantity Purchased]),0)</f>
        <v>0</v>
      </c>
      <c r="K267" s="10">
        <f t="shared" si="18"/>
        <v>330</v>
      </c>
      <c r="L267" s="6" t="str">
        <f t="shared" si="19"/>
        <v>OK</v>
      </c>
      <c r="M267" s="13">
        <f t="shared" si="16"/>
        <v>417014.4</v>
      </c>
      <c r="N267" s="8">
        <f>Table5[[#This Row],[Total Qty Sold]]*Table5[[#This Row],[Unit Price]]</f>
        <v>0</v>
      </c>
      <c r="O267" s="9"/>
      <c r="P267" s="40" t="str">
        <f ca="1">IF(Table5[[#This Row],[Last sale Date]]="","Never Sold",TODAY()-Table5[[#This Row],[Last sale Date]])</f>
        <v>Never Sold</v>
      </c>
      <c r="Q267" s="6" t="str">
        <f>IF(Table5[[#This Row],[Re order Level]]&lt;=Table5[[#This Row],[Current stock]],"ORDERASAP","OK BUT BE CHECKING")</f>
        <v>OK BUT BE CHECKING</v>
      </c>
      <c r="R267" s="6" t="str">
        <f t="shared" si="17"/>
        <v>ACTIVE</v>
      </c>
      <c r="S267" s="8">
        <f>IF(Table5[[#This Row],[DEADSTOCK FLAG]]="DEAD",Table5[[#This Row],[Inventory Value]],0)</f>
        <v>0</v>
      </c>
    </row>
    <row r="268" spans="1:19" x14ac:dyDescent="0.25">
      <c r="A268" s="24" t="str">
        <f>'Inventory master'!A268</f>
        <v>ITEM267-A</v>
      </c>
      <c r="B268" s="6" t="str">
        <f>'Inventory master'!B268</f>
        <v>Armored Fiber Cable 500m</v>
      </c>
      <c r="C268" s="6" t="str">
        <f>'Inventory master'!C268</f>
        <v>Fiber Optic Cables</v>
      </c>
      <c r="D268" s="6" t="str">
        <f>'Inventory master'!D268</f>
        <v>HellermannTyton</v>
      </c>
      <c r="E268" s="10" t="str">
        <f>'Inventory master'!E268</f>
        <v>389.18</v>
      </c>
      <c r="F268" s="10" t="str">
        <f>'Inventory master'!F268</f>
        <v>516.76</v>
      </c>
      <c r="G268" s="10" t="str">
        <f>'Inventory master'!G268</f>
        <v>52</v>
      </c>
      <c r="H268" s="8">
        <f>IFERROR(_xlfn.XLOOKUP(A268, 'Opening stock'!A268:A867, 'Opening stock'!E268:E867), "")</f>
        <v>780</v>
      </c>
      <c r="I268" s="8">
        <f>IFERROR(SUMIF(Table3[Item ID],'Inventory calculations'!A268,Table3[Quantity]),0)</f>
        <v>0</v>
      </c>
      <c r="J268" s="8">
        <f>IFERROR(SUMIF(Table4[Item ID],'Inventory calculations'!A268,Table4[Quantity Purchased]),0)</f>
        <v>0</v>
      </c>
      <c r="K268" s="10">
        <f t="shared" si="18"/>
        <v>780</v>
      </c>
      <c r="L268" s="6" t="str">
        <f t="shared" si="19"/>
        <v>OK</v>
      </c>
      <c r="M268" s="13">
        <f t="shared" si="16"/>
        <v>303560.40000000002</v>
      </c>
      <c r="N268" s="8">
        <f>Table5[[#This Row],[Total Qty Sold]]*Table5[[#This Row],[Unit Price]]</f>
        <v>0</v>
      </c>
      <c r="O268" s="9"/>
      <c r="P268" s="40" t="str">
        <f ca="1">IF(Table5[[#This Row],[Last sale Date]]="","Never Sold",TODAY()-Table5[[#This Row],[Last sale Date]])</f>
        <v>Never Sold</v>
      </c>
      <c r="Q268" s="6" t="str">
        <f>IF(Table5[[#This Row],[Re order Level]]&lt;=Table5[[#This Row],[Current stock]],"ORDERASAP","OK BUT BE CHECKING")</f>
        <v>OK BUT BE CHECKING</v>
      </c>
      <c r="R268" s="6" t="str">
        <f t="shared" si="17"/>
        <v>ACTIVE</v>
      </c>
      <c r="S268" s="8">
        <f>IF(Table5[[#This Row],[DEADSTOCK FLAG]]="DEAD",Table5[[#This Row],[Inventory Value]],0)</f>
        <v>0</v>
      </c>
    </row>
    <row r="269" spans="1:19" x14ac:dyDescent="0.25">
      <c r="A269" s="24" t="str">
        <f>'Inventory master'!A269</f>
        <v>ITEM268-A</v>
      </c>
      <c r="B269" s="6" t="str">
        <f>'Inventory master'!B269</f>
        <v>Fixed Attenuator 20dB</v>
      </c>
      <c r="C269" s="6" t="str">
        <f>'Inventory master'!C269</f>
        <v>Attenuators</v>
      </c>
      <c r="D269" s="6" t="str">
        <f>'Inventory master'!D269</f>
        <v>HellermannTyton</v>
      </c>
      <c r="E269" s="10" t="str">
        <f>'Inventory master'!E269</f>
        <v>769.0</v>
      </c>
      <c r="F269" s="10" t="str">
        <f>'Inventory master'!F269</f>
        <v>1390.61</v>
      </c>
      <c r="G269" s="10" t="str">
        <f>'Inventory master'!G269</f>
        <v>45</v>
      </c>
      <c r="H269" s="8">
        <f>IFERROR(_xlfn.XLOOKUP(A269, 'Opening stock'!A269:A868, 'Opening stock'!E269:E868), "")</f>
        <v>675</v>
      </c>
      <c r="I269" s="8">
        <f>IFERROR(SUMIF(Table3[Item ID],'Inventory calculations'!A269,Table3[Quantity]),0)</f>
        <v>0</v>
      </c>
      <c r="J269" s="8">
        <f>IFERROR(SUMIF(Table4[Item ID],'Inventory calculations'!A269,Table4[Quantity Purchased]),0)</f>
        <v>0</v>
      </c>
      <c r="K269" s="10">
        <f t="shared" si="18"/>
        <v>675</v>
      </c>
      <c r="L269" s="6" t="str">
        <f t="shared" si="19"/>
        <v>OK</v>
      </c>
      <c r="M269" s="13">
        <f t="shared" si="16"/>
        <v>519075</v>
      </c>
      <c r="N269" s="8">
        <f>Table5[[#This Row],[Total Qty Sold]]*Table5[[#This Row],[Unit Price]]</f>
        <v>0</v>
      </c>
      <c r="O269" s="9"/>
      <c r="P269" s="40" t="str">
        <f ca="1">IF(Table5[[#This Row],[Last sale Date]]="","Never Sold",TODAY()-Table5[[#This Row],[Last sale Date]])</f>
        <v>Never Sold</v>
      </c>
      <c r="Q269" s="6" t="str">
        <f>IF(Table5[[#This Row],[Re order Level]]&lt;=Table5[[#This Row],[Current stock]],"ORDERASAP","OK BUT BE CHECKING")</f>
        <v>OK BUT BE CHECKING</v>
      </c>
      <c r="R269" s="6" t="str">
        <f t="shared" si="17"/>
        <v>ACTIVE</v>
      </c>
      <c r="S269" s="8">
        <f>IF(Table5[[#This Row],[DEADSTOCK FLAG]]="DEAD",Table5[[#This Row],[Inventory Value]],0)</f>
        <v>0</v>
      </c>
    </row>
    <row r="270" spans="1:19" x14ac:dyDescent="0.25">
      <c r="A270" s="24" t="str">
        <f>'Inventory master'!A270</f>
        <v>ITEM269-A</v>
      </c>
      <c r="B270" s="6" t="str">
        <f>'Inventory master'!B270</f>
        <v>Rack-Mount Enclosure</v>
      </c>
      <c r="C270" s="6" t="str">
        <f>'Inventory master'!C270</f>
        <v>Enclosures</v>
      </c>
      <c r="D270" s="6" t="str">
        <f>'Inventory master'!D270</f>
        <v>Siemon</v>
      </c>
      <c r="E270" s="10" t="str">
        <f>'Inventory master'!E270</f>
        <v>130.96</v>
      </c>
      <c r="F270" s="10" t="str">
        <f>'Inventory master'!F270</f>
        <v>200.65</v>
      </c>
      <c r="G270" s="10" t="str">
        <f>'Inventory master'!G270</f>
        <v>75</v>
      </c>
      <c r="H270" s="8">
        <f>IFERROR(_xlfn.XLOOKUP(A270, 'Opening stock'!A270:A869, 'Opening stock'!E270:E869), "")</f>
        <v>1125</v>
      </c>
      <c r="I270" s="8">
        <f>IFERROR(SUMIF(Table3[Item ID],'Inventory calculations'!A270,Table3[Quantity]),0)</f>
        <v>14</v>
      </c>
      <c r="J270" s="8">
        <f>IFERROR(SUMIF(Table4[Item ID],'Inventory calculations'!A270,Table4[Quantity Purchased]),0)</f>
        <v>7</v>
      </c>
      <c r="K270" s="10">
        <f t="shared" si="18"/>
        <v>1118</v>
      </c>
      <c r="L270" s="6" t="str">
        <f t="shared" si="19"/>
        <v>OK</v>
      </c>
      <c r="M270" s="13">
        <f t="shared" si="16"/>
        <v>146413.28</v>
      </c>
      <c r="N270" s="8">
        <f>Table5[[#This Row],[Total Qty Sold]]*Table5[[#This Row],[Unit Price]]</f>
        <v>2809.1</v>
      </c>
      <c r="O270" s="9">
        <f>IFERROR(_xlfn.MAXIFS(Table3[Date],Table3[Item ID],Table5[[#This Row],[Item ID]]),"")</f>
        <v>45968</v>
      </c>
      <c r="P270" s="40">
        <f ca="1">IF(Table5[[#This Row],[Last sale Date]]="","Never Sold",TODAY()-Table5[[#This Row],[Last sale Date]])</f>
        <v>84</v>
      </c>
      <c r="Q270" s="6" t="str">
        <f>IF(Table5[[#This Row],[Re order Level]]&lt;=Table5[[#This Row],[Current stock]],"ORDERASAP","OK BUT BE CHECKING")</f>
        <v>OK BUT BE CHECKING</v>
      </c>
      <c r="R270" s="6" t="str">
        <f t="shared" si="17"/>
        <v>ACTIVE</v>
      </c>
      <c r="S270" s="8">
        <f>IF(Table5[[#This Row],[DEADSTOCK FLAG]]="DEAD",Table5[[#This Row],[Inventory Value]],0)</f>
        <v>0</v>
      </c>
    </row>
    <row r="271" spans="1:19" x14ac:dyDescent="0.25">
      <c r="A271" s="24" t="str">
        <f>'Inventory master'!A271</f>
        <v>ITEM270-A</v>
      </c>
      <c r="B271" s="6" t="str">
        <f>'Inventory master'!B271</f>
        <v>Outdoor Fiber Cable 300m</v>
      </c>
      <c r="C271" s="6" t="str">
        <f>'Inventory master'!C271</f>
        <v>Fiber Optic Cables</v>
      </c>
      <c r="D271" s="6" t="str">
        <f>'Inventory master'!D271</f>
        <v>HellermannTyton</v>
      </c>
      <c r="E271" s="10" t="str">
        <f>'Inventory master'!E271</f>
        <v>47.82</v>
      </c>
      <c r="F271" s="10" t="str">
        <f>'Inventory master'!F271</f>
        <v>81.09</v>
      </c>
      <c r="G271" s="10" t="str">
        <f>'Inventory master'!G271</f>
        <v>56</v>
      </c>
      <c r="H271" s="8">
        <f>IFERROR(_xlfn.XLOOKUP(A271, 'Opening stock'!A271:A870, 'Opening stock'!E271:E870), "")</f>
        <v>840</v>
      </c>
      <c r="I271" s="8">
        <f>IFERROR(SUMIF(Table3[Item ID],'Inventory calculations'!A271,Table3[Quantity]),0)</f>
        <v>0</v>
      </c>
      <c r="J271" s="8">
        <f>IFERROR(SUMIF(Table4[Item ID],'Inventory calculations'!A271,Table4[Quantity Purchased]),0)</f>
        <v>30</v>
      </c>
      <c r="K271" s="10">
        <f t="shared" si="18"/>
        <v>870</v>
      </c>
      <c r="L271" s="6" t="str">
        <f t="shared" si="19"/>
        <v>OK</v>
      </c>
      <c r="M271" s="13">
        <f t="shared" si="16"/>
        <v>41603.4</v>
      </c>
      <c r="N271" s="8">
        <f>Table5[[#This Row],[Total Qty Sold]]*Table5[[#This Row],[Unit Price]]</f>
        <v>0</v>
      </c>
      <c r="O271" s="9"/>
      <c r="P271" s="40" t="str">
        <f ca="1">IF(Table5[[#This Row],[Last sale Date]]="","Never Sold",TODAY()-Table5[[#This Row],[Last sale Date]])</f>
        <v>Never Sold</v>
      </c>
      <c r="Q271" s="6" t="str">
        <f>IF(Table5[[#This Row],[Re order Level]]&lt;=Table5[[#This Row],[Current stock]],"ORDERASAP","OK BUT BE CHECKING")</f>
        <v>OK BUT BE CHECKING</v>
      </c>
      <c r="R271" s="6" t="str">
        <f t="shared" si="17"/>
        <v>ACTIVE</v>
      </c>
      <c r="S271" s="8">
        <f>IF(Table5[[#This Row],[DEADSTOCK FLAG]]="DEAD",Table5[[#This Row],[Inventory Value]],0)</f>
        <v>0</v>
      </c>
    </row>
    <row r="272" spans="1:19" x14ac:dyDescent="0.25">
      <c r="A272" s="24" t="str">
        <f>'Inventory master'!A272</f>
        <v>ITEM271-A</v>
      </c>
      <c r="B272" s="6" t="str">
        <f>'Inventory master'!B272</f>
        <v>Fixed Attenuator 20dB</v>
      </c>
      <c r="C272" s="6" t="str">
        <f>'Inventory master'!C272</f>
        <v>Attenuators</v>
      </c>
      <c r="D272" s="6" t="str">
        <f>'Inventory master'!D272</f>
        <v>Amphenol</v>
      </c>
      <c r="E272" s="10" t="str">
        <f>'Inventory master'!E272</f>
        <v>1329.99</v>
      </c>
      <c r="F272" s="10" t="str">
        <f>'Inventory master'!F272</f>
        <v>2533.47</v>
      </c>
      <c r="G272" s="10" t="str">
        <f>'Inventory master'!G272</f>
        <v>20</v>
      </c>
      <c r="H272" s="8">
        <f>IFERROR(_xlfn.XLOOKUP(A272, 'Opening stock'!A272:A871, 'Opening stock'!E272:E871), "")</f>
        <v>300</v>
      </c>
      <c r="I272" s="8">
        <f>IFERROR(SUMIF(Table3[Item ID],'Inventory calculations'!A272,Table3[Quantity]),0)</f>
        <v>38</v>
      </c>
      <c r="J272" s="8">
        <f>IFERROR(SUMIF(Table4[Item ID],'Inventory calculations'!A272,Table4[Quantity Purchased]),0)</f>
        <v>16</v>
      </c>
      <c r="K272" s="10">
        <f t="shared" si="18"/>
        <v>278</v>
      </c>
      <c r="L272" s="6" t="str">
        <f t="shared" si="19"/>
        <v>OK</v>
      </c>
      <c r="M272" s="13">
        <f t="shared" si="16"/>
        <v>369737.22000000003</v>
      </c>
      <c r="N272" s="8">
        <f>Table5[[#This Row],[Total Qty Sold]]*Table5[[#This Row],[Unit Price]]</f>
        <v>96271.859999999986</v>
      </c>
      <c r="O272" s="9">
        <f>IFERROR(_xlfn.MAXIFS(Table3[Date],Table3[Item ID],Table5[[#This Row],[Item ID]]),"")</f>
        <v>45644</v>
      </c>
      <c r="P272" s="40">
        <f ca="1">IF(Table5[[#This Row],[Last sale Date]]="","Never Sold",TODAY()-Table5[[#This Row],[Last sale Date]])</f>
        <v>408</v>
      </c>
      <c r="Q272" s="6" t="str">
        <f>IF(Table5[[#This Row],[Re order Level]]&lt;=Table5[[#This Row],[Current stock]],"ORDERASAP","OK BUT BE CHECKING")</f>
        <v>OK BUT BE CHECKING</v>
      </c>
      <c r="R272" s="6" t="str">
        <f t="shared" si="17"/>
        <v>ACTIVE</v>
      </c>
      <c r="S272" s="8">
        <f>IF(Table5[[#This Row],[DEADSTOCK FLAG]]="DEAD",Table5[[#This Row],[Inventory Value]],0)</f>
        <v>0</v>
      </c>
    </row>
    <row r="273" spans="1:19" x14ac:dyDescent="0.25">
      <c r="A273" s="24" t="str">
        <f>'Inventory master'!A273</f>
        <v>ITEM272-A</v>
      </c>
      <c r="B273" s="6" t="str">
        <f>'Inventory master'!B273</f>
        <v>Fiber Optic Polisher</v>
      </c>
      <c r="C273" s="6" t="str">
        <f>'Inventory master'!C273</f>
        <v>Tools</v>
      </c>
      <c r="D273" s="6" t="str">
        <f>'Inventory master'!D273</f>
        <v>Prysmian Group</v>
      </c>
      <c r="E273" s="10" t="str">
        <f>'Inventory master'!E273</f>
        <v>1370.97</v>
      </c>
      <c r="F273" s="10" t="str">
        <f>'Inventory master'!F273</f>
        <v>2336.81</v>
      </c>
      <c r="G273" s="10" t="str">
        <f>'Inventory master'!G273</f>
        <v>89</v>
      </c>
      <c r="H273" s="8">
        <f>IFERROR(_xlfn.XLOOKUP(A273, 'Opening stock'!A273:A872, 'Opening stock'!E273:E872), "")</f>
        <v>1335</v>
      </c>
      <c r="I273" s="8">
        <f>IFERROR(SUMIF(Table3[Item ID],'Inventory calculations'!A273,Table3[Quantity]),0)</f>
        <v>0</v>
      </c>
      <c r="J273" s="8">
        <f>IFERROR(SUMIF(Table4[Item ID],'Inventory calculations'!A273,Table4[Quantity Purchased]),0)</f>
        <v>3</v>
      </c>
      <c r="K273" s="10">
        <f t="shared" si="18"/>
        <v>1338</v>
      </c>
      <c r="L273" s="6" t="str">
        <f t="shared" si="19"/>
        <v>OK</v>
      </c>
      <c r="M273" s="13">
        <f t="shared" si="16"/>
        <v>1834357.86</v>
      </c>
      <c r="N273" s="8">
        <f>Table5[[#This Row],[Total Qty Sold]]*Table5[[#This Row],[Unit Price]]</f>
        <v>0</v>
      </c>
      <c r="O273" s="9"/>
      <c r="P273" s="40" t="str">
        <f ca="1">IF(Table5[[#This Row],[Last sale Date]]="","Never Sold",TODAY()-Table5[[#This Row],[Last sale Date]])</f>
        <v>Never Sold</v>
      </c>
      <c r="Q273" s="6" t="str">
        <f>IF(Table5[[#This Row],[Re order Level]]&lt;=Table5[[#This Row],[Current stock]],"ORDERASAP","OK BUT BE CHECKING")</f>
        <v>OK BUT BE CHECKING</v>
      </c>
      <c r="R273" s="6" t="str">
        <f t="shared" si="17"/>
        <v>ACTIVE</v>
      </c>
      <c r="S273" s="8">
        <f>IF(Table5[[#This Row],[DEADSTOCK FLAG]]="DEAD",Table5[[#This Row],[Inventory Value]],0)</f>
        <v>0</v>
      </c>
    </row>
    <row r="274" spans="1:19" x14ac:dyDescent="0.25">
      <c r="A274" s="24" t="str">
        <f>'Inventory master'!A274</f>
        <v>ITEM273-A</v>
      </c>
      <c r="B274" s="6" t="str">
        <f>'Inventory master'!B274</f>
        <v>1x32 PLC Splitter</v>
      </c>
      <c r="C274" s="6" t="str">
        <f>'Inventory master'!C274</f>
        <v>Splitters</v>
      </c>
      <c r="D274" s="6" t="str">
        <f>'Inventory master'!D274</f>
        <v>AFL</v>
      </c>
      <c r="E274" s="10" t="str">
        <f>'Inventory master'!E274</f>
        <v>861.96</v>
      </c>
      <c r="F274" s="10" t="str">
        <f>'Inventory master'!F274</f>
        <v>980.48</v>
      </c>
      <c r="G274" s="10" t="str">
        <f>'Inventory master'!G274</f>
        <v>85</v>
      </c>
      <c r="H274" s="8">
        <f>IFERROR(_xlfn.XLOOKUP(A274, 'Opening stock'!A274:A873, 'Opening stock'!E274:E873), "")</f>
        <v>1275</v>
      </c>
      <c r="I274" s="8">
        <f>IFERROR(SUMIF(Table3[Item ID],'Inventory calculations'!A274,Table3[Quantity]),0)</f>
        <v>16</v>
      </c>
      <c r="J274" s="8">
        <f>IFERROR(SUMIF(Table4[Item ID],'Inventory calculations'!A274,Table4[Quantity Purchased]),0)</f>
        <v>0</v>
      </c>
      <c r="K274" s="10">
        <f t="shared" si="18"/>
        <v>1259</v>
      </c>
      <c r="L274" s="6" t="str">
        <f t="shared" si="19"/>
        <v>OK</v>
      </c>
      <c r="M274" s="13">
        <f t="shared" si="16"/>
        <v>1085207.6400000001</v>
      </c>
      <c r="N274" s="8">
        <f>Table5[[#This Row],[Total Qty Sold]]*Table5[[#This Row],[Unit Price]]</f>
        <v>15687.68</v>
      </c>
      <c r="O274" s="9">
        <f>IFERROR(_xlfn.MAXIFS(Table3[Date],Table3[Item ID],Table5[[#This Row],[Item ID]]),"")</f>
        <v>45316</v>
      </c>
      <c r="P274" s="40">
        <f ca="1">IF(Table5[[#This Row],[Last sale Date]]="","Never Sold",TODAY()-Table5[[#This Row],[Last sale Date]])</f>
        <v>736</v>
      </c>
      <c r="Q274" s="6" t="str">
        <f>IF(Table5[[#This Row],[Re order Level]]&lt;=Table5[[#This Row],[Current stock]],"ORDERASAP","OK BUT BE CHECKING")</f>
        <v>OK BUT BE CHECKING</v>
      </c>
      <c r="R274" s="6" t="str">
        <f t="shared" si="17"/>
        <v>ACTIVE</v>
      </c>
      <c r="S274" s="8">
        <f>IF(Table5[[#This Row],[DEADSTOCK FLAG]]="DEAD",Table5[[#This Row],[Inventory Value]],0)</f>
        <v>0</v>
      </c>
    </row>
    <row r="275" spans="1:19" x14ac:dyDescent="0.25">
      <c r="A275" s="24" t="str">
        <f>'Inventory master'!A275</f>
        <v>ITEM274-A</v>
      </c>
      <c r="B275" s="6" t="str">
        <f>'Inventory master'!B275</f>
        <v>1x4 PLC Splitter</v>
      </c>
      <c r="C275" s="6" t="str">
        <f>'Inventory master'!C275</f>
        <v>Splitters</v>
      </c>
      <c r="D275" s="6" t="str">
        <f>'Inventory master'!D275</f>
        <v>Amphenol</v>
      </c>
      <c r="E275" s="10" t="str">
        <f>'Inventory master'!E275</f>
        <v>253.07</v>
      </c>
      <c r="F275" s="10" t="str">
        <f>'Inventory master'!F275</f>
        <v>453.96</v>
      </c>
      <c r="G275" s="10" t="str">
        <f>'Inventory master'!G275</f>
        <v>18</v>
      </c>
      <c r="H275" s="8">
        <f>IFERROR(_xlfn.XLOOKUP(A275, 'Opening stock'!A275:A874, 'Opening stock'!E275:E874), "")</f>
        <v>270</v>
      </c>
      <c r="I275" s="8">
        <f>IFERROR(SUMIF(Table3[Item ID],'Inventory calculations'!A275,Table3[Quantity]),0)</f>
        <v>0</v>
      </c>
      <c r="J275" s="8">
        <f>IFERROR(SUMIF(Table4[Item ID],'Inventory calculations'!A275,Table4[Quantity Purchased]),0)</f>
        <v>1</v>
      </c>
      <c r="K275" s="10">
        <f t="shared" si="18"/>
        <v>271</v>
      </c>
      <c r="L275" s="6" t="str">
        <f t="shared" si="19"/>
        <v>OK</v>
      </c>
      <c r="M275" s="13">
        <f t="shared" si="16"/>
        <v>68581.97</v>
      </c>
      <c r="N275" s="8">
        <f>Table5[[#This Row],[Total Qty Sold]]*Table5[[#This Row],[Unit Price]]</f>
        <v>0</v>
      </c>
      <c r="O275" s="9"/>
      <c r="P275" s="40" t="str">
        <f ca="1">IF(Table5[[#This Row],[Last sale Date]]="","Never Sold",TODAY()-Table5[[#This Row],[Last sale Date]])</f>
        <v>Never Sold</v>
      </c>
      <c r="Q275" s="6" t="str">
        <f>IF(Table5[[#This Row],[Re order Level]]&lt;=Table5[[#This Row],[Current stock]],"ORDERASAP","OK BUT BE CHECKING")</f>
        <v>OK BUT BE CHECKING</v>
      </c>
      <c r="R275" s="6" t="str">
        <f t="shared" si="17"/>
        <v>ACTIVE</v>
      </c>
      <c r="S275" s="8">
        <f>IF(Table5[[#This Row],[DEADSTOCK FLAG]]="DEAD",Table5[[#This Row],[Inventory Value]],0)</f>
        <v>0</v>
      </c>
    </row>
    <row r="276" spans="1:19" x14ac:dyDescent="0.25">
      <c r="A276" s="24" t="str">
        <f>'Inventory master'!A276</f>
        <v>ITEM275-A</v>
      </c>
      <c r="B276" s="6" t="str">
        <f>'Inventory master'!B276</f>
        <v>Fiber Optic Crimper</v>
      </c>
      <c r="C276" s="6" t="str">
        <f>'Inventory master'!C276</f>
        <v>Tools</v>
      </c>
      <c r="D276" s="6" t="str">
        <f>'Inventory master'!D276</f>
        <v>Huber+Suhner</v>
      </c>
      <c r="E276" s="10" t="str">
        <f>'Inventory master'!E276</f>
        <v>70.75</v>
      </c>
      <c r="F276" s="10" t="str">
        <f>'Inventory master'!F276</f>
        <v>82.95</v>
      </c>
      <c r="G276" s="10" t="str">
        <f>'Inventory master'!G276</f>
        <v>78</v>
      </c>
      <c r="H276" s="8">
        <f>IFERROR(_xlfn.XLOOKUP(A276, 'Opening stock'!A276:A875, 'Opening stock'!E276:E875), "")</f>
        <v>1170</v>
      </c>
      <c r="I276" s="8">
        <f>IFERROR(SUMIF(Table3[Item ID],'Inventory calculations'!A276,Table3[Quantity]),0)</f>
        <v>0</v>
      </c>
      <c r="J276" s="8">
        <f>IFERROR(SUMIF(Table4[Item ID],'Inventory calculations'!A276,Table4[Quantity Purchased]),0)</f>
        <v>3</v>
      </c>
      <c r="K276" s="10">
        <f t="shared" si="18"/>
        <v>1173</v>
      </c>
      <c r="L276" s="6" t="str">
        <f t="shared" si="19"/>
        <v>OK</v>
      </c>
      <c r="M276" s="13">
        <f t="shared" si="16"/>
        <v>82989.75</v>
      </c>
      <c r="N276" s="8">
        <f>Table5[[#This Row],[Total Qty Sold]]*Table5[[#This Row],[Unit Price]]</f>
        <v>0</v>
      </c>
      <c r="O276" s="9"/>
      <c r="P276" s="40" t="str">
        <f ca="1">IF(Table5[[#This Row],[Last sale Date]]="","Never Sold",TODAY()-Table5[[#This Row],[Last sale Date]])</f>
        <v>Never Sold</v>
      </c>
      <c r="Q276" s="6" t="str">
        <f>IF(Table5[[#This Row],[Re order Level]]&lt;=Table5[[#This Row],[Current stock]],"ORDERASAP","OK BUT BE CHECKING")</f>
        <v>OK BUT BE CHECKING</v>
      </c>
      <c r="R276" s="6" t="str">
        <f t="shared" si="17"/>
        <v>ACTIVE</v>
      </c>
      <c r="S276" s="8">
        <f>IF(Table5[[#This Row],[DEADSTOCK FLAG]]="DEAD",Table5[[#This Row],[Inventory Value]],0)</f>
        <v>0</v>
      </c>
    </row>
    <row r="277" spans="1:19" x14ac:dyDescent="0.25">
      <c r="A277" s="24" t="str">
        <f>'Inventory master'!A277</f>
        <v>ITEM276-A</v>
      </c>
      <c r="B277" s="6" t="str">
        <f>'Inventory master'!B277</f>
        <v>Fiber Jumper</v>
      </c>
      <c r="C277" s="6" t="str">
        <f>'Inventory master'!C277</f>
        <v>Accessories</v>
      </c>
      <c r="D277" s="6" t="str">
        <f>'Inventory master'!D277</f>
        <v>Amphenol</v>
      </c>
      <c r="E277" s="10" t="str">
        <f>'Inventory master'!E277</f>
        <v>1022.43</v>
      </c>
      <c r="F277" s="10" t="str">
        <f>'Inventory master'!F277</f>
        <v>1551.47</v>
      </c>
      <c r="G277" s="10" t="str">
        <f>'Inventory master'!G277</f>
        <v>11</v>
      </c>
      <c r="H277" s="8">
        <f>IFERROR(_xlfn.XLOOKUP(A277, 'Opening stock'!A277:A876, 'Opening stock'!E277:E876), "")</f>
        <v>165</v>
      </c>
      <c r="I277" s="8">
        <f>IFERROR(SUMIF(Table3[Item ID],'Inventory calculations'!A277,Table3[Quantity]),0)</f>
        <v>0</v>
      </c>
      <c r="J277" s="8">
        <f>IFERROR(SUMIF(Table4[Item ID],'Inventory calculations'!A277,Table4[Quantity Purchased]),0)</f>
        <v>6</v>
      </c>
      <c r="K277" s="10">
        <f t="shared" si="18"/>
        <v>171</v>
      </c>
      <c r="L277" s="6" t="str">
        <f t="shared" si="19"/>
        <v>OK</v>
      </c>
      <c r="M277" s="13">
        <f t="shared" si="16"/>
        <v>174835.53</v>
      </c>
      <c r="N277" s="8">
        <f>Table5[[#This Row],[Total Qty Sold]]*Table5[[#This Row],[Unit Price]]</f>
        <v>0</v>
      </c>
      <c r="O277" s="9"/>
      <c r="P277" s="40" t="str">
        <f ca="1">IF(Table5[[#This Row],[Last sale Date]]="","Never Sold",TODAY()-Table5[[#This Row],[Last sale Date]])</f>
        <v>Never Sold</v>
      </c>
      <c r="Q277" s="6" t="str">
        <f>IF(Table5[[#This Row],[Re order Level]]&lt;=Table5[[#This Row],[Current stock]],"ORDERASAP","OK BUT BE CHECKING")</f>
        <v>OK BUT BE CHECKING</v>
      </c>
      <c r="R277" s="6" t="str">
        <f t="shared" si="17"/>
        <v>ACTIVE</v>
      </c>
      <c r="S277" s="8">
        <f>IF(Table5[[#This Row],[DEADSTOCK FLAG]]="DEAD",Table5[[#This Row],[Inventory Value]],0)</f>
        <v>0</v>
      </c>
    </row>
    <row r="278" spans="1:19" x14ac:dyDescent="0.25">
      <c r="A278" s="24" t="str">
        <f>'Inventory master'!A278</f>
        <v>ITEM277-A</v>
      </c>
      <c r="B278" s="6" t="str">
        <f>'Inventory master'!B278</f>
        <v>Mechanical Splicer</v>
      </c>
      <c r="C278" s="6" t="str">
        <f>'Inventory master'!C278</f>
        <v>Splicers</v>
      </c>
      <c r="D278" s="6" t="str">
        <f>'Inventory master'!D278</f>
        <v>Prysmian Group</v>
      </c>
      <c r="E278" s="10" t="str">
        <f>'Inventory master'!E278</f>
        <v>832.94</v>
      </c>
      <c r="F278" s="10" t="str">
        <f>'Inventory master'!F278</f>
        <v>1074.8</v>
      </c>
      <c r="G278" s="10" t="str">
        <f>'Inventory master'!G278</f>
        <v>14</v>
      </c>
      <c r="H278" s="8">
        <f>IFERROR(_xlfn.XLOOKUP(A278, 'Opening stock'!A278:A877, 'Opening stock'!E278:E877), "")</f>
        <v>210</v>
      </c>
      <c r="I278" s="8">
        <f>IFERROR(SUMIF(Table3[Item ID],'Inventory calculations'!A278,Table3[Quantity]),0)</f>
        <v>0</v>
      </c>
      <c r="J278" s="8">
        <f>IFERROR(SUMIF(Table4[Item ID],'Inventory calculations'!A278,Table4[Quantity Purchased]),0)</f>
        <v>7</v>
      </c>
      <c r="K278" s="10">
        <f t="shared" si="18"/>
        <v>217</v>
      </c>
      <c r="L278" s="6" t="str">
        <f t="shared" si="19"/>
        <v>OK</v>
      </c>
      <c r="M278" s="13">
        <f t="shared" si="16"/>
        <v>180747.98</v>
      </c>
      <c r="N278" s="8">
        <f>Table5[[#This Row],[Total Qty Sold]]*Table5[[#This Row],[Unit Price]]</f>
        <v>0</v>
      </c>
      <c r="O278" s="9"/>
      <c r="P278" s="40" t="str">
        <f ca="1">IF(Table5[[#This Row],[Last sale Date]]="","Never Sold",TODAY()-Table5[[#This Row],[Last sale Date]])</f>
        <v>Never Sold</v>
      </c>
      <c r="Q278" s="6" t="str">
        <f>IF(Table5[[#This Row],[Re order Level]]&lt;=Table5[[#This Row],[Current stock]],"ORDERASAP","OK BUT BE CHECKING")</f>
        <v>OK BUT BE CHECKING</v>
      </c>
      <c r="R278" s="6" t="str">
        <f t="shared" si="17"/>
        <v>ACTIVE</v>
      </c>
      <c r="S278" s="8">
        <f>IF(Table5[[#This Row],[DEADSTOCK FLAG]]="DEAD",Table5[[#This Row],[Inventory Value]],0)</f>
        <v>0</v>
      </c>
    </row>
    <row r="279" spans="1:19" x14ac:dyDescent="0.25">
      <c r="A279" s="24" t="str">
        <f>'Inventory master'!A279</f>
        <v>ITEM278-A</v>
      </c>
      <c r="B279" s="6" t="str">
        <f>'Inventory master'!B279</f>
        <v>Fixed Attenuator 3dB</v>
      </c>
      <c r="C279" s="6" t="str">
        <f>'Inventory master'!C279</f>
        <v>Attenuators</v>
      </c>
      <c r="D279" s="6" t="str">
        <f>'Inventory master'!D279</f>
        <v>Siemon</v>
      </c>
      <c r="E279" s="10" t="str">
        <f>'Inventory master'!E279</f>
        <v>236.78</v>
      </c>
      <c r="F279" s="10" t="str">
        <f>'Inventory master'!F279</f>
        <v>339.6</v>
      </c>
      <c r="G279" s="10" t="str">
        <f>'Inventory master'!G279</f>
        <v>38</v>
      </c>
      <c r="H279" s="8">
        <f>IFERROR(_xlfn.XLOOKUP(A279, 'Opening stock'!A279:A878, 'Opening stock'!E279:E878), "")</f>
        <v>570</v>
      </c>
      <c r="I279" s="8">
        <f>IFERROR(SUMIF(Table3[Item ID],'Inventory calculations'!A279,Table3[Quantity]),0)</f>
        <v>205</v>
      </c>
      <c r="J279" s="8">
        <f>IFERROR(SUMIF(Table4[Item ID],'Inventory calculations'!A279,Table4[Quantity Purchased]),0)</f>
        <v>0</v>
      </c>
      <c r="K279" s="10">
        <f t="shared" si="18"/>
        <v>365</v>
      </c>
      <c r="L279" s="6" t="str">
        <f t="shared" si="19"/>
        <v>OK</v>
      </c>
      <c r="M279" s="13">
        <f t="shared" si="16"/>
        <v>86424.7</v>
      </c>
      <c r="N279" s="8">
        <f>Table5[[#This Row],[Total Qty Sold]]*Table5[[#This Row],[Unit Price]]</f>
        <v>69618</v>
      </c>
      <c r="O279" s="9">
        <f>IFERROR(_xlfn.MAXIFS(Table3[Date],Table3[Item ID],Table5[[#This Row],[Item ID]]),"")</f>
        <v>46002</v>
      </c>
      <c r="P279" s="40">
        <f ca="1">IF(Table5[[#This Row],[Last sale Date]]="","Never Sold",TODAY()-Table5[[#This Row],[Last sale Date]])</f>
        <v>50</v>
      </c>
      <c r="Q279" s="6" t="str">
        <f>IF(Table5[[#This Row],[Re order Level]]&lt;=Table5[[#This Row],[Current stock]],"ORDERASAP","OK BUT BE CHECKING")</f>
        <v>OK BUT BE CHECKING</v>
      </c>
      <c r="R279" s="6" t="str">
        <f t="shared" si="17"/>
        <v>ACTIVE</v>
      </c>
      <c r="S279" s="8">
        <f>IF(Table5[[#This Row],[DEADSTOCK FLAG]]="DEAD",Table5[[#This Row],[Inventory Value]],0)</f>
        <v>0</v>
      </c>
    </row>
    <row r="280" spans="1:19" x14ac:dyDescent="0.25">
      <c r="A280" s="24" t="str">
        <f>'Inventory master'!A280</f>
        <v>ITEM279-A</v>
      </c>
      <c r="B280" s="6" t="str">
        <f>'Inventory master'!B280</f>
        <v>Fiber Adapter</v>
      </c>
      <c r="C280" s="6" t="str">
        <f>'Inventory master'!C280</f>
        <v>Accessories</v>
      </c>
      <c r="D280" s="6" t="str">
        <f>'Inventory master'!D280</f>
        <v>Amphenol</v>
      </c>
      <c r="E280" s="10" t="str">
        <f>'Inventory master'!E280</f>
        <v>555.64</v>
      </c>
      <c r="F280" s="10" t="str">
        <f>'Inventory master'!F280</f>
        <v>772.08</v>
      </c>
      <c r="G280" s="10" t="str">
        <f>'Inventory master'!G280</f>
        <v>78</v>
      </c>
      <c r="H280" s="8">
        <f>IFERROR(_xlfn.XLOOKUP(A280, 'Opening stock'!A280:A879, 'Opening stock'!E280:E879), "")</f>
        <v>1170</v>
      </c>
      <c r="I280" s="8">
        <f>IFERROR(SUMIF(Table3[Item ID],'Inventory calculations'!A280,Table3[Quantity]),0)</f>
        <v>0</v>
      </c>
      <c r="J280" s="8">
        <f>IFERROR(SUMIF(Table4[Item ID],'Inventory calculations'!A280,Table4[Quantity Purchased]),0)</f>
        <v>0</v>
      </c>
      <c r="K280" s="10">
        <f t="shared" si="18"/>
        <v>1170</v>
      </c>
      <c r="L280" s="6" t="str">
        <f t="shared" si="19"/>
        <v>OK</v>
      </c>
      <c r="M280" s="13">
        <f t="shared" si="16"/>
        <v>650098.79999999993</v>
      </c>
      <c r="N280" s="8">
        <f>Table5[[#This Row],[Total Qty Sold]]*Table5[[#This Row],[Unit Price]]</f>
        <v>0</v>
      </c>
      <c r="O280" s="9"/>
      <c r="P280" s="40" t="str">
        <f ca="1">IF(Table5[[#This Row],[Last sale Date]]="","Never Sold",TODAY()-Table5[[#This Row],[Last sale Date]])</f>
        <v>Never Sold</v>
      </c>
      <c r="Q280" s="6" t="str">
        <f>IF(Table5[[#This Row],[Re order Level]]&lt;=Table5[[#This Row],[Current stock]],"ORDERASAP","OK BUT BE CHECKING")</f>
        <v>OK BUT BE CHECKING</v>
      </c>
      <c r="R280" s="6" t="str">
        <f t="shared" si="17"/>
        <v>ACTIVE</v>
      </c>
      <c r="S280" s="8">
        <f>IF(Table5[[#This Row],[DEADSTOCK FLAG]]="DEAD",Table5[[#This Row],[Inventory Value]],0)</f>
        <v>0</v>
      </c>
    </row>
    <row r="281" spans="1:19" x14ac:dyDescent="0.25">
      <c r="A281" s="24" t="str">
        <f>'Inventory master'!A281</f>
        <v>ITEM280-A</v>
      </c>
      <c r="B281" s="6" t="str">
        <f>'Inventory master'!B281</f>
        <v>CFP Transceiver</v>
      </c>
      <c r="C281" s="6" t="str">
        <f>'Inventory master'!C281</f>
        <v>Transceivers</v>
      </c>
      <c r="D281" s="6" t="str">
        <f>'Inventory master'!D281</f>
        <v>Huber+Suhner</v>
      </c>
      <c r="E281" s="10" t="str">
        <f>'Inventory master'!E281</f>
        <v>1574.68</v>
      </c>
      <c r="F281" s="10" t="str">
        <f>'Inventory master'!F281</f>
        <v>2938.37</v>
      </c>
      <c r="G281" s="10" t="str">
        <f>'Inventory master'!G281</f>
        <v>73</v>
      </c>
      <c r="H281" s="8">
        <f>IFERROR(_xlfn.XLOOKUP(A281, 'Opening stock'!A281:A880, 'Opening stock'!E281:E880), "")</f>
        <v>1095</v>
      </c>
      <c r="I281" s="8">
        <f>IFERROR(SUMIF(Table3[Item ID],'Inventory calculations'!A281,Table3[Quantity]),0)</f>
        <v>0</v>
      </c>
      <c r="J281" s="8">
        <f>IFERROR(SUMIF(Table4[Item ID],'Inventory calculations'!A281,Table4[Quantity Purchased]),0)</f>
        <v>1</v>
      </c>
      <c r="K281" s="10">
        <f t="shared" si="18"/>
        <v>1096</v>
      </c>
      <c r="L281" s="6" t="str">
        <f t="shared" si="19"/>
        <v>OK</v>
      </c>
      <c r="M281" s="13">
        <f t="shared" si="16"/>
        <v>1725849.28</v>
      </c>
      <c r="N281" s="8">
        <f>Table5[[#This Row],[Total Qty Sold]]*Table5[[#This Row],[Unit Price]]</f>
        <v>0</v>
      </c>
      <c r="O281" s="9"/>
      <c r="P281" s="40" t="str">
        <f ca="1">IF(Table5[[#This Row],[Last sale Date]]="","Never Sold",TODAY()-Table5[[#This Row],[Last sale Date]])</f>
        <v>Never Sold</v>
      </c>
      <c r="Q281" s="6" t="str">
        <f>IF(Table5[[#This Row],[Re order Level]]&lt;=Table5[[#This Row],[Current stock]],"ORDERASAP","OK BUT BE CHECKING")</f>
        <v>OK BUT BE CHECKING</v>
      </c>
      <c r="R281" s="6" t="str">
        <f t="shared" si="17"/>
        <v>ACTIVE</v>
      </c>
      <c r="S281" s="8">
        <f>IF(Table5[[#This Row],[DEADSTOCK FLAG]]="DEAD",Table5[[#This Row],[Inventory Value]],0)</f>
        <v>0</v>
      </c>
    </row>
    <row r="282" spans="1:19" x14ac:dyDescent="0.25">
      <c r="A282" s="24" t="str">
        <f>'Inventory master'!A282</f>
        <v>ITEM281-A</v>
      </c>
      <c r="B282" s="6" t="str">
        <f>'Inventory master'!B282</f>
        <v>Mechanical Splicer</v>
      </c>
      <c r="C282" s="6" t="str">
        <f>'Inventory master'!C282</f>
        <v>Splicers</v>
      </c>
      <c r="D282" s="6" t="str">
        <f>'Inventory master'!D282</f>
        <v>Prysmian Group</v>
      </c>
      <c r="E282" s="10" t="str">
        <f>'Inventory master'!E282</f>
        <v>1500.89</v>
      </c>
      <c r="F282" s="10" t="str">
        <f>'Inventory master'!F282</f>
        <v>2759.4</v>
      </c>
      <c r="G282" s="10" t="str">
        <f>'Inventory master'!G282</f>
        <v>34</v>
      </c>
      <c r="H282" s="8">
        <f>IFERROR(_xlfn.XLOOKUP(A282, 'Opening stock'!A282:A881, 'Opening stock'!E282:E881), "")</f>
        <v>510</v>
      </c>
      <c r="I282" s="8">
        <f>IFERROR(SUMIF(Table3[Item ID],'Inventory calculations'!A282,Table3[Quantity]),0)</f>
        <v>0</v>
      </c>
      <c r="J282" s="8">
        <f>IFERROR(SUMIF(Table4[Item ID],'Inventory calculations'!A282,Table4[Quantity Purchased]),0)</f>
        <v>0</v>
      </c>
      <c r="K282" s="10">
        <f t="shared" si="18"/>
        <v>510</v>
      </c>
      <c r="L282" s="6" t="str">
        <f t="shared" si="19"/>
        <v>OK</v>
      </c>
      <c r="M282" s="13">
        <f t="shared" si="16"/>
        <v>765453.9</v>
      </c>
      <c r="N282" s="8">
        <f>Table5[[#This Row],[Total Qty Sold]]*Table5[[#This Row],[Unit Price]]</f>
        <v>0</v>
      </c>
      <c r="O282" s="9"/>
      <c r="P282" s="40" t="str">
        <f ca="1">IF(Table5[[#This Row],[Last sale Date]]="","Never Sold",TODAY()-Table5[[#This Row],[Last sale Date]])</f>
        <v>Never Sold</v>
      </c>
      <c r="Q282" s="6" t="str">
        <f>IF(Table5[[#This Row],[Re order Level]]&lt;=Table5[[#This Row],[Current stock]],"ORDERASAP","OK BUT BE CHECKING")</f>
        <v>OK BUT BE CHECKING</v>
      </c>
      <c r="R282" s="6" t="str">
        <f t="shared" si="17"/>
        <v>ACTIVE</v>
      </c>
      <c r="S282" s="8">
        <f>IF(Table5[[#This Row],[DEADSTOCK FLAG]]="DEAD",Table5[[#This Row],[Inventory Value]],0)</f>
        <v>0</v>
      </c>
    </row>
    <row r="283" spans="1:19" x14ac:dyDescent="0.25">
      <c r="A283" s="24" t="str">
        <f>'Inventory master'!A283</f>
        <v>ITEM282-A</v>
      </c>
      <c r="B283" s="6" t="str">
        <f>'Inventory master'!B283</f>
        <v>Single-Mode Fiber Cable 50m</v>
      </c>
      <c r="C283" s="6" t="str">
        <f>'Inventory master'!C283</f>
        <v>Fiber Optic Cables</v>
      </c>
      <c r="D283" s="6" t="str">
        <f>'Inventory master'!D283</f>
        <v>Amphenol</v>
      </c>
      <c r="E283" s="10" t="str">
        <f>'Inventory master'!E283</f>
        <v>281.72</v>
      </c>
      <c r="F283" s="10" t="str">
        <f>'Inventory master'!F283</f>
        <v>510.96</v>
      </c>
      <c r="G283" s="10" t="str">
        <f>'Inventory master'!G283</f>
        <v>64</v>
      </c>
      <c r="H283" s="8">
        <f>IFERROR(_xlfn.XLOOKUP(A283, 'Opening stock'!A283:A882, 'Opening stock'!E283:E882), "")</f>
        <v>960</v>
      </c>
      <c r="I283" s="8">
        <f>IFERROR(SUMIF(Table3[Item ID],'Inventory calculations'!A283,Table3[Quantity]),0)</f>
        <v>0</v>
      </c>
      <c r="J283" s="8">
        <f>IFERROR(SUMIF(Table4[Item ID],'Inventory calculations'!A283,Table4[Quantity Purchased]),0)</f>
        <v>11</v>
      </c>
      <c r="K283" s="10">
        <f t="shared" si="18"/>
        <v>971</v>
      </c>
      <c r="L283" s="6" t="str">
        <f t="shared" si="19"/>
        <v>OK</v>
      </c>
      <c r="M283" s="13">
        <f t="shared" si="16"/>
        <v>273550.12000000005</v>
      </c>
      <c r="N283" s="8">
        <f>Table5[[#This Row],[Total Qty Sold]]*Table5[[#This Row],[Unit Price]]</f>
        <v>0</v>
      </c>
      <c r="O283" s="9"/>
      <c r="P283" s="40" t="str">
        <f ca="1">IF(Table5[[#This Row],[Last sale Date]]="","Never Sold",TODAY()-Table5[[#This Row],[Last sale Date]])</f>
        <v>Never Sold</v>
      </c>
      <c r="Q283" s="6" t="str">
        <f>IF(Table5[[#This Row],[Re order Level]]&lt;=Table5[[#This Row],[Current stock]],"ORDERASAP","OK BUT BE CHECKING")</f>
        <v>OK BUT BE CHECKING</v>
      </c>
      <c r="R283" s="6" t="str">
        <f t="shared" si="17"/>
        <v>ACTIVE</v>
      </c>
      <c r="S283" s="8">
        <f>IF(Table5[[#This Row],[DEADSTOCK FLAG]]="DEAD",Table5[[#This Row],[Inventory Value]],0)</f>
        <v>0</v>
      </c>
    </row>
    <row r="284" spans="1:19" x14ac:dyDescent="0.25">
      <c r="A284" s="24" t="str">
        <f>'Inventory master'!A284</f>
        <v>ITEM283-A</v>
      </c>
      <c r="B284" s="6" t="str">
        <f>'Inventory master'!B284</f>
        <v>12-Port Fiber Patch Panel</v>
      </c>
      <c r="C284" s="6" t="str">
        <f>'Inventory master'!C284</f>
        <v>Patch Panels</v>
      </c>
      <c r="D284" s="6" t="str">
        <f>'Inventory master'!D284</f>
        <v>Belden</v>
      </c>
      <c r="E284" s="10" t="str">
        <f>'Inventory master'!E284</f>
        <v>527.36</v>
      </c>
      <c r="F284" s="10" t="str">
        <f>'Inventory master'!F284</f>
        <v>1044.66</v>
      </c>
      <c r="G284" s="10" t="str">
        <f>'Inventory master'!G284</f>
        <v>49</v>
      </c>
      <c r="H284" s="8">
        <f>IFERROR(_xlfn.XLOOKUP(A284, 'Opening stock'!A284:A883, 'Opening stock'!E284:E883), "")</f>
        <v>735</v>
      </c>
      <c r="I284" s="8">
        <f>IFERROR(SUMIF(Table3[Item ID],'Inventory calculations'!A284,Table3[Quantity]),0)</f>
        <v>0</v>
      </c>
      <c r="J284" s="8">
        <f>IFERROR(SUMIF(Table4[Item ID],'Inventory calculations'!A284,Table4[Quantity Purchased]),0)</f>
        <v>6</v>
      </c>
      <c r="K284" s="10">
        <f t="shared" si="18"/>
        <v>741</v>
      </c>
      <c r="L284" s="6" t="str">
        <f t="shared" si="19"/>
        <v>OK</v>
      </c>
      <c r="M284" s="13">
        <f t="shared" si="16"/>
        <v>390773.76000000001</v>
      </c>
      <c r="N284" s="8">
        <f>Table5[[#This Row],[Total Qty Sold]]*Table5[[#This Row],[Unit Price]]</f>
        <v>0</v>
      </c>
      <c r="O284" s="9"/>
      <c r="P284" s="40" t="str">
        <f ca="1">IF(Table5[[#This Row],[Last sale Date]]="","Never Sold",TODAY()-Table5[[#This Row],[Last sale Date]])</f>
        <v>Never Sold</v>
      </c>
      <c r="Q284" s="6" t="str">
        <f>IF(Table5[[#This Row],[Re order Level]]&lt;=Table5[[#This Row],[Current stock]],"ORDERASAP","OK BUT BE CHECKING")</f>
        <v>OK BUT BE CHECKING</v>
      </c>
      <c r="R284" s="6" t="str">
        <f t="shared" si="17"/>
        <v>ACTIVE</v>
      </c>
      <c r="S284" s="8">
        <f>IF(Table5[[#This Row],[DEADSTOCK FLAG]]="DEAD",Table5[[#This Row],[Inventory Value]],0)</f>
        <v>0</v>
      </c>
    </row>
    <row r="285" spans="1:19" x14ac:dyDescent="0.25">
      <c r="A285" s="24" t="str">
        <f>'Inventory master'!A285</f>
        <v>ITEM284-A</v>
      </c>
      <c r="B285" s="6" t="str">
        <f>'Inventory master'!B285</f>
        <v>Fixed Attenuator 1dB</v>
      </c>
      <c r="C285" s="6" t="str">
        <f>'Inventory master'!C285</f>
        <v>Attenuators</v>
      </c>
      <c r="D285" s="6" t="str">
        <f>'Inventory master'!D285</f>
        <v>Prysmian Group</v>
      </c>
      <c r="E285" s="10" t="str">
        <f>'Inventory master'!E285</f>
        <v>946.09</v>
      </c>
      <c r="F285" s="10" t="str">
        <f>'Inventory master'!F285</f>
        <v>1520.32</v>
      </c>
      <c r="G285" s="10" t="str">
        <f>'Inventory master'!G285</f>
        <v>92</v>
      </c>
      <c r="H285" s="8">
        <f>IFERROR(_xlfn.XLOOKUP(A285, 'Opening stock'!A285:A884, 'Opening stock'!E285:E884), "")</f>
        <v>1380</v>
      </c>
      <c r="I285" s="8">
        <f>IFERROR(SUMIF(Table3[Item ID],'Inventory calculations'!A285,Table3[Quantity]),0)</f>
        <v>0</v>
      </c>
      <c r="J285" s="8">
        <f>IFERROR(SUMIF(Table4[Item ID],'Inventory calculations'!A285,Table4[Quantity Purchased]),0)</f>
        <v>1</v>
      </c>
      <c r="K285" s="10">
        <f t="shared" si="18"/>
        <v>1381</v>
      </c>
      <c r="L285" s="6" t="str">
        <f t="shared" si="19"/>
        <v>OK</v>
      </c>
      <c r="M285" s="13">
        <f t="shared" si="16"/>
        <v>1306550.29</v>
      </c>
      <c r="N285" s="8">
        <f>Table5[[#This Row],[Total Qty Sold]]*Table5[[#This Row],[Unit Price]]</f>
        <v>0</v>
      </c>
      <c r="O285" s="9"/>
      <c r="P285" s="40" t="str">
        <f ca="1">IF(Table5[[#This Row],[Last sale Date]]="","Never Sold",TODAY()-Table5[[#This Row],[Last sale Date]])</f>
        <v>Never Sold</v>
      </c>
      <c r="Q285" s="6" t="str">
        <f>IF(Table5[[#This Row],[Re order Level]]&lt;=Table5[[#This Row],[Current stock]],"ORDERASAP","OK BUT BE CHECKING")</f>
        <v>OK BUT BE CHECKING</v>
      </c>
      <c r="R285" s="6" t="str">
        <f t="shared" si="17"/>
        <v>ACTIVE</v>
      </c>
      <c r="S285" s="8">
        <f>IF(Table5[[#This Row],[DEADSTOCK FLAG]]="DEAD",Table5[[#This Row],[Inventory Value]],0)</f>
        <v>0</v>
      </c>
    </row>
    <row r="286" spans="1:19" x14ac:dyDescent="0.25">
      <c r="A286" s="24" t="str">
        <f>'Inventory master'!A286</f>
        <v>ITEM285-A</v>
      </c>
      <c r="B286" s="6" t="str">
        <f>'Inventory master'!B286</f>
        <v>Mechanical Splicer</v>
      </c>
      <c r="C286" s="6" t="str">
        <f>'Inventory master'!C286</f>
        <v>Splicers</v>
      </c>
      <c r="D286" s="6" t="str">
        <f>'Inventory master'!D286</f>
        <v>HellermannTyton</v>
      </c>
      <c r="E286" s="10" t="str">
        <f>'Inventory master'!E286</f>
        <v>1808.18</v>
      </c>
      <c r="F286" s="10" t="str">
        <f>'Inventory master'!F286</f>
        <v>3220.69</v>
      </c>
      <c r="G286" s="10" t="str">
        <f>'Inventory master'!G286</f>
        <v>40</v>
      </c>
      <c r="H286" s="8">
        <f>IFERROR(_xlfn.XLOOKUP(A286, 'Opening stock'!A286:A885, 'Opening stock'!E286:E885), "")</f>
        <v>600</v>
      </c>
      <c r="I286" s="8">
        <f>IFERROR(SUMIF(Table3[Item ID],'Inventory calculations'!A286,Table3[Quantity]),0)</f>
        <v>2</v>
      </c>
      <c r="J286" s="8">
        <f>IFERROR(SUMIF(Table4[Item ID],'Inventory calculations'!A286,Table4[Quantity Purchased]),0)</f>
        <v>23</v>
      </c>
      <c r="K286" s="10">
        <f t="shared" si="18"/>
        <v>621</v>
      </c>
      <c r="L286" s="6" t="str">
        <f t="shared" si="19"/>
        <v>OK</v>
      </c>
      <c r="M286" s="13">
        <f t="shared" si="16"/>
        <v>1122879.78</v>
      </c>
      <c r="N286" s="8">
        <f>Table5[[#This Row],[Total Qty Sold]]*Table5[[#This Row],[Unit Price]]</f>
        <v>6441.38</v>
      </c>
      <c r="O286" s="9">
        <f>IFERROR(_xlfn.MAXIFS(Table3[Date],Table3[Item ID],Table5[[#This Row],[Item ID]]),"")</f>
        <v>45365</v>
      </c>
      <c r="P286" s="40">
        <f ca="1">IF(Table5[[#This Row],[Last sale Date]]="","Never Sold",TODAY()-Table5[[#This Row],[Last sale Date]])</f>
        <v>687</v>
      </c>
      <c r="Q286" s="6" t="str">
        <f>IF(Table5[[#This Row],[Re order Level]]&lt;=Table5[[#This Row],[Current stock]],"ORDERASAP","OK BUT BE CHECKING")</f>
        <v>OK BUT BE CHECKING</v>
      </c>
      <c r="R286" s="6" t="str">
        <f t="shared" si="17"/>
        <v>ACTIVE</v>
      </c>
      <c r="S286" s="8">
        <f>IF(Table5[[#This Row],[DEADSTOCK FLAG]]="DEAD",Table5[[#This Row],[Inventory Value]],0)</f>
        <v>0</v>
      </c>
    </row>
    <row r="287" spans="1:19" x14ac:dyDescent="0.25">
      <c r="A287" s="24" t="str">
        <f>'Inventory master'!A287</f>
        <v>ITEM286-A</v>
      </c>
      <c r="B287" s="6" t="str">
        <f>'Inventory master'!B287</f>
        <v>Pedestal Enclosure</v>
      </c>
      <c r="C287" s="6" t="str">
        <f>'Inventory master'!C287</f>
        <v>Enclosures</v>
      </c>
      <c r="D287" s="6" t="str">
        <f>'Inventory master'!D287</f>
        <v>Belden</v>
      </c>
      <c r="E287" s="10" t="str">
        <f>'Inventory master'!E287</f>
        <v>176.88</v>
      </c>
      <c r="F287" s="10" t="str">
        <f>'Inventory master'!F287</f>
        <v>245.25</v>
      </c>
      <c r="G287" s="10" t="str">
        <f>'Inventory master'!G287</f>
        <v>29</v>
      </c>
      <c r="H287" s="8">
        <f>IFERROR(_xlfn.XLOOKUP(A287, 'Opening stock'!A287:A886, 'Opening stock'!E287:E886), "")</f>
        <v>435</v>
      </c>
      <c r="I287" s="8">
        <f>IFERROR(SUMIF(Table3[Item ID],'Inventory calculations'!A287,Table3[Quantity]),0)</f>
        <v>0</v>
      </c>
      <c r="J287" s="8">
        <f>IFERROR(SUMIF(Table4[Item ID],'Inventory calculations'!A287,Table4[Quantity Purchased]),0)</f>
        <v>13</v>
      </c>
      <c r="K287" s="10">
        <f t="shared" si="18"/>
        <v>448</v>
      </c>
      <c r="L287" s="6" t="str">
        <f t="shared" si="19"/>
        <v>OK</v>
      </c>
      <c r="M287" s="13">
        <f t="shared" si="16"/>
        <v>79242.239999999991</v>
      </c>
      <c r="N287" s="8">
        <f>Table5[[#This Row],[Total Qty Sold]]*Table5[[#This Row],[Unit Price]]</f>
        <v>0</v>
      </c>
      <c r="O287" s="9"/>
      <c r="P287" s="40" t="str">
        <f ca="1">IF(Table5[[#This Row],[Last sale Date]]="","Never Sold",TODAY()-Table5[[#This Row],[Last sale Date]])</f>
        <v>Never Sold</v>
      </c>
      <c r="Q287" s="6" t="str">
        <f>IF(Table5[[#This Row],[Re order Level]]&lt;=Table5[[#This Row],[Current stock]],"ORDERASAP","OK BUT BE CHECKING")</f>
        <v>OK BUT BE CHECKING</v>
      </c>
      <c r="R287" s="6" t="str">
        <f t="shared" si="17"/>
        <v>ACTIVE</v>
      </c>
      <c r="S287" s="8">
        <f>IF(Table5[[#This Row],[DEADSTOCK FLAG]]="DEAD",Table5[[#This Row],[Inventory Value]],0)</f>
        <v>0</v>
      </c>
    </row>
    <row r="288" spans="1:19" x14ac:dyDescent="0.25">
      <c r="A288" s="24" t="str">
        <f>'Inventory master'!A288</f>
        <v>ITEM287-A</v>
      </c>
      <c r="B288" s="6" t="str">
        <f>'Inventory master'!B288</f>
        <v>QSFP28 Transceiver</v>
      </c>
      <c r="C288" s="6" t="str">
        <f>'Inventory master'!C288</f>
        <v>Transceivers</v>
      </c>
      <c r="D288" s="6" t="str">
        <f>'Inventory master'!D288</f>
        <v>Belden</v>
      </c>
      <c r="E288" s="10" t="str">
        <f>'Inventory master'!E288</f>
        <v>730.22</v>
      </c>
      <c r="F288" s="10" t="str">
        <f>'Inventory master'!F288</f>
        <v>1002.88</v>
      </c>
      <c r="G288" s="10" t="str">
        <f>'Inventory master'!G288</f>
        <v>92</v>
      </c>
      <c r="H288" s="8">
        <f>IFERROR(_xlfn.XLOOKUP(A288, 'Opening stock'!A288:A887, 'Opening stock'!E288:E887), "")</f>
        <v>1380</v>
      </c>
      <c r="I288" s="8">
        <f>IFERROR(SUMIF(Table3[Item ID],'Inventory calculations'!A288,Table3[Quantity]),0)</f>
        <v>0</v>
      </c>
      <c r="J288" s="8">
        <f>IFERROR(SUMIF(Table4[Item ID],'Inventory calculations'!A288,Table4[Quantity Purchased]),0)</f>
        <v>14</v>
      </c>
      <c r="K288" s="10">
        <f t="shared" si="18"/>
        <v>1394</v>
      </c>
      <c r="L288" s="6" t="str">
        <f t="shared" si="19"/>
        <v>OK</v>
      </c>
      <c r="M288" s="13">
        <f t="shared" si="16"/>
        <v>1017926.68</v>
      </c>
      <c r="N288" s="8">
        <f>Table5[[#This Row],[Total Qty Sold]]*Table5[[#This Row],[Unit Price]]</f>
        <v>0</v>
      </c>
      <c r="O288" s="9"/>
      <c r="P288" s="40" t="str">
        <f ca="1">IF(Table5[[#This Row],[Last sale Date]]="","Never Sold",TODAY()-Table5[[#This Row],[Last sale Date]])</f>
        <v>Never Sold</v>
      </c>
      <c r="Q288" s="6" t="str">
        <f>IF(Table5[[#This Row],[Re order Level]]&lt;=Table5[[#This Row],[Current stock]],"ORDERASAP","OK BUT BE CHECKING")</f>
        <v>OK BUT BE CHECKING</v>
      </c>
      <c r="R288" s="6" t="str">
        <f t="shared" si="17"/>
        <v>ACTIVE</v>
      </c>
      <c r="S288" s="8">
        <f>IF(Table5[[#This Row],[DEADSTOCK FLAG]]="DEAD",Table5[[#This Row],[Inventory Value]],0)</f>
        <v>0</v>
      </c>
    </row>
    <row r="289" spans="1:19" x14ac:dyDescent="0.25">
      <c r="A289" s="24" t="str">
        <f>'Inventory master'!A289</f>
        <v>ITEM288-A</v>
      </c>
      <c r="B289" s="6" t="str">
        <f>'Inventory master'!B289</f>
        <v>96-Port Fiber Patch Panel</v>
      </c>
      <c r="C289" s="6" t="str">
        <f>'Inventory master'!C289</f>
        <v>Patch Panels</v>
      </c>
      <c r="D289" s="6" t="str">
        <f>'Inventory master'!D289</f>
        <v>TE Connectivity</v>
      </c>
      <c r="E289" s="10" t="str">
        <f>'Inventory master'!E289</f>
        <v>544.28</v>
      </c>
      <c r="F289" s="10" t="str">
        <f>'Inventory master'!F289</f>
        <v>744.81</v>
      </c>
      <c r="G289" s="10" t="str">
        <f>'Inventory master'!G289</f>
        <v>61</v>
      </c>
      <c r="H289" s="8">
        <f>IFERROR(_xlfn.XLOOKUP(A289, 'Opening stock'!A289:A888, 'Opening stock'!E289:E888), "")</f>
        <v>915</v>
      </c>
      <c r="I289" s="8">
        <f>IFERROR(SUMIF(Table3[Item ID],'Inventory calculations'!A289,Table3[Quantity]),0)</f>
        <v>9</v>
      </c>
      <c r="J289" s="8">
        <f>IFERROR(SUMIF(Table4[Item ID],'Inventory calculations'!A289,Table4[Quantity Purchased]),0)</f>
        <v>0</v>
      </c>
      <c r="K289" s="10">
        <f t="shared" si="18"/>
        <v>906</v>
      </c>
      <c r="L289" s="6" t="str">
        <f t="shared" si="19"/>
        <v>OK</v>
      </c>
      <c r="M289" s="13">
        <f t="shared" si="16"/>
        <v>493117.68</v>
      </c>
      <c r="N289" s="8">
        <f>Table5[[#This Row],[Total Qty Sold]]*Table5[[#This Row],[Unit Price]]</f>
        <v>6703.2899999999991</v>
      </c>
      <c r="O289" s="9">
        <f>IFERROR(_xlfn.MAXIFS(Table3[Date],Table3[Item ID],Table5[[#This Row],[Item ID]]),"")</f>
        <v>45468</v>
      </c>
      <c r="P289" s="40">
        <f ca="1">IF(Table5[[#This Row],[Last sale Date]]="","Never Sold",TODAY()-Table5[[#This Row],[Last sale Date]])</f>
        <v>584</v>
      </c>
      <c r="Q289" s="6" t="str">
        <f>IF(Table5[[#This Row],[Re order Level]]&lt;=Table5[[#This Row],[Current stock]],"ORDERASAP","OK BUT BE CHECKING")</f>
        <v>OK BUT BE CHECKING</v>
      </c>
      <c r="R289" s="6" t="str">
        <f t="shared" si="17"/>
        <v>ACTIVE</v>
      </c>
      <c r="S289" s="8">
        <f>IF(Table5[[#This Row],[DEADSTOCK FLAG]]="DEAD",Table5[[#This Row],[Inventory Value]],0)</f>
        <v>0</v>
      </c>
    </row>
    <row r="290" spans="1:19" x14ac:dyDescent="0.25">
      <c r="A290" s="24" t="str">
        <f>'Inventory master'!A290</f>
        <v>ITEM289-A</v>
      </c>
      <c r="B290" s="6" t="str">
        <f>'Inventory master'!B290</f>
        <v>12-Port Fiber Patch Panel</v>
      </c>
      <c r="C290" s="6" t="str">
        <f>'Inventory master'!C290</f>
        <v>Patch Panels</v>
      </c>
      <c r="D290" s="6" t="str">
        <f>'Inventory master'!D290</f>
        <v>Siemon</v>
      </c>
      <c r="E290" s="10" t="str">
        <f>'Inventory master'!E290</f>
        <v>1864.07</v>
      </c>
      <c r="F290" s="10" t="str">
        <f>'Inventory master'!F290</f>
        <v>2453.66</v>
      </c>
      <c r="G290" s="10" t="str">
        <f>'Inventory master'!G290</f>
        <v>56</v>
      </c>
      <c r="H290" s="8">
        <f>IFERROR(_xlfn.XLOOKUP(A290, 'Opening stock'!A290:A889, 'Opening stock'!E290:E889), "")</f>
        <v>840</v>
      </c>
      <c r="I290" s="8">
        <f>IFERROR(SUMIF(Table3[Item ID],'Inventory calculations'!A290,Table3[Quantity]),0)</f>
        <v>10</v>
      </c>
      <c r="J290" s="8">
        <f>IFERROR(SUMIF(Table4[Item ID],'Inventory calculations'!A290,Table4[Quantity Purchased]),0)</f>
        <v>0</v>
      </c>
      <c r="K290" s="10">
        <f t="shared" si="18"/>
        <v>830</v>
      </c>
      <c r="L290" s="6" t="str">
        <f t="shared" si="19"/>
        <v>OK</v>
      </c>
      <c r="M290" s="13">
        <f t="shared" si="16"/>
        <v>1547178.0999999999</v>
      </c>
      <c r="N290" s="8">
        <f>Table5[[#This Row],[Total Qty Sold]]*Table5[[#This Row],[Unit Price]]</f>
        <v>24536.6</v>
      </c>
      <c r="O290" s="9">
        <f>IFERROR(_xlfn.MAXIFS(Table3[Date],Table3[Item ID],Table5[[#This Row],[Item ID]]),"")</f>
        <v>45309</v>
      </c>
      <c r="P290" s="40">
        <f ca="1">IF(Table5[[#This Row],[Last sale Date]]="","Never Sold",TODAY()-Table5[[#This Row],[Last sale Date]])</f>
        <v>743</v>
      </c>
      <c r="Q290" s="6" t="str">
        <f>IF(Table5[[#This Row],[Re order Level]]&lt;=Table5[[#This Row],[Current stock]],"ORDERASAP","OK BUT BE CHECKING")</f>
        <v>OK BUT BE CHECKING</v>
      </c>
      <c r="R290" s="6" t="str">
        <f t="shared" si="17"/>
        <v>ACTIVE</v>
      </c>
      <c r="S290" s="8">
        <f>IF(Table5[[#This Row],[DEADSTOCK FLAG]]="DEAD",Table5[[#This Row],[Inventory Value]],0)</f>
        <v>0</v>
      </c>
    </row>
    <row r="291" spans="1:19" x14ac:dyDescent="0.25">
      <c r="A291" s="24" t="str">
        <f>'Inventory master'!A291</f>
        <v>ITEM290-A</v>
      </c>
      <c r="B291" s="6" t="str">
        <f>'Inventory master'!B291</f>
        <v>1x16 PLC Splitter</v>
      </c>
      <c r="C291" s="6" t="str">
        <f>'Inventory master'!C291</f>
        <v>Splitters</v>
      </c>
      <c r="D291" s="6" t="str">
        <f>'Inventory master'!D291</f>
        <v>Siemon</v>
      </c>
      <c r="E291" s="10" t="str">
        <f>'Inventory master'!E291</f>
        <v>836.45</v>
      </c>
      <c r="F291" s="10" t="str">
        <f>'Inventory master'!F291</f>
        <v>1639.21</v>
      </c>
      <c r="G291" s="10" t="str">
        <f>'Inventory master'!G291</f>
        <v>51</v>
      </c>
      <c r="H291" s="8">
        <f>IFERROR(_xlfn.XLOOKUP(A291, 'Opening stock'!A291:A890, 'Opening stock'!E291:E890), "")</f>
        <v>765</v>
      </c>
      <c r="I291" s="8">
        <f>IFERROR(SUMIF(Table3[Item ID],'Inventory calculations'!A291,Table3[Quantity]),0)</f>
        <v>0</v>
      </c>
      <c r="J291" s="8">
        <f>IFERROR(SUMIF(Table4[Item ID],'Inventory calculations'!A291,Table4[Quantity Purchased]),0)</f>
        <v>18</v>
      </c>
      <c r="K291" s="10">
        <f t="shared" si="18"/>
        <v>783</v>
      </c>
      <c r="L291" s="6" t="str">
        <f t="shared" si="19"/>
        <v>OK</v>
      </c>
      <c r="M291" s="13">
        <f t="shared" si="16"/>
        <v>654940.35000000009</v>
      </c>
      <c r="N291" s="8">
        <f>Table5[[#This Row],[Total Qty Sold]]*Table5[[#This Row],[Unit Price]]</f>
        <v>0</v>
      </c>
      <c r="O291" s="9"/>
      <c r="P291" s="40" t="str">
        <f ca="1">IF(Table5[[#This Row],[Last sale Date]]="","Never Sold",TODAY()-Table5[[#This Row],[Last sale Date]])</f>
        <v>Never Sold</v>
      </c>
      <c r="Q291" s="6" t="str">
        <f>IF(Table5[[#This Row],[Re order Level]]&lt;=Table5[[#This Row],[Current stock]],"ORDERASAP","OK BUT BE CHECKING")</f>
        <v>OK BUT BE CHECKING</v>
      </c>
      <c r="R291" s="6" t="str">
        <f t="shared" si="17"/>
        <v>ACTIVE</v>
      </c>
      <c r="S291" s="8">
        <f>IF(Table5[[#This Row],[DEADSTOCK FLAG]]="DEAD",Table5[[#This Row],[Inventory Value]],0)</f>
        <v>0</v>
      </c>
    </row>
    <row r="292" spans="1:19" x14ac:dyDescent="0.25">
      <c r="A292" s="24" t="str">
        <f>'Inventory master'!A292</f>
        <v>ITEM291-A</v>
      </c>
      <c r="B292" s="6" t="str">
        <f>'Inventory master'!B292</f>
        <v>1x2 PLC Splitter</v>
      </c>
      <c r="C292" s="6" t="str">
        <f>'Inventory master'!C292</f>
        <v>Splitters</v>
      </c>
      <c r="D292" s="6" t="str">
        <f>'Inventory master'!D292</f>
        <v>TE Connectivity</v>
      </c>
      <c r="E292" s="10" t="str">
        <f>'Inventory master'!E292</f>
        <v>261.87</v>
      </c>
      <c r="F292" s="10" t="str">
        <f>'Inventory master'!F292</f>
        <v>376.05</v>
      </c>
      <c r="G292" s="10" t="str">
        <f>'Inventory master'!G292</f>
        <v>34</v>
      </c>
      <c r="H292" s="8">
        <f>IFERROR(_xlfn.XLOOKUP(A292, 'Opening stock'!A292:A891, 'Opening stock'!E292:E891), "")</f>
        <v>510</v>
      </c>
      <c r="I292" s="8">
        <f>IFERROR(SUMIF(Table3[Item ID],'Inventory calculations'!A292,Table3[Quantity]),0)</f>
        <v>0</v>
      </c>
      <c r="J292" s="8">
        <f>IFERROR(SUMIF(Table4[Item ID],'Inventory calculations'!A292,Table4[Quantity Purchased]),0)</f>
        <v>0</v>
      </c>
      <c r="K292" s="10">
        <f t="shared" si="18"/>
        <v>510</v>
      </c>
      <c r="L292" s="6" t="str">
        <f t="shared" si="19"/>
        <v>OK</v>
      </c>
      <c r="M292" s="13">
        <f t="shared" si="16"/>
        <v>133553.70000000001</v>
      </c>
      <c r="N292" s="8">
        <f>Table5[[#This Row],[Total Qty Sold]]*Table5[[#This Row],[Unit Price]]</f>
        <v>0</v>
      </c>
      <c r="O292" s="9"/>
      <c r="P292" s="40" t="str">
        <f ca="1">IF(Table5[[#This Row],[Last sale Date]]="","Never Sold",TODAY()-Table5[[#This Row],[Last sale Date]])</f>
        <v>Never Sold</v>
      </c>
      <c r="Q292" s="6" t="str">
        <f>IF(Table5[[#This Row],[Re order Level]]&lt;=Table5[[#This Row],[Current stock]],"ORDERASAP","OK BUT BE CHECKING")</f>
        <v>OK BUT BE CHECKING</v>
      </c>
      <c r="R292" s="6" t="str">
        <f t="shared" si="17"/>
        <v>ACTIVE</v>
      </c>
      <c r="S292" s="8">
        <f>IF(Table5[[#This Row],[DEADSTOCK FLAG]]="DEAD",Table5[[#This Row],[Inventory Value]],0)</f>
        <v>0</v>
      </c>
    </row>
    <row r="293" spans="1:19" x14ac:dyDescent="0.25">
      <c r="A293" s="24" t="str">
        <f>'Inventory master'!A293</f>
        <v>ITEM292-A</v>
      </c>
      <c r="B293" s="6" t="str">
        <f>'Inventory master'!B293</f>
        <v>Fiber Optic Stripper</v>
      </c>
      <c r="C293" s="6" t="str">
        <f>'Inventory master'!C293</f>
        <v>Tools</v>
      </c>
      <c r="D293" s="6" t="str">
        <f>'Inventory master'!D293</f>
        <v>CommScope</v>
      </c>
      <c r="E293" s="10" t="str">
        <f>'Inventory master'!E293</f>
        <v>894.25</v>
      </c>
      <c r="F293" s="10" t="str">
        <f>'Inventory master'!F293</f>
        <v>1705.43</v>
      </c>
      <c r="G293" s="10" t="str">
        <f>'Inventory master'!G293</f>
        <v>50</v>
      </c>
      <c r="H293" s="8">
        <f>IFERROR(_xlfn.XLOOKUP(A293, 'Opening stock'!A293:A892, 'Opening stock'!E293:E892), "")</f>
        <v>750</v>
      </c>
      <c r="I293" s="8">
        <f>IFERROR(SUMIF(Table3[Item ID],'Inventory calculations'!A293,Table3[Quantity]),0)</f>
        <v>0</v>
      </c>
      <c r="J293" s="8">
        <f>IFERROR(SUMIF(Table4[Item ID],'Inventory calculations'!A293,Table4[Quantity Purchased]),0)</f>
        <v>10</v>
      </c>
      <c r="K293" s="10">
        <f t="shared" si="18"/>
        <v>760</v>
      </c>
      <c r="L293" s="6" t="str">
        <f t="shared" si="19"/>
        <v>OK</v>
      </c>
      <c r="M293" s="13">
        <f t="shared" si="16"/>
        <v>679630</v>
      </c>
      <c r="N293" s="8">
        <f>Table5[[#This Row],[Total Qty Sold]]*Table5[[#This Row],[Unit Price]]</f>
        <v>0</v>
      </c>
      <c r="O293" s="9"/>
      <c r="P293" s="40" t="str">
        <f ca="1">IF(Table5[[#This Row],[Last sale Date]]="","Never Sold",TODAY()-Table5[[#This Row],[Last sale Date]])</f>
        <v>Never Sold</v>
      </c>
      <c r="Q293" s="6" t="str">
        <f>IF(Table5[[#This Row],[Re order Level]]&lt;=Table5[[#This Row],[Current stock]],"ORDERASAP","OK BUT BE CHECKING")</f>
        <v>OK BUT BE CHECKING</v>
      </c>
      <c r="R293" s="6" t="str">
        <f t="shared" si="17"/>
        <v>ACTIVE</v>
      </c>
      <c r="S293" s="8">
        <f>IF(Table5[[#This Row],[DEADSTOCK FLAG]]="DEAD",Table5[[#This Row],[Inventory Value]],0)</f>
        <v>0</v>
      </c>
    </row>
    <row r="294" spans="1:19" x14ac:dyDescent="0.25">
      <c r="A294" s="24" t="str">
        <f>'Inventory master'!A294</f>
        <v>ITEM293-A</v>
      </c>
      <c r="B294" s="6" t="str">
        <f>'Inventory master'!B294</f>
        <v>Outdoor Fiber Cable 100m</v>
      </c>
      <c r="C294" s="6" t="str">
        <f>'Inventory master'!C294</f>
        <v>Fiber Optic Cables</v>
      </c>
      <c r="D294" s="6" t="str">
        <f>'Inventory master'!D294</f>
        <v>HellermannTyton</v>
      </c>
      <c r="E294" s="10" t="str">
        <f>'Inventory master'!E294</f>
        <v>410.12</v>
      </c>
      <c r="F294" s="10" t="str">
        <f>'Inventory master'!F294</f>
        <v>459.71</v>
      </c>
      <c r="G294" s="10" t="str">
        <f>'Inventory master'!G294</f>
        <v>10</v>
      </c>
      <c r="H294" s="8">
        <f>IFERROR(_xlfn.XLOOKUP(A294, 'Opening stock'!A294:A893, 'Opening stock'!E294:E893), "")</f>
        <v>150</v>
      </c>
      <c r="I294" s="8">
        <f>IFERROR(SUMIF(Table3[Item ID],'Inventory calculations'!A294,Table3[Quantity]),0)</f>
        <v>0</v>
      </c>
      <c r="J294" s="8">
        <f>IFERROR(SUMIF(Table4[Item ID],'Inventory calculations'!A294,Table4[Quantity Purchased]),0)</f>
        <v>2</v>
      </c>
      <c r="K294" s="10">
        <f t="shared" si="18"/>
        <v>152</v>
      </c>
      <c r="L294" s="6" t="str">
        <f t="shared" si="19"/>
        <v>OK</v>
      </c>
      <c r="M294" s="13">
        <f t="shared" si="16"/>
        <v>62338.239999999998</v>
      </c>
      <c r="N294" s="8">
        <f>Table5[[#This Row],[Total Qty Sold]]*Table5[[#This Row],[Unit Price]]</f>
        <v>0</v>
      </c>
      <c r="O294" s="9"/>
      <c r="P294" s="40" t="str">
        <f ca="1">IF(Table5[[#This Row],[Last sale Date]]="","Never Sold",TODAY()-Table5[[#This Row],[Last sale Date]])</f>
        <v>Never Sold</v>
      </c>
      <c r="Q294" s="6" t="str">
        <f>IF(Table5[[#This Row],[Re order Level]]&lt;=Table5[[#This Row],[Current stock]],"ORDERASAP","OK BUT BE CHECKING")</f>
        <v>OK BUT BE CHECKING</v>
      </c>
      <c r="R294" s="6" t="str">
        <f t="shared" si="17"/>
        <v>ACTIVE</v>
      </c>
      <c r="S294" s="8">
        <f>IF(Table5[[#This Row],[DEADSTOCK FLAG]]="DEAD",Table5[[#This Row],[Inventory Value]],0)</f>
        <v>0</v>
      </c>
    </row>
    <row r="295" spans="1:19" x14ac:dyDescent="0.25">
      <c r="A295" s="24" t="str">
        <f>'Inventory master'!A295</f>
        <v>ITEM294-A</v>
      </c>
      <c r="B295" s="6" t="str">
        <f>'Inventory master'!B295</f>
        <v>1x4 PLC Splitter</v>
      </c>
      <c r="C295" s="6" t="str">
        <f>'Inventory master'!C295</f>
        <v>Splitters</v>
      </c>
      <c r="D295" s="6" t="str">
        <f>'Inventory master'!D295</f>
        <v>Siemon</v>
      </c>
      <c r="E295" s="10" t="str">
        <f>'Inventory master'!E295</f>
        <v>444.38</v>
      </c>
      <c r="F295" s="10" t="str">
        <f>'Inventory master'!F295</f>
        <v>811.76</v>
      </c>
      <c r="G295" s="10" t="str">
        <f>'Inventory master'!G295</f>
        <v>40</v>
      </c>
      <c r="H295" s="8">
        <f>IFERROR(_xlfn.XLOOKUP(A295, 'Opening stock'!A295:A894, 'Opening stock'!E295:E894), "")</f>
        <v>600</v>
      </c>
      <c r="I295" s="8">
        <f>IFERROR(SUMIF(Table3[Item ID],'Inventory calculations'!A295,Table3[Quantity]),0)</f>
        <v>7</v>
      </c>
      <c r="J295" s="8">
        <f>IFERROR(SUMIF(Table4[Item ID],'Inventory calculations'!A295,Table4[Quantity Purchased]),0)</f>
        <v>1</v>
      </c>
      <c r="K295" s="10">
        <f t="shared" si="18"/>
        <v>594</v>
      </c>
      <c r="L295" s="6" t="str">
        <f t="shared" si="19"/>
        <v>OK</v>
      </c>
      <c r="M295" s="13">
        <f t="shared" si="16"/>
        <v>263961.71999999997</v>
      </c>
      <c r="N295" s="8">
        <f>Table5[[#This Row],[Total Qty Sold]]*Table5[[#This Row],[Unit Price]]</f>
        <v>5682.32</v>
      </c>
      <c r="O295" s="9">
        <f>IFERROR(_xlfn.MAXIFS(Table3[Date],Table3[Item ID],Table5[[#This Row],[Item ID]]),"")</f>
        <v>45461</v>
      </c>
      <c r="P295" s="40">
        <f ca="1">IF(Table5[[#This Row],[Last sale Date]]="","Never Sold",TODAY()-Table5[[#This Row],[Last sale Date]])</f>
        <v>591</v>
      </c>
      <c r="Q295" s="6" t="str">
        <f>IF(Table5[[#This Row],[Re order Level]]&lt;=Table5[[#This Row],[Current stock]],"ORDERASAP","OK BUT BE CHECKING")</f>
        <v>OK BUT BE CHECKING</v>
      </c>
      <c r="R295" s="6" t="str">
        <f t="shared" si="17"/>
        <v>ACTIVE</v>
      </c>
      <c r="S295" s="8">
        <f>IF(Table5[[#This Row],[DEADSTOCK FLAG]]="DEAD",Table5[[#This Row],[Inventory Value]],0)</f>
        <v>0</v>
      </c>
    </row>
    <row r="296" spans="1:19" x14ac:dyDescent="0.25">
      <c r="A296" s="24" t="str">
        <f>'Inventory master'!A296</f>
        <v>ITEM295-A</v>
      </c>
      <c r="B296" s="6" t="str">
        <f>'Inventory master'!B296</f>
        <v>Fiber Adapter</v>
      </c>
      <c r="C296" s="6" t="str">
        <f>'Inventory master'!C296</f>
        <v>Accessories</v>
      </c>
      <c r="D296" s="6" t="str">
        <f>'Inventory master'!D296</f>
        <v>HellermannTyton</v>
      </c>
      <c r="E296" s="10" t="str">
        <f>'Inventory master'!E296</f>
        <v>370.32</v>
      </c>
      <c r="F296" s="10" t="str">
        <f>'Inventory master'!F296</f>
        <v>733.13</v>
      </c>
      <c r="G296" s="10" t="str">
        <f>'Inventory master'!G296</f>
        <v>98</v>
      </c>
      <c r="H296" s="8">
        <f>IFERROR(_xlfn.XLOOKUP(A296, 'Opening stock'!A296:A895, 'Opening stock'!E296:E895), "")</f>
        <v>1470</v>
      </c>
      <c r="I296" s="8">
        <f>IFERROR(SUMIF(Table3[Item ID],'Inventory calculations'!A296,Table3[Quantity]),0)</f>
        <v>0</v>
      </c>
      <c r="J296" s="8">
        <f>IFERROR(SUMIF(Table4[Item ID],'Inventory calculations'!A296,Table4[Quantity Purchased]),0)</f>
        <v>50</v>
      </c>
      <c r="K296" s="10">
        <f t="shared" si="18"/>
        <v>1520</v>
      </c>
      <c r="L296" s="6" t="str">
        <f t="shared" si="19"/>
        <v>OK</v>
      </c>
      <c r="M296" s="13">
        <f t="shared" si="16"/>
        <v>562886.40000000002</v>
      </c>
      <c r="N296" s="8">
        <f>Table5[[#This Row],[Total Qty Sold]]*Table5[[#This Row],[Unit Price]]</f>
        <v>0</v>
      </c>
      <c r="O296" s="9"/>
      <c r="P296" s="40" t="str">
        <f ca="1">IF(Table5[[#This Row],[Last sale Date]]="","Never Sold",TODAY()-Table5[[#This Row],[Last sale Date]])</f>
        <v>Never Sold</v>
      </c>
      <c r="Q296" s="6" t="str">
        <f>IF(Table5[[#This Row],[Re order Level]]&lt;=Table5[[#This Row],[Current stock]],"ORDERASAP","OK BUT BE CHECKING")</f>
        <v>OK BUT BE CHECKING</v>
      </c>
      <c r="R296" s="6" t="str">
        <f t="shared" si="17"/>
        <v>ACTIVE</v>
      </c>
      <c r="S296" s="8">
        <f>IF(Table5[[#This Row],[DEADSTOCK FLAG]]="DEAD",Table5[[#This Row],[Inventory Value]],0)</f>
        <v>0</v>
      </c>
    </row>
    <row r="297" spans="1:19" x14ac:dyDescent="0.25">
      <c r="A297" s="24" t="str">
        <f>'Inventory master'!A297</f>
        <v>ITEM296-A</v>
      </c>
      <c r="B297" s="6" t="str">
        <f>'Inventory master'!B297</f>
        <v>LC UPC Connector</v>
      </c>
      <c r="C297" s="6" t="str">
        <f>'Inventory master'!C297</f>
        <v>Connectors</v>
      </c>
      <c r="D297" s="6" t="str">
        <f>'Inventory master'!D297</f>
        <v>Panduit</v>
      </c>
      <c r="E297" s="10" t="str">
        <f>'Inventory master'!E297</f>
        <v>228.13</v>
      </c>
      <c r="F297" s="10" t="str">
        <f>'Inventory master'!F297</f>
        <v>376.66</v>
      </c>
      <c r="G297" s="10" t="str">
        <f>'Inventory master'!G297</f>
        <v>90</v>
      </c>
      <c r="H297" s="8">
        <f>IFERROR(_xlfn.XLOOKUP(A297, 'Opening stock'!A297:A896, 'Opening stock'!E297:E896), "")</f>
        <v>1350</v>
      </c>
      <c r="I297" s="8">
        <f>IFERROR(SUMIF(Table3[Item ID],'Inventory calculations'!A297,Table3[Quantity]),0)</f>
        <v>0</v>
      </c>
      <c r="J297" s="8">
        <f>IFERROR(SUMIF(Table4[Item ID],'Inventory calculations'!A297,Table4[Quantity Purchased]),0)</f>
        <v>6</v>
      </c>
      <c r="K297" s="10">
        <f t="shared" si="18"/>
        <v>1356</v>
      </c>
      <c r="L297" s="6" t="str">
        <f t="shared" si="19"/>
        <v>OK</v>
      </c>
      <c r="M297" s="13">
        <f t="shared" si="16"/>
        <v>309344.27999999997</v>
      </c>
      <c r="N297" s="8">
        <f>Table5[[#This Row],[Total Qty Sold]]*Table5[[#This Row],[Unit Price]]</f>
        <v>0</v>
      </c>
      <c r="O297" s="9"/>
      <c r="P297" s="40" t="str">
        <f ca="1">IF(Table5[[#This Row],[Last sale Date]]="","Never Sold",TODAY()-Table5[[#This Row],[Last sale Date]])</f>
        <v>Never Sold</v>
      </c>
      <c r="Q297" s="6" t="str">
        <f>IF(Table5[[#This Row],[Re order Level]]&lt;=Table5[[#This Row],[Current stock]],"ORDERASAP","OK BUT BE CHECKING")</f>
        <v>OK BUT BE CHECKING</v>
      </c>
      <c r="R297" s="6" t="str">
        <f t="shared" si="17"/>
        <v>ACTIVE</v>
      </c>
      <c r="S297" s="8">
        <f>IF(Table5[[#This Row],[DEADSTOCK FLAG]]="DEAD",Table5[[#This Row],[Inventory Value]],0)</f>
        <v>0</v>
      </c>
    </row>
    <row r="298" spans="1:19" x14ac:dyDescent="0.25">
      <c r="A298" s="24" t="str">
        <f>'Inventory master'!A298</f>
        <v>ITEM297-A</v>
      </c>
      <c r="B298" s="6" t="str">
        <f>'Inventory master'!B298</f>
        <v>Dome Enclosure</v>
      </c>
      <c r="C298" s="6" t="str">
        <f>'Inventory master'!C298</f>
        <v>Enclosures</v>
      </c>
      <c r="D298" s="6" t="str">
        <f>'Inventory master'!D298</f>
        <v>AFL</v>
      </c>
      <c r="E298" s="10" t="str">
        <f>'Inventory master'!E298</f>
        <v>1668.07</v>
      </c>
      <c r="F298" s="10" t="str">
        <f>'Inventory master'!F298</f>
        <v>2155.38</v>
      </c>
      <c r="G298" s="10" t="str">
        <f>'Inventory master'!G298</f>
        <v>93</v>
      </c>
      <c r="H298" s="8">
        <f>IFERROR(_xlfn.XLOOKUP(A298, 'Opening stock'!A298:A897, 'Opening stock'!E298:E897), "")</f>
        <v>1395</v>
      </c>
      <c r="I298" s="8">
        <f>IFERROR(SUMIF(Table3[Item ID],'Inventory calculations'!A298,Table3[Quantity]),0)</f>
        <v>0</v>
      </c>
      <c r="J298" s="8">
        <f>IFERROR(SUMIF(Table4[Item ID],'Inventory calculations'!A298,Table4[Quantity Purchased]),0)</f>
        <v>30</v>
      </c>
      <c r="K298" s="10">
        <f t="shared" si="18"/>
        <v>1425</v>
      </c>
      <c r="L298" s="6" t="str">
        <f t="shared" si="19"/>
        <v>OK</v>
      </c>
      <c r="M298" s="13">
        <f t="shared" si="16"/>
        <v>2376999.75</v>
      </c>
      <c r="N298" s="8">
        <f>Table5[[#This Row],[Total Qty Sold]]*Table5[[#This Row],[Unit Price]]</f>
        <v>0</v>
      </c>
      <c r="O298" s="9"/>
      <c r="P298" s="40" t="str">
        <f ca="1">IF(Table5[[#This Row],[Last sale Date]]="","Never Sold",TODAY()-Table5[[#This Row],[Last sale Date]])</f>
        <v>Never Sold</v>
      </c>
      <c r="Q298" s="6" t="str">
        <f>IF(Table5[[#This Row],[Re order Level]]&lt;=Table5[[#This Row],[Current stock]],"ORDERASAP","OK BUT BE CHECKING")</f>
        <v>OK BUT BE CHECKING</v>
      </c>
      <c r="R298" s="6" t="str">
        <f t="shared" si="17"/>
        <v>ACTIVE</v>
      </c>
      <c r="S298" s="8">
        <f>IF(Table5[[#This Row],[DEADSTOCK FLAG]]="DEAD",Table5[[#This Row],[Inventory Value]],0)</f>
        <v>0</v>
      </c>
    </row>
    <row r="299" spans="1:19" x14ac:dyDescent="0.25">
      <c r="A299" s="24" t="str">
        <f>'Inventory master'!A299</f>
        <v>ITEM298-A</v>
      </c>
      <c r="B299" s="6" t="str">
        <f>'Inventory master'!B299</f>
        <v>Fixed Attenuator 3dB</v>
      </c>
      <c r="C299" s="6" t="str">
        <f>'Inventory master'!C299</f>
        <v>Attenuators</v>
      </c>
      <c r="D299" s="6" t="str">
        <f>'Inventory master'!D299</f>
        <v>Belden</v>
      </c>
      <c r="E299" s="10" t="str">
        <f>'Inventory master'!E299</f>
        <v>945.44</v>
      </c>
      <c r="F299" s="10" t="str">
        <f>'Inventory master'!F299</f>
        <v>1555.29</v>
      </c>
      <c r="G299" s="10" t="str">
        <f>'Inventory master'!G299</f>
        <v>61</v>
      </c>
      <c r="H299" s="8">
        <f>IFERROR(_xlfn.XLOOKUP(A299, 'Opening stock'!A299:A898, 'Opening stock'!E299:E898), "")</f>
        <v>915</v>
      </c>
      <c r="I299" s="8">
        <f>IFERROR(SUMIF(Table3[Item ID],'Inventory calculations'!A299,Table3[Quantity]),0)</f>
        <v>0</v>
      </c>
      <c r="J299" s="8">
        <f>IFERROR(SUMIF(Table4[Item ID],'Inventory calculations'!A299,Table4[Quantity Purchased]),0)</f>
        <v>0</v>
      </c>
      <c r="K299" s="10">
        <f t="shared" si="18"/>
        <v>915</v>
      </c>
      <c r="L299" s="6" t="str">
        <f t="shared" si="19"/>
        <v>OK</v>
      </c>
      <c r="M299" s="13">
        <f t="shared" si="16"/>
        <v>865077.60000000009</v>
      </c>
      <c r="N299" s="8">
        <f>Table5[[#This Row],[Total Qty Sold]]*Table5[[#This Row],[Unit Price]]</f>
        <v>0</v>
      </c>
      <c r="O299" s="9"/>
      <c r="P299" s="40" t="str">
        <f ca="1">IF(Table5[[#This Row],[Last sale Date]]="","Never Sold",TODAY()-Table5[[#This Row],[Last sale Date]])</f>
        <v>Never Sold</v>
      </c>
      <c r="Q299" s="6" t="str">
        <f>IF(Table5[[#This Row],[Re order Level]]&lt;=Table5[[#This Row],[Current stock]],"ORDERASAP","OK BUT BE CHECKING")</f>
        <v>OK BUT BE CHECKING</v>
      </c>
      <c r="R299" s="6" t="str">
        <f t="shared" si="17"/>
        <v>ACTIVE</v>
      </c>
      <c r="S299" s="8">
        <f>IF(Table5[[#This Row],[DEADSTOCK FLAG]]="DEAD",Table5[[#This Row],[Inventory Value]],0)</f>
        <v>0</v>
      </c>
    </row>
    <row r="300" spans="1:19" x14ac:dyDescent="0.25">
      <c r="A300" s="24" t="str">
        <f>'Inventory master'!A300</f>
        <v>ITEM299-A</v>
      </c>
      <c r="B300" s="6" t="str">
        <f>'Inventory master'!B300</f>
        <v>SC APC Connector</v>
      </c>
      <c r="C300" s="6" t="str">
        <f>'Inventory master'!C300</f>
        <v>Connectors</v>
      </c>
      <c r="D300" s="6" t="str">
        <f>'Inventory master'!D300</f>
        <v>AFL</v>
      </c>
      <c r="E300" s="10" t="str">
        <f>'Inventory master'!E300</f>
        <v>1582.52</v>
      </c>
      <c r="F300" s="10" t="str">
        <f>'Inventory master'!F300</f>
        <v>2104.48</v>
      </c>
      <c r="G300" s="10" t="str">
        <f>'Inventory master'!G300</f>
        <v>56</v>
      </c>
      <c r="H300" s="8">
        <f>IFERROR(_xlfn.XLOOKUP(A300, 'Opening stock'!A300:A899, 'Opening stock'!E300:E899), "")</f>
        <v>840</v>
      </c>
      <c r="I300" s="8">
        <f>IFERROR(SUMIF(Table3[Item ID],'Inventory calculations'!A300,Table3[Quantity]),0)</f>
        <v>224</v>
      </c>
      <c r="J300" s="8">
        <f>IFERROR(SUMIF(Table4[Item ID],'Inventory calculations'!A300,Table4[Quantity Purchased]),0)</f>
        <v>10</v>
      </c>
      <c r="K300" s="10">
        <f t="shared" si="18"/>
        <v>626</v>
      </c>
      <c r="L300" s="6" t="str">
        <f t="shared" si="19"/>
        <v>OK</v>
      </c>
      <c r="M300" s="13">
        <f t="shared" si="16"/>
        <v>990657.52</v>
      </c>
      <c r="N300" s="8">
        <f>Table5[[#This Row],[Total Qty Sold]]*Table5[[#This Row],[Unit Price]]</f>
        <v>471403.52000000002</v>
      </c>
      <c r="O300" s="9">
        <f>IFERROR(_xlfn.MAXIFS(Table3[Date],Table3[Item ID],Table5[[#This Row],[Item ID]]),"")</f>
        <v>45988</v>
      </c>
      <c r="P300" s="40">
        <f ca="1">IF(Table5[[#This Row],[Last sale Date]]="","Never Sold",TODAY()-Table5[[#This Row],[Last sale Date]])</f>
        <v>64</v>
      </c>
      <c r="Q300" s="6" t="str">
        <f>IF(Table5[[#This Row],[Re order Level]]&lt;=Table5[[#This Row],[Current stock]],"ORDERASAP","OK BUT BE CHECKING")</f>
        <v>OK BUT BE CHECKING</v>
      </c>
      <c r="R300" s="6" t="str">
        <f t="shared" si="17"/>
        <v>ACTIVE</v>
      </c>
      <c r="S300" s="8">
        <f>IF(Table5[[#This Row],[DEADSTOCK FLAG]]="DEAD",Table5[[#This Row],[Inventory Value]],0)</f>
        <v>0</v>
      </c>
    </row>
    <row r="301" spans="1:19" x14ac:dyDescent="0.25">
      <c r="A301" s="24" t="str">
        <f>'Inventory master'!A301</f>
        <v>ITEM300-A</v>
      </c>
      <c r="B301" s="6" t="str">
        <f>'Inventory master'!B301</f>
        <v>Fusion Splicer</v>
      </c>
      <c r="C301" s="6" t="str">
        <f>'Inventory master'!C301</f>
        <v>Splicers</v>
      </c>
      <c r="D301" s="6" t="str">
        <f>'Inventory master'!D301</f>
        <v>Huber+Suhner</v>
      </c>
      <c r="E301" s="10" t="str">
        <f>'Inventory master'!E301</f>
        <v>256.85</v>
      </c>
      <c r="F301" s="10" t="str">
        <f>'Inventory master'!F301</f>
        <v>390.75</v>
      </c>
      <c r="G301" s="10" t="str">
        <f>'Inventory master'!G301</f>
        <v>53</v>
      </c>
      <c r="H301" s="8">
        <f>IFERROR(_xlfn.XLOOKUP(A301, 'Opening stock'!A301:A900, 'Opening stock'!E301:E900), "")</f>
        <v>795</v>
      </c>
      <c r="I301" s="8">
        <f>IFERROR(SUMIF(Table3[Item ID],'Inventory calculations'!A301,Table3[Quantity]),0)</f>
        <v>0</v>
      </c>
      <c r="J301" s="8">
        <f>IFERROR(SUMIF(Table4[Item ID],'Inventory calculations'!A301,Table4[Quantity Purchased]),0)</f>
        <v>0</v>
      </c>
      <c r="K301" s="10">
        <f t="shared" si="18"/>
        <v>795</v>
      </c>
      <c r="L301" s="6" t="str">
        <f t="shared" si="19"/>
        <v>OK</v>
      </c>
      <c r="M301" s="13">
        <f t="shared" si="16"/>
        <v>204195.75000000003</v>
      </c>
      <c r="N301" s="8">
        <f>Table5[[#This Row],[Total Qty Sold]]*Table5[[#This Row],[Unit Price]]</f>
        <v>0</v>
      </c>
      <c r="O301" s="9"/>
      <c r="P301" s="40" t="str">
        <f ca="1">IF(Table5[[#This Row],[Last sale Date]]="","Never Sold",TODAY()-Table5[[#This Row],[Last sale Date]])</f>
        <v>Never Sold</v>
      </c>
      <c r="Q301" s="6" t="str">
        <f>IF(Table5[[#This Row],[Re order Level]]&lt;=Table5[[#This Row],[Current stock]],"ORDERASAP","OK BUT BE CHECKING")</f>
        <v>OK BUT BE CHECKING</v>
      </c>
      <c r="R301" s="6" t="str">
        <f t="shared" si="17"/>
        <v>ACTIVE</v>
      </c>
      <c r="S301" s="8">
        <f>IF(Table5[[#This Row],[DEADSTOCK FLAG]]="DEAD",Table5[[#This Row],[Inventory Value]],0)</f>
        <v>0</v>
      </c>
    </row>
    <row r="302" spans="1:19" x14ac:dyDescent="0.25">
      <c r="A302" s="24" t="str">
        <f>'Inventory master'!A302</f>
        <v>ITEM301-A</v>
      </c>
      <c r="B302" s="6" t="str">
        <f>'Inventory master'!B302</f>
        <v>Fiber Pigtail</v>
      </c>
      <c r="C302" s="6" t="str">
        <f>'Inventory master'!C302</f>
        <v>Accessories</v>
      </c>
      <c r="D302" s="6" t="str">
        <f>'Inventory master'!D302</f>
        <v>Amphenol</v>
      </c>
      <c r="E302" s="10" t="str">
        <f>'Inventory master'!E302</f>
        <v>1311.91</v>
      </c>
      <c r="F302" s="10" t="str">
        <f>'Inventory master'!F302</f>
        <v>1845.26</v>
      </c>
      <c r="G302" s="10" t="str">
        <f>'Inventory master'!G302</f>
        <v>41</v>
      </c>
      <c r="H302" s="8">
        <f>IFERROR(_xlfn.XLOOKUP(A302, 'Opening stock'!A302:A901, 'Opening stock'!E302:E901), "")</f>
        <v>615</v>
      </c>
      <c r="I302" s="8">
        <f>IFERROR(SUMIF(Table3[Item ID],'Inventory calculations'!A302,Table3[Quantity]),0)</f>
        <v>0</v>
      </c>
      <c r="J302" s="8">
        <f>IFERROR(SUMIF(Table4[Item ID],'Inventory calculations'!A302,Table4[Quantity Purchased]),0)</f>
        <v>0</v>
      </c>
      <c r="K302" s="10">
        <f t="shared" si="18"/>
        <v>615</v>
      </c>
      <c r="L302" s="6" t="str">
        <f t="shared" si="19"/>
        <v>OK</v>
      </c>
      <c r="M302" s="13">
        <f t="shared" si="16"/>
        <v>806824.65</v>
      </c>
      <c r="N302" s="8">
        <f>Table5[[#This Row],[Total Qty Sold]]*Table5[[#This Row],[Unit Price]]</f>
        <v>0</v>
      </c>
      <c r="O302" s="9"/>
      <c r="P302" s="40" t="str">
        <f ca="1">IF(Table5[[#This Row],[Last sale Date]]="","Never Sold",TODAY()-Table5[[#This Row],[Last sale Date]])</f>
        <v>Never Sold</v>
      </c>
      <c r="Q302" s="6" t="str">
        <f>IF(Table5[[#This Row],[Re order Level]]&lt;=Table5[[#This Row],[Current stock]],"ORDERASAP","OK BUT BE CHECKING")</f>
        <v>OK BUT BE CHECKING</v>
      </c>
      <c r="R302" s="6" t="str">
        <f t="shared" si="17"/>
        <v>ACTIVE</v>
      </c>
      <c r="S302" s="8">
        <f>IF(Table5[[#This Row],[DEADSTOCK FLAG]]="DEAD",Table5[[#This Row],[Inventory Value]],0)</f>
        <v>0</v>
      </c>
    </row>
    <row r="303" spans="1:19" x14ac:dyDescent="0.25">
      <c r="A303" s="24" t="str">
        <f>'Inventory master'!A303</f>
        <v>ITEM302-A</v>
      </c>
      <c r="B303" s="6" t="str">
        <f>'Inventory master'!B303</f>
        <v>Fixed Attenuator 2dB</v>
      </c>
      <c r="C303" s="6" t="str">
        <f>'Inventory master'!C303</f>
        <v>Attenuators</v>
      </c>
      <c r="D303" s="6" t="str">
        <f>'Inventory master'!D303</f>
        <v>AFL</v>
      </c>
      <c r="E303" s="10" t="str">
        <f>'Inventory master'!E303</f>
        <v>103.12</v>
      </c>
      <c r="F303" s="10" t="str">
        <f>'Inventory master'!F303</f>
        <v>175.86</v>
      </c>
      <c r="G303" s="10" t="str">
        <f>'Inventory master'!G303</f>
        <v>43</v>
      </c>
      <c r="H303" s="8">
        <f>IFERROR(_xlfn.XLOOKUP(A303, 'Opening stock'!A303:A902, 'Opening stock'!E303:E902), "")</f>
        <v>645</v>
      </c>
      <c r="I303" s="8">
        <f>IFERROR(SUMIF(Table3[Item ID],'Inventory calculations'!A303,Table3[Quantity]),0)</f>
        <v>0</v>
      </c>
      <c r="J303" s="8">
        <f>IFERROR(SUMIF(Table4[Item ID],'Inventory calculations'!A303,Table4[Quantity Purchased]),0)</f>
        <v>5</v>
      </c>
      <c r="K303" s="10">
        <f t="shared" si="18"/>
        <v>650</v>
      </c>
      <c r="L303" s="6" t="str">
        <f t="shared" si="19"/>
        <v>OK</v>
      </c>
      <c r="M303" s="13">
        <f t="shared" si="16"/>
        <v>67028</v>
      </c>
      <c r="N303" s="8">
        <f>Table5[[#This Row],[Total Qty Sold]]*Table5[[#This Row],[Unit Price]]</f>
        <v>0</v>
      </c>
      <c r="O303" s="9"/>
      <c r="P303" s="40" t="str">
        <f ca="1">IF(Table5[[#This Row],[Last sale Date]]="","Never Sold",TODAY()-Table5[[#This Row],[Last sale Date]])</f>
        <v>Never Sold</v>
      </c>
      <c r="Q303" s="6" t="str">
        <f>IF(Table5[[#This Row],[Re order Level]]&lt;=Table5[[#This Row],[Current stock]],"ORDERASAP","OK BUT BE CHECKING")</f>
        <v>OK BUT BE CHECKING</v>
      </c>
      <c r="R303" s="6" t="str">
        <f t="shared" si="17"/>
        <v>ACTIVE</v>
      </c>
      <c r="S303" s="8">
        <f>IF(Table5[[#This Row],[DEADSTOCK FLAG]]="DEAD",Table5[[#This Row],[Inventory Value]],0)</f>
        <v>0</v>
      </c>
    </row>
    <row r="304" spans="1:19" x14ac:dyDescent="0.25">
      <c r="A304" s="24" t="str">
        <f>'Inventory master'!A304</f>
        <v>ITEM303-A</v>
      </c>
      <c r="B304" s="6" t="str">
        <f>'Inventory master'!B304</f>
        <v>Fiber Cleaner</v>
      </c>
      <c r="C304" s="6" t="str">
        <f>'Inventory master'!C304</f>
        <v>Accessories</v>
      </c>
      <c r="D304" s="6" t="str">
        <f>'Inventory master'!D304</f>
        <v>Amphenol</v>
      </c>
      <c r="E304" s="10" t="str">
        <f>'Inventory master'!E304</f>
        <v>1885.35</v>
      </c>
      <c r="F304" s="10" t="str">
        <f>'Inventory master'!F304</f>
        <v>3037.35</v>
      </c>
      <c r="G304" s="10" t="str">
        <f>'Inventory master'!G304</f>
        <v>30</v>
      </c>
      <c r="H304" s="8">
        <f>IFERROR(_xlfn.XLOOKUP(A304, 'Opening stock'!A304:A903, 'Opening stock'!E304:E903), "")</f>
        <v>450</v>
      </c>
      <c r="I304" s="8">
        <f>IFERROR(SUMIF(Table3[Item ID],'Inventory calculations'!A304,Table3[Quantity]),0)</f>
        <v>0</v>
      </c>
      <c r="J304" s="8">
        <f>IFERROR(SUMIF(Table4[Item ID],'Inventory calculations'!A304,Table4[Quantity Purchased]),0)</f>
        <v>14</v>
      </c>
      <c r="K304" s="10">
        <f t="shared" si="18"/>
        <v>464</v>
      </c>
      <c r="L304" s="6" t="str">
        <f t="shared" si="19"/>
        <v>OK</v>
      </c>
      <c r="M304" s="13">
        <f t="shared" si="16"/>
        <v>874802.39999999991</v>
      </c>
      <c r="N304" s="8">
        <f>Table5[[#This Row],[Total Qty Sold]]*Table5[[#This Row],[Unit Price]]</f>
        <v>0</v>
      </c>
      <c r="O304" s="9"/>
      <c r="P304" s="40" t="str">
        <f ca="1">IF(Table5[[#This Row],[Last sale Date]]="","Never Sold",TODAY()-Table5[[#This Row],[Last sale Date]])</f>
        <v>Never Sold</v>
      </c>
      <c r="Q304" s="6" t="str">
        <f>IF(Table5[[#This Row],[Re order Level]]&lt;=Table5[[#This Row],[Current stock]],"ORDERASAP","OK BUT BE CHECKING")</f>
        <v>OK BUT BE CHECKING</v>
      </c>
      <c r="R304" s="6" t="str">
        <f t="shared" si="17"/>
        <v>ACTIVE</v>
      </c>
      <c r="S304" s="8">
        <f>IF(Table5[[#This Row],[DEADSTOCK FLAG]]="DEAD",Table5[[#This Row],[Inventory Value]],0)</f>
        <v>0</v>
      </c>
    </row>
    <row r="305" spans="1:19" x14ac:dyDescent="0.25">
      <c r="A305" s="24" t="str">
        <f>'Inventory master'!A305</f>
        <v>ITEM304-A</v>
      </c>
      <c r="B305" s="6" t="str">
        <f>'Inventory master'!B305</f>
        <v>12-Port Fiber Patch Panel</v>
      </c>
      <c r="C305" s="6" t="str">
        <f>'Inventory master'!C305</f>
        <v>Patch Panels</v>
      </c>
      <c r="D305" s="6" t="str">
        <f>'Inventory master'!D305</f>
        <v>HellermannTyton</v>
      </c>
      <c r="E305" s="10" t="str">
        <f>'Inventory master'!E305</f>
        <v>1638.34</v>
      </c>
      <c r="F305" s="10" t="str">
        <f>'Inventory master'!F305</f>
        <v>2790.54</v>
      </c>
      <c r="G305" s="10" t="str">
        <f>'Inventory master'!G305</f>
        <v>11</v>
      </c>
      <c r="H305" s="8">
        <f>IFERROR(_xlfn.XLOOKUP(A305, 'Opening stock'!A305:A904, 'Opening stock'!E305:E904), "")</f>
        <v>165</v>
      </c>
      <c r="I305" s="8">
        <f>IFERROR(SUMIF(Table3[Item ID],'Inventory calculations'!A305,Table3[Quantity]),0)</f>
        <v>32</v>
      </c>
      <c r="J305" s="8">
        <f>IFERROR(SUMIF(Table4[Item ID],'Inventory calculations'!A305,Table4[Quantity Purchased]),0)</f>
        <v>0</v>
      </c>
      <c r="K305" s="10">
        <f t="shared" si="18"/>
        <v>133</v>
      </c>
      <c r="L305" s="6" t="str">
        <f t="shared" si="19"/>
        <v>OK</v>
      </c>
      <c r="M305" s="13">
        <f t="shared" si="16"/>
        <v>217899.22</v>
      </c>
      <c r="N305" s="8">
        <f>Table5[[#This Row],[Total Qty Sold]]*Table5[[#This Row],[Unit Price]]</f>
        <v>89297.279999999999</v>
      </c>
      <c r="O305" s="9">
        <f>IFERROR(_xlfn.MAXIFS(Table3[Date],Table3[Item ID],Table5[[#This Row],[Item ID]]),"")</f>
        <v>45743</v>
      </c>
      <c r="P305" s="40">
        <f ca="1">IF(Table5[[#This Row],[Last sale Date]]="","Never Sold",TODAY()-Table5[[#This Row],[Last sale Date]])</f>
        <v>309</v>
      </c>
      <c r="Q305" s="6" t="str">
        <f>IF(Table5[[#This Row],[Re order Level]]&lt;=Table5[[#This Row],[Current stock]],"ORDERASAP","OK BUT BE CHECKING")</f>
        <v>OK BUT BE CHECKING</v>
      </c>
      <c r="R305" s="6" t="str">
        <f t="shared" si="17"/>
        <v>ACTIVE</v>
      </c>
      <c r="S305" s="8">
        <f>IF(Table5[[#This Row],[DEADSTOCK FLAG]]="DEAD",Table5[[#This Row],[Inventory Value]],0)</f>
        <v>0</v>
      </c>
    </row>
    <row r="306" spans="1:19" x14ac:dyDescent="0.25">
      <c r="A306" s="24" t="str">
        <f>'Inventory master'!A306</f>
        <v>ITEM305-A</v>
      </c>
      <c r="B306" s="6" t="str">
        <f>'Inventory master'!B306</f>
        <v>Mechanical Splicer</v>
      </c>
      <c r="C306" s="6" t="str">
        <f>'Inventory master'!C306</f>
        <v>Splicers</v>
      </c>
      <c r="D306" s="6" t="str">
        <f>'Inventory master'!D306</f>
        <v>Prysmian Group</v>
      </c>
      <c r="E306" s="10" t="str">
        <f>'Inventory master'!E306</f>
        <v>1490.64</v>
      </c>
      <c r="F306" s="10" t="str">
        <f>'Inventory master'!F306</f>
        <v>2123.31</v>
      </c>
      <c r="G306" s="10" t="str">
        <f>'Inventory master'!G306</f>
        <v>16</v>
      </c>
      <c r="H306" s="8">
        <f>IFERROR(_xlfn.XLOOKUP(A306, 'Opening stock'!A306:A905, 'Opening stock'!E306:E905), "")</f>
        <v>240</v>
      </c>
      <c r="I306" s="8">
        <f>IFERROR(SUMIF(Table3[Item ID],'Inventory calculations'!A306,Table3[Quantity]),0)</f>
        <v>0</v>
      </c>
      <c r="J306" s="8">
        <f>IFERROR(SUMIF(Table4[Item ID],'Inventory calculations'!A306,Table4[Quantity Purchased]),0)</f>
        <v>0</v>
      </c>
      <c r="K306" s="10">
        <f t="shared" si="18"/>
        <v>240</v>
      </c>
      <c r="L306" s="6" t="str">
        <f t="shared" si="19"/>
        <v>OK</v>
      </c>
      <c r="M306" s="13">
        <f t="shared" si="16"/>
        <v>357753.60000000003</v>
      </c>
      <c r="N306" s="8">
        <f>Table5[[#This Row],[Total Qty Sold]]*Table5[[#This Row],[Unit Price]]</f>
        <v>0</v>
      </c>
      <c r="O306" s="9"/>
      <c r="P306" s="40" t="str">
        <f ca="1">IF(Table5[[#This Row],[Last sale Date]]="","Never Sold",TODAY()-Table5[[#This Row],[Last sale Date]])</f>
        <v>Never Sold</v>
      </c>
      <c r="Q306" s="6" t="str">
        <f>IF(Table5[[#This Row],[Re order Level]]&lt;=Table5[[#This Row],[Current stock]],"ORDERASAP","OK BUT BE CHECKING")</f>
        <v>OK BUT BE CHECKING</v>
      </c>
      <c r="R306" s="6" t="str">
        <f t="shared" si="17"/>
        <v>ACTIVE</v>
      </c>
      <c r="S306" s="8">
        <f>IF(Table5[[#This Row],[DEADSTOCK FLAG]]="DEAD",Table5[[#This Row],[Inventory Value]],0)</f>
        <v>0</v>
      </c>
    </row>
    <row r="307" spans="1:19" x14ac:dyDescent="0.25">
      <c r="A307" s="24" t="str">
        <f>'Inventory master'!A307</f>
        <v>ITEM306-A</v>
      </c>
      <c r="B307" s="6" t="str">
        <f>'Inventory master'!B307</f>
        <v>48-Port Fiber Patch Panel</v>
      </c>
      <c r="C307" s="6" t="str">
        <f>'Inventory master'!C307</f>
        <v>Patch Panels</v>
      </c>
      <c r="D307" s="6" t="str">
        <f>'Inventory master'!D307</f>
        <v>TE Connectivity</v>
      </c>
      <c r="E307" s="10" t="str">
        <f>'Inventory master'!E307</f>
        <v>578.42</v>
      </c>
      <c r="F307" s="10" t="str">
        <f>'Inventory master'!F307</f>
        <v>1092.52</v>
      </c>
      <c r="G307" s="10" t="str">
        <f>'Inventory master'!G307</f>
        <v>70</v>
      </c>
      <c r="H307" s="8">
        <f>IFERROR(_xlfn.XLOOKUP(A307, 'Opening stock'!A307:A906, 'Opening stock'!E307:E906), "")</f>
        <v>1050</v>
      </c>
      <c r="I307" s="8">
        <f>IFERROR(SUMIF(Table3[Item ID],'Inventory calculations'!A307,Table3[Quantity]),0)</f>
        <v>0</v>
      </c>
      <c r="J307" s="8">
        <f>IFERROR(SUMIF(Table4[Item ID],'Inventory calculations'!A307,Table4[Quantity Purchased]),0)</f>
        <v>13</v>
      </c>
      <c r="K307" s="10">
        <f t="shared" si="18"/>
        <v>1063</v>
      </c>
      <c r="L307" s="6" t="str">
        <f t="shared" si="19"/>
        <v>OK</v>
      </c>
      <c r="M307" s="13">
        <f t="shared" si="16"/>
        <v>614860.46</v>
      </c>
      <c r="N307" s="8">
        <f>Table5[[#This Row],[Total Qty Sold]]*Table5[[#This Row],[Unit Price]]</f>
        <v>0</v>
      </c>
      <c r="O307" s="9"/>
      <c r="P307" s="40" t="str">
        <f ca="1">IF(Table5[[#This Row],[Last sale Date]]="","Never Sold",TODAY()-Table5[[#This Row],[Last sale Date]])</f>
        <v>Never Sold</v>
      </c>
      <c r="Q307" s="6" t="str">
        <f>IF(Table5[[#This Row],[Re order Level]]&lt;=Table5[[#This Row],[Current stock]],"ORDERASAP","OK BUT BE CHECKING")</f>
        <v>OK BUT BE CHECKING</v>
      </c>
      <c r="R307" s="6" t="str">
        <f t="shared" si="17"/>
        <v>ACTIVE</v>
      </c>
      <c r="S307" s="8">
        <f>IF(Table5[[#This Row],[DEADSTOCK FLAG]]="DEAD",Table5[[#This Row],[Inventory Value]],0)</f>
        <v>0</v>
      </c>
    </row>
    <row r="308" spans="1:19" x14ac:dyDescent="0.25">
      <c r="A308" s="24" t="str">
        <f>'Inventory master'!A308</f>
        <v>ITEM307-A</v>
      </c>
      <c r="B308" s="6" t="str">
        <f>'Inventory master'!B308</f>
        <v>Multi-Mode Fiber Cable 100m</v>
      </c>
      <c r="C308" s="6" t="str">
        <f>'Inventory master'!C308</f>
        <v>Fiber Optic Cables</v>
      </c>
      <c r="D308" s="6" t="str">
        <f>'Inventory master'!D308</f>
        <v>Panduit</v>
      </c>
      <c r="E308" s="10" t="str">
        <f>'Inventory master'!E308</f>
        <v>1088.18</v>
      </c>
      <c r="F308" s="10" t="str">
        <f>'Inventory master'!F308</f>
        <v>2031.2</v>
      </c>
      <c r="G308" s="10" t="str">
        <f>'Inventory master'!G308</f>
        <v>24</v>
      </c>
      <c r="H308" s="8">
        <f>IFERROR(_xlfn.XLOOKUP(A308, 'Opening stock'!A308:A907, 'Opening stock'!E308:E907), "")</f>
        <v>360</v>
      </c>
      <c r="I308" s="8">
        <f>IFERROR(SUMIF(Table3[Item ID],'Inventory calculations'!A308,Table3[Quantity]),0)</f>
        <v>7</v>
      </c>
      <c r="J308" s="8">
        <f>IFERROR(SUMIF(Table4[Item ID],'Inventory calculations'!A308,Table4[Quantity Purchased]),0)</f>
        <v>33</v>
      </c>
      <c r="K308" s="10">
        <f t="shared" si="18"/>
        <v>386</v>
      </c>
      <c r="L308" s="6" t="str">
        <f t="shared" si="19"/>
        <v>OK</v>
      </c>
      <c r="M308" s="13">
        <f t="shared" si="16"/>
        <v>420037.48000000004</v>
      </c>
      <c r="N308" s="8">
        <f>Table5[[#This Row],[Total Qty Sold]]*Table5[[#This Row],[Unit Price]]</f>
        <v>14218.4</v>
      </c>
      <c r="O308" s="9">
        <f>IFERROR(_xlfn.MAXIFS(Table3[Date],Table3[Item ID],Table5[[#This Row],[Item ID]]),"")</f>
        <v>45346</v>
      </c>
      <c r="P308" s="40">
        <f ca="1">IF(Table5[[#This Row],[Last sale Date]]="","Never Sold",TODAY()-Table5[[#This Row],[Last sale Date]])</f>
        <v>706</v>
      </c>
      <c r="Q308" s="6" t="str">
        <f>IF(Table5[[#This Row],[Re order Level]]&lt;=Table5[[#This Row],[Current stock]],"ORDERASAP","OK BUT BE CHECKING")</f>
        <v>OK BUT BE CHECKING</v>
      </c>
      <c r="R308" s="6" t="str">
        <f t="shared" si="17"/>
        <v>ACTIVE</v>
      </c>
      <c r="S308" s="8">
        <f>IF(Table5[[#This Row],[DEADSTOCK FLAG]]="DEAD",Table5[[#This Row],[Inventory Value]],0)</f>
        <v>0</v>
      </c>
    </row>
    <row r="309" spans="1:19" x14ac:dyDescent="0.25">
      <c r="A309" s="24" t="str">
        <f>'Inventory master'!A309</f>
        <v>ITEM308-A</v>
      </c>
      <c r="B309" s="6" t="str">
        <f>'Inventory master'!B309</f>
        <v>1x32 PLC Splitter</v>
      </c>
      <c r="C309" s="6" t="str">
        <f>'Inventory master'!C309</f>
        <v>Splitters</v>
      </c>
      <c r="D309" s="6" t="str">
        <f>'Inventory master'!D309</f>
        <v>Siemon</v>
      </c>
      <c r="E309" s="10" t="str">
        <f>'Inventory master'!E309</f>
        <v>288.0</v>
      </c>
      <c r="F309" s="10" t="str">
        <f>'Inventory master'!F309</f>
        <v>405.42</v>
      </c>
      <c r="G309" s="10" t="str">
        <f>'Inventory master'!G309</f>
        <v>23</v>
      </c>
      <c r="H309" s="8">
        <f>IFERROR(_xlfn.XLOOKUP(A309, 'Opening stock'!A309:A908, 'Opening stock'!E309:E908), "")</f>
        <v>345</v>
      </c>
      <c r="I309" s="8">
        <f>IFERROR(SUMIF(Table3[Item ID],'Inventory calculations'!A309,Table3[Quantity]),0)</f>
        <v>0</v>
      </c>
      <c r="J309" s="8">
        <f>IFERROR(SUMIF(Table4[Item ID],'Inventory calculations'!A309,Table4[Quantity Purchased]),0)</f>
        <v>5</v>
      </c>
      <c r="K309" s="10">
        <f t="shared" si="18"/>
        <v>350</v>
      </c>
      <c r="L309" s="6" t="str">
        <f t="shared" si="19"/>
        <v>OK</v>
      </c>
      <c r="M309" s="13">
        <f t="shared" si="16"/>
        <v>100800</v>
      </c>
      <c r="N309" s="8">
        <f>Table5[[#This Row],[Total Qty Sold]]*Table5[[#This Row],[Unit Price]]</f>
        <v>0</v>
      </c>
      <c r="O309" s="9"/>
      <c r="P309" s="40" t="str">
        <f ca="1">IF(Table5[[#This Row],[Last sale Date]]="","Never Sold",TODAY()-Table5[[#This Row],[Last sale Date]])</f>
        <v>Never Sold</v>
      </c>
      <c r="Q309" s="6" t="str">
        <f>IF(Table5[[#This Row],[Re order Level]]&lt;=Table5[[#This Row],[Current stock]],"ORDERASAP","OK BUT BE CHECKING")</f>
        <v>OK BUT BE CHECKING</v>
      </c>
      <c r="R309" s="6" t="str">
        <f t="shared" si="17"/>
        <v>ACTIVE</v>
      </c>
      <c r="S309" s="8">
        <f>IF(Table5[[#This Row],[DEADSTOCK FLAG]]="DEAD",Table5[[#This Row],[Inventory Value]],0)</f>
        <v>0</v>
      </c>
    </row>
    <row r="310" spans="1:19" x14ac:dyDescent="0.25">
      <c r="A310" s="24" t="str">
        <f>'Inventory master'!A310</f>
        <v>ITEM309-A</v>
      </c>
      <c r="B310" s="6" t="str">
        <f>'Inventory master'!B310</f>
        <v>Mechanical Splicer</v>
      </c>
      <c r="C310" s="6" t="str">
        <f>'Inventory master'!C310</f>
        <v>Splicers</v>
      </c>
      <c r="D310" s="6" t="str">
        <f>'Inventory master'!D310</f>
        <v>AFL</v>
      </c>
      <c r="E310" s="10" t="str">
        <f>'Inventory master'!E310</f>
        <v>1810.9</v>
      </c>
      <c r="F310" s="10" t="str">
        <f>'Inventory master'!F310</f>
        <v>3566.87</v>
      </c>
      <c r="G310" s="10" t="str">
        <f>'Inventory master'!G310</f>
        <v>88</v>
      </c>
      <c r="H310" s="8">
        <f>IFERROR(_xlfn.XLOOKUP(A310, 'Opening stock'!A310:A909, 'Opening stock'!E310:E909), "")</f>
        <v>1320</v>
      </c>
      <c r="I310" s="8">
        <f>IFERROR(SUMIF(Table3[Item ID],'Inventory calculations'!A310,Table3[Quantity]),0)</f>
        <v>0</v>
      </c>
      <c r="J310" s="8">
        <f>IFERROR(SUMIF(Table4[Item ID],'Inventory calculations'!A310,Table4[Quantity Purchased]),0)</f>
        <v>13</v>
      </c>
      <c r="K310" s="10">
        <f t="shared" si="18"/>
        <v>1333</v>
      </c>
      <c r="L310" s="6" t="str">
        <f t="shared" si="19"/>
        <v>OK</v>
      </c>
      <c r="M310" s="13">
        <f t="shared" si="16"/>
        <v>2413929.7000000002</v>
      </c>
      <c r="N310" s="8">
        <f>Table5[[#This Row],[Total Qty Sold]]*Table5[[#This Row],[Unit Price]]</f>
        <v>0</v>
      </c>
      <c r="O310" s="9"/>
      <c r="P310" s="40" t="str">
        <f ca="1">IF(Table5[[#This Row],[Last sale Date]]="","Never Sold",TODAY()-Table5[[#This Row],[Last sale Date]])</f>
        <v>Never Sold</v>
      </c>
      <c r="Q310" s="6" t="str">
        <f>IF(Table5[[#This Row],[Re order Level]]&lt;=Table5[[#This Row],[Current stock]],"ORDERASAP","OK BUT BE CHECKING")</f>
        <v>OK BUT BE CHECKING</v>
      </c>
      <c r="R310" s="6" t="str">
        <f t="shared" si="17"/>
        <v>ACTIVE</v>
      </c>
      <c r="S310" s="8">
        <f>IF(Table5[[#This Row],[DEADSTOCK FLAG]]="DEAD",Table5[[#This Row],[Inventory Value]],0)</f>
        <v>0</v>
      </c>
    </row>
    <row r="311" spans="1:19" x14ac:dyDescent="0.25">
      <c r="A311" s="24" t="str">
        <f>'Inventory master'!A311</f>
        <v>ITEM310-A</v>
      </c>
      <c r="B311" s="6" t="str">
        <f>'Inventory master'!B311</f>
        <v>SFP+ Transceiver</v>
      </c>
      <c r="C311" s="6" t="str">
        <f>'Inventory master'!C311</f>
        <v>Transceivers</v>
      </c>
      <c r="D311" s="6" t="str">
        <f>'Inventory master'!D311</f>
        <v>Panduit</v>
      </c>
      <c r="E311" s="10" t="str">
        <f>'Inventory master'!E311</f>
        <v>145.45</v>
      </c>
      <c r="F311" s="10" t="str">
        <f>'Inventory master'!F311</f>
        <v>250.4</v>
      </c>
      <c r="G311" s="10" t="str">
        <f>'Inventory master'!G311</f>
        <v>55</v>
      </c>
      <c r="H311" s="8">
        <f>IFERROR(_xlfn.XLOOKUP(A311, 'Opening stock'!A311:A910, 'Opening stock'!E311:E910), "")</f>
        <v>825</v>
      </c>
      <c r="I311" s="8">
        <f>IFERROR(SUMIF(Table3[Item ID],'Inventory calculations'!A311,Table3[Quantity]),0)</f>
        <v>0</v>
      </c>
      <c r="J311" s="8">
        <f>IFERROR(SUMIF(Table4[Item ID],'Inventory calculations'!A311,Table4[Quantity Purchased]),0)</f>
        <v>17</v>
      </c>
      <c r="K311" s="10">
        <f t="shared" si="18"/>
        <v>842</v>
      </c>
      <c r="L311" s="6" t="str">
        <f t="shared" si="19"/>
        <v>OK</v>
      </c>
      <c r="M311" s="13">
        <f t="shared" si="16"/>
        <v>122468.9</v>
      </c>
      <c r="N311" s="8">
        <f>Table5[[#This Row],[Total Qty Sold]]*Table5[[#This Row],[Unit Price]]</f>
        <v>0</v>
      </c>
      <c r="O311" s="9"/>
      <c r="P311" s="40" t="str">
        <f ca="1">IF(Table5[[#This Row],[Last sale Date]]="","Never Sold",TODAY()-Table5[[#This Row],[Last sale Date]])</f>
        <v>Never Sold</v>
      </c>
      <c r="Q311" s="6" t="str">
        <f>IF(Table5[[#This Row],[Re order Level]]&lt;=Table5[[#This Row],[Current stock]],"ORDERASAP","OK BUT BE CHECKING")</f>
        <v>OK BUT BE CHECKING</v>
      </c>
      <c r="R311" s="6" t="str">
        <f t="shared" si="17"/>
        <v>ACTIVE</v>
      </c>
      <c r="S311" s="8">
        <f>IF(Table5[[#This Row],[DEADSTOCK FLAG]]="DEAD",Table5[[#This Row],[Inventory Value]],0)</f>
        <v>0</v>
      </c>
    </row>
    <row r="312" spans="1:19" x14ac:dyDescent="0.25">
      <c r="A312" s="24" t="str">
        <f>'Inventory master'!A312</f>
        <v>ITEM311-A</v>
      </c>
      <c r="B312" s="6" t="str">
        <f>'Inventory master'!B312</f>
        <v>CFP Transceiver</v>
      </c>
      <c r="C312" s="6" t="str">
        <f>'Inventory master'!C312</f>
        <v>Transceivers</v>
      </c>
      <c r="D312" s="6" t="str">
        <f>'Inventory master'!D312</f>
        <v>CommScope</v>
      </c>
      <c r="E312" s="10" t="str">
        <f>'Inventory master'!E312</f>
        <v>1852.09</v>
      </c>
      <c r="F312" s="10" t="str">
        <f>'Inventory master'!F312</f>
        <v>2999.47</v>
      </c>
      <c r="G312" s="10" t="str">
        <f>'Inventory master'!G312</f>
        <v>52</v>
      </c>
      <c r="H312" s="8">
        <f>IFERROR(_xlfn.XLOOKUP(A312, 'Opening stock'!A312:A911, 'Opening stock'!E312:E911), "")</f>
        <v>780</v>
      </c>
      <c r="I312" s="8">
        <f>IFERROR(SUMIF(Table3[Item ID],'Inventory calculations'!A312,Table3[Quantity]),0)</f>
        <v>0</v>
      </c>
      <c r="J312" s="8">
        <f>IFERROR(SUMIF(Table4[Item ID],'Inventory calculations'!A312,Table4[Quantity Purchased]),0)</f>
        <v>0</v>
      </c>
      <c r="K312" s="10">
        <f t="shared" si="18"/>
        <v>780</v>
      </c>
      <c r="L312" s="6" t="str">
        <f t="shared" si="19"/>
        <v>OK</v>
      </c>
      <c r="M312" s="13">
        <f t="shared" si="16"/>
        <v>1444630.2</v>
      </c>
      <c r="N312" s="8">
        <f>Table5[[#This Row],[Total Qty Sold]]*Table5[[#This Row],[Unit Price]]</f>
        <v>0</v>
      </c>
      <c r="O312" s="9"/>
      <c r="P312" s="40" t="str">
        <f ca="1">IF(Table5[[#This Row],[Last sale Date]]="","Never Sold",TODAY()-Table5[[#This Row],[Last sale Date]])</f>
        <v>Never Sold</v>
      </c>
      <c r="Q312" s="6" t="str">
        <f>IF(Table5[[#This Row],[Re order Level]]&lt;=Table5[[#This Row],[Current stock]],"ORDERASAP","OK BUT BE CHECKING")</f>
        <v>OK BUT BE CHECKING</v>
      </c>
      <c r="R312" s="6" t="str">
        <f t="shared" si="17"/>
        <v>ACTIVE</v>
      </c>
      <c r="S312" s="8">
        <f>IF(Table5[[#This Row],[DEADSTOCK FLAG]]="DEAD",Table5[[#This Row],[Inventory Value]],0)</f>
        <v>0</v>
      </c>
    </row>
    <row r="313" spans="1:19" x14ac:dyDescent="0.25">
      <c r="A313" s="24" t="str">
        <f>'Inventory master'!A313</f>
        <v>ITEM312-A</v>
      </c>
      <c r="B313" s="6" t="str">
        <f>'Inventory master'!B313</f>
        <v>Fixed Attenuator 20dB</v>
      </c>
      <c r="C313" s="6" t="str">
        <f>'Inventory master'!C313</f>
        <v>Attenuators</v>
      </c>
      <c r="D313" s="6" t="str">
        <f>'Inventory master'!D313</f>
        <v>HellermannTyton</v>
      </c>
      <c r="E313" s="10" t="str">
        <f>'Inventory master'!E313</f>
        <v>1214.63</v>
      </c>
      <c r="F313" s="10" t="str">
        <f>'Inventory master'!F313</f>
        <v>2393.22</v>
      </c>
      <c r="G313" s="10" t="str">
        <f>'Inventory master'!G313</f>
        <v>100</v>
      </c>
      <c r="H313" s="8">
        <f>IFERROR(_xlfn.XLOOKUP(A313, 'Opening stock'!A313:A912, 'Opening stock'!E313:E912), "")</f>
        <v>1500</v>
      </c>
      <c r="I313" s="8">
        <f>IFERROR(SUMIF(Table3[Item ID],'Inventory calculations'!A313,Table3[Quantity]),0)</f>
        <v>5</v>
      </c>
      <c r="J313" s="8">
        <f>IFERROR(SUMIF(Table4[Item ID],'Inventory calculations'!A313,Table4[Quantity Purchased]),0)</f>
        <v>60</v>
      </c>
      <c r="K313" s="10">
        <f t="shared" si="18"/>
        <v>1555</v>
      </c>
      <c r="L313" s="6" t="str">
        <f t="shared" si="19"/>
        <v>OK</v>
      </c>
      <c r="M313" s="13">
        <f t="shared" si="16"/>
        <v>1888749.6500000001</v>
      </c>
      <c r="N313" s="8">
        <f>Table5[[#This Row],[Total Qty Sold]]*Table5[[#This Row],[Unit Price]]</f>
        <v>11966.099999999999</v>
      </c>
      <c r="O313" s="9">
        <f>IFERROR(_xlfn.MAXIFS(Table3[Date],Table3[Item ID],Table5[[#This Row],[Item ID]]),"")</f>
        <v>45622</v>
      </c>
      <c r="P313" s="40">
        <f ca="1">IF(Table5[[#This Row],[Last sale Date]]="","Never Sold",TODAY()-Table5[[#This Row],[Last sale Date]])</f>
        <v>430</v>
      </c>
      <c r="Q313" s="6" t="str">
        <f>IF(Table5[[#This Row],[Re order Level]]&lt;=Table5[[#This Row],[Current stock]],"ORDERASAP","OK BUT BE CHECKING")</f>
        <v>OK BUT BE CHECKING</v>
      </c>
      <c r="R313" s="6" t="str">
        <f t="shared" si="17"/>
        <v>ACTIVE</v>
      </c>
      <c r="S313" s="8">
        <f>IF(Table5[[#This Row],[DEADSTOCK FLAG]]="DEAD",Table5[[#This Row],[Inventory Value]],0)</f>
        <v>0</v>
      </c>
    </row>
    <row r="314" spans="1:19" x14ac:dyDescent="0.25">
      <c r="A314" s="24" t="str">
        <f>'Inventory master'!A314</f>
        <v>ITEM313-A</v>
      </c>
      <c r="B314" s="6" t="str">
        <f>'Inventory master'!B314</f>
        <v>1x4 PLC Splitter</v>
      </c>
      <c r="C314" s="6" t="str">
        <f>'Inventory master'!C314</f>
        <v>Splitters</v>
      </c>
      <c r="D314" s="6" t="str">
        <f>'Inventory master'!D314</f>
        <v>Huber+Suhner</v>
      </c>
      <c r="E314" s="10" t="str">
        <f>'Inventory master'!E314</f>
        <v>423.38</v>
      </c>
      <c r="F314" s="10" t="str">
        <f>'Inventory master'!F314</f>
        <v>584.81</v>
      </c>
      <c r="G314" s="10" t="str">
        <f>'Inventory master'!G314</f>
        <v>67</v>
      </c>
      <c r="H314" s="8">
        <f>IFERROR(_xlfn.XLOOKUP(A314, 'Opening stock'!A314:A913, 'Opening stock'!E314:E913), "")</f>
        <v>1005</v>
      </c>
      <c r="I314" s="8">
        <f>IFERROR(SUMIF(Table3[Item ID],'Inventory calculations'!A314,Table3[Quantity]),0)</f>
        <v>0</v>
      </c>
      <c r="J314" s="8">
        <f>IFERROR(SUMIF(Table4[Item ID],'Inventory calculations'!A314,Table4[Quantity Purchased]),0)</f>
        <v>0</v>
      </c>
      <c r="K314" s="10">
        <f t="shared" si="18"/>
        <v>1005</v>
      </c>
      <c r="L314" s="6" t="str">
        <f t="shared" si="19"/>
        <v>OK</v>
      </c>
      <c r="M314" s="13">
        <f t="shared" si="16"/>
        <v>425496.9</v>
      </c>
      <c r="N314" s="8">
        <f>Table5[[#This Row],[Total Qty Sold]]*Table5[[#This Row],[Unit Price]]</f>
        <v>0</v>
      </c>
      <c r="O314" s="9"/>
      <c r="P314" s="40" t="str">
        <f ca="1">IF(Table5[[#This Row],[Last sale Date]]="","Never Sold",TODAY()-Table5[[#This Row],[Last sale Date]])</f>
        <v>Never Sold</v>
      </c>
      <c r="Q314" s="6" t="str">
        <f>IF(Table5[[#This Row],[Re order Level]]&lt;=Table5[[#This Row],[Current stock]],"ORDERASAP","OK BUT BE CHECKING")</f>
        <v>OK BUT BE CHECKING</v>
      </c>
      <c r="R314" s="6" t="str">
        <f t="shared" si="17"/>
        <v>ACTIVE</v>
      </c>
      <c r="S314" s="8">
        <f>IF(Table5[[#This Row],[DEADSTOCK FLAG]]="DEAD",Table5[[#This Row],[Inventory Value]],0)</f>
        <v>0</v>
      </c>
    </row>
    <row r="315" spans="1:19" x14ac:dyDescent="0.25">
      <c r="A315" s="24" t="str">
        <f>'Inventory master'!A315</f>
        <v>ITEM314-A</v>
      </c>
      <c r="B315" s="6" t="str">
        <f>'Inventory master'!B315</f>
        <v>Fixed Attenuator 20dB</v>
      </c>
      <c r="C315" s="6" t="str">
        <f>'Inventory master'!C315</f>
        <v>Attenuators</v>
      </c>
      <c r="D315" s="6" t="str">
        <f>'Inventory master'!D315</f>
        <v>Huber+Suhner</v>
      </c>
      <c r="E315" s="10" t="str">
        <f>'Inventory master'!E315</f>
        <v>1895.13</v>
      </c>
      <c r="F315" s="10" t="str">
        <f>'Inventory master'!F315</f>
        <v>2807.91</v>
      </c>
      <c r="G315" s="10" t="str">
        <f>'Inventory master'!G315</f>
        <v>62</v>
      </c>
      <c r="H315" s="8">
        <f>IFERROR(_xlfn.XLOOKUP(A315, 'Opening stock'!A315:A914, 'Opening stock'!E315:E914), "")</f>
        <v>930</v>
      </c>
      <c r="I315" s="8">
        <f>IFERROR(SUMIF(Table3[Item ID],'Inventory calculations'!A315,Table3[Quantity]),0)</f>
        <v>0</v>
      </c>
      <c r="J315" s="8">
        <f>IFERROR(SUMIF(Table4[Item ID],'Inventory calculations'!A315,Table4[Quantity Purchased]),0)</f>
        <v>0</v>
      </c>
      <c r="K315" s="10">
        <f t="shared" si="18"/>
        <v>930</v>
      </c>
      <c r="L315" s="6" t="str">
        <f t="shared" si="19"/>
        <v>OK</v>
      </c>
      <c r="M315" s="13">
        <f t="shared" si="16"/>
        <v>1762470.9000000001</v>
      </c>
      <c r="N315" s="8">
        <f>Table5[[#This Row],[Total Qty Sold]]*Table5[[#This Row],[Unit Price]]</f>
        <v>0</v>
      </c>
      <c r="O315" s="9"/>
      <c r="P315" s="40" t="str">
        <f ca="1">IF(Table5[[#This Row],[Last sale Date]]="","Never Sold",TODAY()-Table5[[#This Row],[Last sale Date]])</f>
        <v>Never Sold</v>
      </c>
      <c r="Q315" s="6" t="str">
        <f>IF(Table5[[#This Row],[Re order Level]]&lt;=Table5[[#This Row],[Current stock]],"ORDERASAP","OK BUT BE CHECKING")</f>
        <v>OK BUT BE CHECKING</v>
      </c>
      <c r="R315" s="6" t="str">
        <f t="shared" si="17"/>
        <v>ACTIVE</v>
      </c>
      <c r="S315" s="8">
        <f>IF(Table5[[#This Row],[DEADSTOCK FLAG]]="DEAD",Table5[[#This Row],[Inventory Value]],0)</f>
        <v>0</v>
      </c>
    </row>
    <row r="316" spans="1:19" x14ac:dyDescent="0.25">
      <c r="A316" s="24" t="str">
        <f>'Inventory master'!A316</f>
        <v>ITEM315-A</v>
      </c>
      <c r="B316" s="6" t="str">
        <f>'Inventory master'!B316</f>
        <v>Fiber Adapter</v>
      </c>
      <c r="C316" s="6" t="str">
        <f>'Inventory master'!C316</f>
        <v>Accessories</v>
      </c>
      <c r="D316" s="6" t="str">
        <f>'Inventory master'!D316</f>
        <v>Siemon</v>
      </c>
      <c r="E316" s="10" t="str">
        <f>'Inventory master'!E316</f>
        <v>567.45</v>
      </c>
      <c r="F316" s="10" t="str">
        <f>'Inventory master'!F316</f>
        <v>879.89</v>
      </c>
      <c r="G316" s="10" t="str">
        <f>'Inventory master'!G316</f>
        <v>23</v>
      </c>
      <c r="H316" s="8">
        <f>IFERROR(_xlfn.XLOOKUP(A316, 'Opening stock'!A316:A915, 'Opening stock'!E316:E915), "")</f>
        <v>345</v>
      </c>
      <c r="I316" s="8">
        <f>IFERROR(SUMIF(Table3[Item ID],'Inventory calculations'!A316,Table3[Quantity]),0)</f>
        <v>16</v>
      </c>
      <c r="J316" s="8">
        <f>IFERROR(SUMIF(Table4[Item ID],'Inventory calculations'!A316,Table4[Quantity Purchased]),0)</f>
        <v>7</v>
      </c>
      <c r="K316" s="10">
        <f t="shared" si="18"/>
        <v>336</v>
      </c>
      <c r="L316" s="6" t="str">
        <f t="shared" si="19"/>
        <v>OK</v>
      </c>
      <c r="M316" s="13">
        <f t="shared" si="16"/>
        <v>190663.2</v>
      </c>
      <c r="N316" s="8">
        <f>Table5[[#This Row],[Total Qty Sold]]*Table5[[#This Row],[Unit Price]]</f>
        <v>14078.24</v>
      </c>
      <c r="O316" s="9">
        <f>IFERROR(_xlfn.MAXIFS(Table3[Date],Table3[Item ID],Table5[[#This Row],[Item ID]]),"")</f>
        <v>45772</v>
      </c>
      <c r="P316" s="40">
        <f ca="1">IF(Table5[[#This Row],[Last sale Date]]="","Never Sold",TODAY()-Table5[[#This Row],[Last sale Date]])</f>
        <v>280</v>
      </c>
      <c r="Q316" s="6" t="str">
        <f>IF(Table5[[#This Row],[Re order Level]]&lt;=Table5[[#This Row],[Current stock]],"ORDERASAP","OK BUT BE CHECKING")</f>
        <v>OK BUT BE CHECKING</v>
      </c>
      <c r="R316" s="6" t="str">
        <f t="shared" si="17"/>
        <v>ACTIVE</v>
      </c>
      <c r="S316" s="8">
        <f>IF(Table5[[#This Row],[DEADSTOCK FLAG]]="DEAD",Table5[[#This Row],[Inventory Value]],0)</f>
        <v>0</v>
      </c>
    </row>
    <row r="317" spans="1:19" x14ac:dyDescent="0.25">
      <c r="A317" s="24" t="str">
        <f>'Inventory master'!A317</f>
        <v>ITEM316-A</v>
      </c>
      <c r="B317" s="6" t="str">
        <f>'Inventory master'!B317</f>
        <v>Outdoor Fiber Cable 500m</v>
      </c>
      <c r="C317" s="6" t="str">
        <f>'Inventory master'!C317</f>
        <v>Fiber Optic Cables</v>
      </c>
      <c r="D317" s="6" t="str">
        <f>'Inventory master'!D317</f>
        <v>Huber+Suhner</v>
      </c>
      <c r="E317" s="10" t="str">
        <f>'Inventory master'!E317</f>
        <v>339.57</v>
      </c>
      <c r="F317" s="10" t="str">
        <f>'Inventory master'!F317</f>
        <v>550.69</v>
      </c>
      <c r="G317" s="10" t="str">
        <f>'Inventory master'!G317</f>
        <v>63</v>
      </c>
      <c r="H317" s="8">
        <f>IFERROR(_xlfn.XLOOKUP(A317, 'Opening stock'!A317:A916, 'Opening stock'!E317:E916), "")</f>
        <v>945</v>
      </c>
      <c r="I317" s="8">
        <f>IFERROR(SUMIF(Table3[Item ID],'Inventory calculations'!A317,Table3[Quantity]),0)</f>
        <v>0</v>
      </c>
      <c r="J317" s="8">
        <f>IFERROR(SUMIF(Table4[Item ID],'Inventory calculations'!A317,Table4[Quantity Purchased]),0)</f>
        <v>0</v>
      </c>
      <c r="K317" s="10">
        <f t="shared" si="18"/>
        <v>945</v>
      </c>
      <c r="L317" s="6" t="str">
        <f t="shared" si="19"/>
        <v>OK</v>
      </c>
      <c r="M317" s="13">
        <f t="shared" si="16"/>
        <v>320893.64999999997</v>
      </c>
      <c r="N317" s="8">
        <f>Table5[[#This Row],[Total Qty Sold]]*Table5[[#This Row],[Unit Price]]</f>
        <v>0</v>
      </c>
      <c r="O317" s="9"/>
      <c r="P317" s="40" t="str">
        <f ca="1">IF(Table5[[#This Row],[Last sale Date]]="","Never Sold",TODAY()-Table5[[#This Row],[Last sale Date]])</f>
        <v>Never Sold</v>
      </c>
      <c r="Q317" s="6" t="str">
        <f>IF(Table5[[#This Row],[Re order Level]]&lt;=Table5[[#This Row],[Current stock]],"ORDERASAP","OK BUT BE CHECKING")</f>
        <v>OK BUT BE CHECKING</v>
      </c>
      <c r="R317" s="6" t="str">
        <f t="shared" si="17"/>
        <v>ACTIVE</v>
      </c>
      <c r="S317" s="8">
        <f>IF(Table5[[#This Row],[DEADSTOCK FLAG]]="DEAD",Table5[[#This Row],[Inventory Value]],0)</f>
        <v>0</v>
      </c>
    </row>
    <row r="318" spans="1:19" x14ac:dyDescent="0.25">
      <c r="A318" s="24" t="str">
        <f>'Inventory master'!A318</f>
        <v>ITEM317-A</v>
      </c>
      <c r="B318" s="6" t="str">
        <f>'Inventory master'!B318</f>
        <v>Fiber Pigtail</v>
      </c>
      <c r="C318" s="6" t="str">
        <f>'Inventory master'!C318</f>
        <v>Accessories</v>
      </c>
      <c r="D318" s="6" t="str">
        <f>'Inventory master'!D318</f>
        <v>Leviton</v>
      </c>
      <c r="E318" s="10" t="str">
        <f>'Inventory master'!E318</f>
        <v>1615.17</v>
      </c>
      <c r="F318" s="10" t="str">
        <f>'Inventory master'!F318</f>
        <v>2479.05</v>
      </c>
      <c r="G318" s="10" t="str">
        <f>'Inventory master'!G318</f>
        <v>26</v>
      </c>
      <c r="H318" s="8">
        <f>IFERROR(_xlfn.XLOOKUP(A318, 'Opening stock'!A318:A917, 'Opening stock'!E318:E917), "")</f>
        <v>390</v>
      </c>
      <c r="I318" s="8">
        <f>IFERROR(SUMIF(Table3[Item ID],'Inventory calculations'!A318,Table3[Quantity]),0)</f>
        <v>0</v>
      </c>
      <c r="J318" s="8">
        <f>IFERROR(SUMIF(Table4[Item ID],'Inventory calculations'!A318,Table4[Quantity Purchased]),0)</f>
        <v>36</v>
      </c>
      <c r="K318" s="10">
        <f t="shared" si="18"/>
        <v>426</v>
      </c>
      <c r="L318" s="6" t="str">
        <f t="shared" si="19"/>
        <v>OK</v>
      </c>
      <c r="M318" s="13">
        <f t="shared" si="16"/>
        <v>688062.42</v>
      </c>
      <c r="N318" s="8">
        <f>Table5[[#This Row],[Total Qty Sold]]*Table5[[#This Row],[Unit Price]]</f>
        <v>0</v>
      </c>
      <c r="O318" s="9"/>
      <c r="P318" s="40" t="str">
        <f ca="1">IF(Table5[[#This Row],[Last sale Date]]="","Never Sold",TODAY()-Table5[[#This Row],[Last sale Date]])</f>
        <v>Never Sold</v>
      </c>
      <c r="Q318" s="6" t="str">
        <f>IF(Table5[[#This Row],[Re order Level]]&lt;=Table5[[#This Row],[Current stock]],"ORDERASAP","OK BUT BE CHECKING")</f>
        <v>OK BUT BE CHECKING</v>
      </c>
      <c r="R318" s="6" t="str">
        <f t="shared" si="17"/>
        <v>ACTIVE</v>
      </c>
      <c r="S318" s="8">
        <f>IF(Table5[[#This Row],[DEADSTOCK FLAG]]="DEAD",Table5[[#This Row],[Inventory Value]],0)</f>
        <v>0</v>
      </c>
    </row>
    <row r="319" spans="1:19" x14ac:dyDescent="0.25">
      <c r="A319" s="24" t="str">
        <f>'Inventory master'!A319</f>
        <v>ITEM318-A</v>
      </c>
      <c r="B319" s="6" t="str">
        <f>'Inventory master'!B319</f>
        <v>Fiber Pigtail</v>
      </c>
      <c r="C319" s="6" t="str">
        <f>'Inventory master'!C319</f>
        <v>Accessories</v>
      </c>
      <c r="D319" s="6" t="str">
        <f>'Inventory master'!D319</f>
        <v>HellermannTyton</v>
      </c>
      <c r="E319" s="10" t="str">
        <f>'Inventory master'!E319</f>
        <v>1176.93</v>
      </c>
      <c r="F319" s="10" t="str">
        <f>'Inventory master'!F319</f>
        <v>1411.5</v>
      </c>
      <c r="G319" s="10" t="str">
        <f>'Inventory master'!G319</f>
        <v>20</v>
      </c>
      <c r="H319" s="8">
        <f>IFERROR(_xlfn.XLOOKUP(A319, 'Opening stock'!A319:A918, 'Opening stock'!E319:E918), "")</f>
        <v>300</v>
      </c>
      <c r="I319" s="8">
        <f>IFERROR(SUMIF(Table3[Item ID],'Inventory calculations'!A319,Table3[Quantity]),0)</f>
        <v>0</v>
      </c>
      <c r="J319" s="8">
        <f>IFERROR(SUMIF(Table4[Item ID],'Inventory calculations'!A319,Table4[Quantity Purchased]),0)</f>
        <v>0</v>
      </c>
      <c r="K319" s="10">
        <f t="shared" si="18"/>
        <v>300</v>
      </c>
      <c r="L319" s="6" t="str">
        <f t="shared" si="19"/>
        <v>OK</v>
      </c>
      <c r="M319" s="13">
        <f t="shared" si="16"/>
        <v>353079</v>
      </c>
      <c r="N319" s="8">
        <f>Table5[[#This Row],[Total Qty Sold]]*Table5[[#This Row],[Unit Price]]</f>
        <v>0</v>
      </c>
      <c r="O319" s="9"/>
      <c r="P319" s="40" t="str">
        <f ca="1">IF(Table5[[#This Row],[Last sale Date]]="","Never Sold",TODAY()-Table5[[#This Row],[Last sale Date]])</f>
        <v>Never Sold</v>
      </c>
      <c r="Q319" s="6" t="str">
        <f>IF(Table5[[#This Row],[Re order Level]]&lt;=Table5[[#This Row],[Current stock]],"ORDERASAP","OK BUT BE CHECKING")</f>
        <v>OK BUT BE CHECKING</v>
      </c>
      <c r="R319" s="6" t="str">
        <f t="shared" si="17"/>
        <v>ACTIVE</v>
      </c>
      <c r="S319" s="8">
        <f>IF(Table5[[#This Row],[DEADSTOCK FLAG]]="DEAD",Table5[[#This Row],[Inventory Value]],0)</f>
        <v>0</v>
      </c>
    </row>
    <row r="320" spans="1:19" x14ac:dyDescent="0.25">
      <c r="A320" s="24" t="str">
        <f>'Inventory master'!A320</f>
        <v>ITEM319-A</v>
      </c>
      <c r="B320" s="6" t="str">
        <f>'Inventory master'!B320</f>
        <v>Mechanical Splicer</v>
      </c>
      <c r="C320" s="6" t="str">
        <f>'Inventory master'!C320</f>
        <v>Splicers</v>
      </c>
      <c r="D320" s="6" t="str">
        <f>'Inventory master'!D320</f>
        <v>Siemon</v>
      </c>
      <c r="E320" s="10" t="str">
        <f>'Inventory master'!E320</f>
        <v>46.67</v>
      </c>
      <c r="F320" s="10" t="str">
        <f>'Inventory master'!F320</f>
        <v>80.69</v>
      </c>
      <c r="G320" s="10" t="str">
        <f>'Inventory master'!G320</f>
        <v>38</v>
      </c>
      <c r="H320" s="8">
        <f>IFERROR(_xlfn.XLOOKUP(A320, 'Opening stock'!A320:A919, 'Opening stock'!E320:E919), "")</f>
        <v>570</v>
      </c>
      <c r="I320" s="8">
        <f>IFERROR(SUMIF(Table3[Item ID],'Inventory calculations'!A320,Table3[Quantity]),0)</f>
        <v>2</v>
      </c>
      <c r="J320" s="8">
        <f>IFERROR(SUMIF(Table4[Item ID],'Inventory calculations'!A320,Table4[Quantity Purchased]),0)</f>
        <v>1</v>
      </c>
      <c r="K320" s="10">
        <f t="shared" si="18"/>
        <v>569</v>
      </c>
      <c r="L320" s="6" t="str">
        <f t="shared" si="19"/>
        <v>OK</v>
      </c>
      <c r="M320" s="13">
        <f t="shared" si="16"/>
        <v>26555.23</v>
      </c>
      <c r="N320" s="8">
        <f>Table5[[#This Row],[Total Qty Sold]]*Table5[[#This Row],[Unit Price]]</f>
        <v>161.38</v>
      </c>
      <c r="O320" s="9">
        <f>IFERROR(_xlfn.MAXIFS(Table3[Date],Table3[Item ID],Table5[[#This Row],[Item ID]]),"")</f>
        <v>45672</v>
      </c>
      <c r="P320" s="40">
        <f ca="1">IF(Table5[[#This Row],[Last sale Date]]="","Never Sold",TODAY()-Table5[[#This Row],[Last sale Date]])</f>
        <v>380</v>
      </c>
      <c r="Q320" s="6" t="str">
        <f>IF(Table5[[#This Row],[Re order Level]]&lt;=Table5[[#This Row],[Current stock]],"ORDERASAP","OK BUT BE CHECKING")</f>
        <v>OK BUT BE CHECKING</v>
      </c>
      <c r="R320" s="6" t="str">
        <f t="shared" si="17"/>
        <v>ACTIVE</v>
      </c>
      <c r="S320" s="8">
        <f>IF(Table5[[#This Row],[DEADSTOCK FLAG]]="DEAD",Table5[[#This Row],[Inventory Value]],0)</f>
        <v>0</v>
      </c>
    </row>
    <row r="321" spans="1:19" x14ac:dyDescent="0.25">
      <c r="A321" s="24" t="str">
        <f>'Inventory master'!A321</f>
        <v>ITEM320-A</v>
      </c>
      <c r="B321" s="6" t="str">
        <f>'Inventory master'!B321</f>
        <v>Multi-Mode Fiber Cable 200m</v>
      </c>
      <c r="C321" s="6" t="str">
        <f>'Inventory master'!C321</f>
        <v>Fiber Optic Cables</v>
      </c>
      <c r="D321" s="6" t="str">
        <f>'Inventory master'!D321</f>
        <v>Corning Inc.</v>
      </c>
      <c r="E321" s="10" t="str">
        <f>'Inventory master'!E321</f>
        <v>533.76</v>
      </c>
      <c r="F321" s="10" t="str">
        <f>'Inventory master'!F321</f>
        <v>1003.07</v>
      </c>
      <c r="G321" s="10" t="str">
        <f>'Inventory master'!G321</f>
        <v>55</v>
      </c>
      <c r="H321" s="8">
        <f>IFERROR(_xlfn.XLOOKUP(A321, 'Opening stock'!A321:A920, 'Opening stock'!E321:E920), "")</f>
        <v>825</v>
      </c>
      <c r="I321" s="8">
        <f>IFERROR(SUMIF(Table3[Item ID],'Inventory calculations'!A321,Table3[Quantity]),0)</f>
        <v>0</v>
      </c>
      <c r="J321" s="8">
        <f>IFERROR(SUMIF(Table4[Item ID],'Inventory calculations'!A321,Table4[Quantity Purchased]),0)</f>
        <v>10</v>
      </c>
      <c r="K321" s="10">
        <f t="shared" si="18"/>
        <v>835</v>
      </c>
      <c r="L321" s="6" t="str">
        <f t="shared" si="19"/>
        <v>OK</v>
      </c>
      <c r="M321" s="13">
        <f t="shared" si="16"/>
        <v>445689.59999999998</v>
      </c>
      <c r="N321" s="8">
        <f>Table5[[#This Row],[Total Qty Sold]]*Table5[[#This Row],[Unit Price]]</f>
        <v>0</v>
      </c>
      <c r="O321" s="9"/>
      <c r="P321" s="40" t="str">
        <f ca="1">IF(Table5[[#This Row],[Last sale Date]]="","Never Sold",TODAY()-Table5[[#This Row],[Last sale Date]])</f>
        <v>Never Sold</v>
      </c>
      <c r="Q321" s="6" t="str">
        <f>IF(Table5[[#This Row],[Re order Level]]&lt;=Table5[[#This Row],[Current stock]],"ORDERASAP","OK BUT BE CHECKING")</f>
        <v>OK BUT BE CHECKING</v>
      </c>
      <c r="R321" s="6" t="str">
        <f t="shared" si="17"/>
        <v>ACTIVE</v>
      </c>
      <c r="S321" s="8">
        <f>IF(Table5[[#This Row],[DEADSTOCK FLAG]]="DEAD",Table5[[#This Row],[Inventory Value]],0)</f>
        <v>0</v>
      </c>
    </row>
    <row r="322" spans="1:19" x14ac:dyDescent="0.25">
      <c r="A322" s="24" t="str">
        <f>'Inventory master'!A322</f>
        <v>ITEM321-A</v>
      </c>
      <c r="B322" s="6" t="str">
        <f>'Inventory master'!B322</f>
        <v>Multi-Mode Fiber Cable 200m</v>
      </c>
      <c r="C322" s="6" t="str">
        <f>'Inventory master'!C322</f>
        <v>Fiber Optic Cables</v>
      </c>
      <c r="D322" s="6" t="str">
        <f>'Inventory master'!D322</f>
        <v>TE Connectivity</v>
      </c>
      <c r="E322" s="10" t="str">
        <f>'Inventory master'!E322</f>
        <v>64.26</v>
      </c>
      <c r="F322" s="10" t="str">
        <f>'Inventory master'!F322</f>
        <v>116.05</v>
      </c>
      <c r="G322" s="10" t="str">
        <f>'Inventory master'!G322</f>
        <v>24</v>
      </c>
      <c r="H322" s="8">
        <f>IFERROR(_xlfn.XLOOKUP(A322, 'Opening stock'!A322:A921, 'Opening stock'!E322:E921), "")</f>
        <v>360</v>
      </c>
      <c r="I322" s="8">
        <f>IFERROR(SUMIF(Table3[Item ID],'Inventory calculations'!A322,Table3[Quantity]),0)</f>
        <v>0</v>
      </c>
      <c r="J322" s="8">
        <f>IFERROR(SUMIF(Table4[Item ID],'Inventory calculations'!A322,Table4[Quantity Purchased]),0)</f>
        <v>4</v>
      </c>
      <c r="K322" s="10">
        <f t="shared" si="18"/>
        <v>364</v>
      </c>
      <c r="L322" s="6" t="str">
        <f t="shared" si="19"/>
        <v>OK</v>
      </c>
      <c r="M322" s="13">
        <f t="shared" ref="M322:M385" si="20">K322*E322</f>
        <v>23390.640000000003</v>
      </c>
      <c r="N322" s="8">
        <f>Table5[[#This Row],[Total Qty Sold]]*Table5[[#This Row],[Unit Price]]</f>
        <v>0</v>
      </c>
      <c r="O322" s="9"/>
      <c r="P322" s="40" t="str">
        <f ca="1">IF(Table5[[#This Row],[Last sale Date]]="","Never Sold",TODAY()-Table5[[#This Row],[Last sale Date]])</f>
        <v>Never Sold</v>
      </c>
      <c r="Q322" s="6" t="str">
        <f>IF(Table5[[#This Row],[Re order Level]]&lt;=Table5[[#This Row],[Current stock]],"ORDERASAP","OK BUT BE CHECKING")</f>
        <v>OK BUT BE CHECKING</v>
      </c>
      <c r="R322" s="6" t="str">
        <f t="shared" ref="R322:R385" si="21">IF(AND(ISNUMBER(B322), B322 &gt; 60), "DEAD", "ACTIVE")</f>
        <v>ACTIVE</v>
      </c>
      <c r="S322" s="8">
        <f>IF(Table5[[#This Row],[DEADSTOCK FLAG]]="DEAD",Table5[[#This Row],[Inventory Value]],0)</f>
        <v>0</v>
      </c>
    </row>
    <row r="323" spans="1:19" x14ac:dyDescent="0.25">
      <c r="A323" s="24" t="str">
        <f>'Inventory master'!A323</f>
        <v>ITEM322-A</v>
      </c>
      <c r="B323" s="6" t="str">
        <f>'Inventory master'!B323</f>
        <v>48-Port Fiber Patch Panel</v>
      </c>
      <c r="C323" s="6" t="str">
        <f>'Inventory master'!C323</f>
        <v>Patch Panels</v>
      </c>
      <c r="D323" s="6" t="str">
        <f>'Inventory master'!D323</f>
        <v>Corning Inc.</v>
      </c>
      <c r="E323" s="10" t="str">
        <f>'Inventory master'!E323</f>
        <v>529.35</v>
      </c>
      <c r="F323" s="10" t="str">
        <f>'Inventory master'!F323</f>
        <v>604.65</v>
      </c>
      <c r="G323" s="10" t="str">
        <f>'Inventory master'!G323</f>
        <v>52</v>
      </c>
      <c r="H323" s="8">
        <f>IFERROR(_xlfn.XLOOKUP(A323, 'Opening stock'!A323:A922, 'Opening stock'!E323:E922), "")</f>
        <v>780</v>
      </c>
      <c r="I323" s="8">
        <f>IFERROR(SUMIF(Table3[Item ID],'Inventory calculations'!A323,Table3[Quantity]),0)</f>
        <v>0</v>
      </c>
      <c r="J323" s="8">
        <f>IFERROR(SUMIF(Table4[Item ID],'Inventory calculations'!A323,Table4[Quantity Purchased]),0)</f>
        <v>0</v>
      </c>
      <c r="K323" s="10">
        <f t="shared" ref="K323:K386" si="22">H323+J323-I323</f>
        <v>780</v>
      </c>
      <c r="L323" s="6" t="str">
        <f t="shared" ref="L323:L386" si="23">IF(K323&lt;0,"STOCK ISSUE","OK")</f>
        <v>OK</v>
      </c>
      <c r="M323" s="13">
        <f t="shared" si="20"/>
        <v>412893</v>
      </c>
      <c r="N323" s="8">
        <f>Table5[[#This Row],[Total Qty Sold]]*Table5[[#This Row],[Unit Price]]</f>
        <v>0</v>
      </c>
      <c r="O323" s="9"/>
      <c r="P323" s="40" t="str">
        <f ca="1">IF(Table5[[#This Row],[Last sale Date]]="","Never Sold",TODAY()-Table5[[#This Row],[Last sale Date]])</f>
        <v>Never Sold</v>
      </c>
      <c r="Q323" s="6" t="str">
        <f>IF(Table5[[#This Row],[Re order Level]]&lt;=Table5[[#This Row],[Current stock]],"ORDERASAP","OK BUT BE CHECKING")</f>
        <v>OK BUT BE CHECKING</v>
      </c>
      <c r="R323" s="6" t="str">
        <f t="shared" si="21"/>
        <v>ACTIVE</v>
      </c>
      <c r="S323" s="8">
        <f>IF(Table5[[#This Row],[DEADSTOCK FLAG]]="DEAD",Table5[[#This Row],[Inventory Value]],0)</f>
        <v>0</v>
      </c>
    </row>
    <row r="324" spans="1:19" x14ac:dyDescent="0.25">
      <c r="A324" s="24" t="str">
        <f>'Inventory master'!A324</f>
        <v>ITEM323-A</v>
      </c>
      <c r="B324" s="6" t="str">
        <f>'Inventory master'!B324</f>
        <v>1x32 PLC Splitter</v>
      </c>
      <c r="C324" s="6" t="str">
        <f>'Inventory master'!C324</f>
        <v>Splitters</v>
      </c>
      <c r="D324" s="6" t="str">
        <f>'Inventory master'!D324</f>
        <v>AFL</v>
      </c>
      <c r="E324" s="10" t="str">
        <f>'Inventory master'!E324</f>
        <v>1985.01</v>
      </c>
      <c r="F324" s="10" t="str">
        <f>'Inventory master'!F324</f>
        <v>3217.69</v>
      </c>
      <c r="G324" s="10" t="str">
        <f>'Inventory master'!G324</f>
        <v>45</v>
      </c>
      <c r="H324" s="8">
        <f>IFERROR(_xlfn.XLOOKUP(A324, 'Opening stock'!A324:A923, 'Opening stock'!E324:E923), "")</f>
        <v>675</v>
      </c>
      <c r="I324" s="8">
        <f>IFERROR(SUMIF(Table3[Item ID],'Inventory calculations'!A324,Table3[Quantity]),0)</f>
        <v>0</v>
      </c>
      <c r="J324" s="8">
        <f>IFERROR(SUMIF(Table4[Item ID],'Inventory calculations'!A324,Table4[Quantity Purchased]),0)</f>
        <v>5</v>
      </c>
      <c r="K324" s="10">
        <f t="shared" si="22"/>
        <v>680</v>
      </c>
      <c r="L324" s="6" t="str">
        <f t="shared" si="23"/>
        <v>OK</v>
      </c>
      <c r="M324" s="13">
        <f t="shared" si="20"/>
        <v>1349806.8</v>
      </c>
      <c r="N324" s="8">
        <f>Table5[[#This Row],[Total Qty Sold]]*Table5[[#This Row],[Unit Price]]</f>
        <v>0</v>
      </c>
      <c r="O324" s="9"/>
      <c r="P324" s="40" t="str">
        <f ca="1">IF(Table5[[#This Row],[Last sale Date]]="","Never Sold",TODAY()-Table5[[#This Row],[Last sale Date]])</f>
        <v>Never Sold</v>
      </c>
      <c r="Q324" s="6" t="str">
        <f>IF(Table5[[#This Row],[Re order Level]]&lt;=Table5[[#This Row],[Current stock]],"ORDERASAP","OK BUT BE CHECKING")</f>
        <v>OK BUT BE CHECKING</v>
      </c>
      <c r="R324" s="6" t="str">
        <f t="shared" si="21"/>
        <v>ACTIVE</v>
      </c>
      <c r="S324" s="8">
        <f>IF(Table5[[#This Row],[DEADSTOCK FLAG]]="DEAD",Table5[[#This Row],[Inventory Value]],0)</f>
        <v>0</v>
      </c>
    </row>
    <row r="325" spans="1:19" x14ac:dyDescent="0.25">
      <c r="A325" s="24" t="str">
        <f>'Inventory master'!A325</f>
        <v>ITEM324-A</v>
      </c>
      <c r="B325" s="6" t="str">
        <f>'Inventory master'!B325</f>
        <v>SC UPC Connector</v>
      </c>
      <c r="C325" s="6" t="str">
        <f>'Inventory master'!C325</f>
        <v>Connectors</v>
      </c>
      <c r="D325" s="6" t="str">
        <f>'Inventory master'!D325</f>
        <v>Leviton</v>
      </c>
      <c r="E325" s="10" t="str">
        <f>'Inventory master'!E325</f>
        <v>93.14</v>
      </c>
      <c r="F325" s="10" t="str">
        <f>'Inventory master'!F325</f>
        <v>164.86</v>
      </c>
      <c r="G325" s="10" t="str">
        <f>'Inventory master'!G325</f>
        <v>72</v>
      </c>
      <c r="H325" s="8">
        <f>IFERROR(_xlfn.XLOOKUP(A325, 'Opening stock'!A325:A924, 'Opening stock'!E325:E924), "")</f>
        <v>1080</v>
      </c>
      <c r="I325" s="8">
        <f>IFERROR(SUMIF(Table3[Item ID],'Inventory calculations'!A325,Table3[Quantity]),0)</f>
        <v>0</v>
      </c>
      <c r="J325" s="8">
        <f>IFERROR(SUMIF(Table4[Item ID],'Inventory calculations'!A325,Table4[Quantity Purchased]),0)</f>
        <v>24</v>
      </c>
      <c r="K325" s="10">
        <f t="shared" si="22"/>
        <v>1104</v>
      </c>
      <c r="L325" s="6" t="str">
        <f t="shared" si="23"/>
        <v>OK</v>
      </c>
      <c r="M325" s="13">
        <f t="shared" si="20"/>
        <v>102826.56</v>
      </c>
      <c r="N325" s="8">
        <f>Table5[[#This Row],[Total Qty Sold]]*Table5[[#This Row],[Unit Price]]</f>
        <v>0</v>
      </c>
      <c r="O325" s="9"/>
      <c r="P325" s="40" t="str">
        <f ca="1">IF(Table5[[#This Row],[Last sale Date]]="","Never Sold",TODAY()-Table5[[#This Row],[Last sale Date]])</f>
        <v>Never Sold</v>
      </c>
      <c r="Q325" s="6" t="str">
        <f>IF(Table5[[#This Row],[Re order Level]]&lt;=Table5[[#This Row],[Current stock]],"ORDERASAP","OK BUT BE CHECKING")</f>
        <v>OK BUT BE CHECKING</v>
      </c>
      <c r="R325" s="6" t="str">
        <f t="shared" si="21"/>
        <v>ACTIVE</v>
      </c>
      <c r="S325" s="8">
        <f>IF(Table5[[#This Row],[DEADSTOCK FLAG]]="DEAD",Table5[[#This Row],[Inventory Value]],0)</f>
        <v>0</v>
      </c>
    </row>
    <row r="326" spans="1:19" x14ac:dyDescent="0.25">
      <c r="A326" s="24" t="str">
        <f>'Inventory master'!A326</f>
        <v>ITEM325-A</v>
      </c>
      <c r="B326" s="6" t="str">
        <f>'Inventory master'!B326</f>
        <v>Fixed Attenuator 1dB</v>
      </c>
      <c r="C326" s="6" t="str">
        <f>'Inventory master'!C326</f>
        <v>Attenuators</v>
      </c>
      <c r="D326" s="6" t="str">
        <f>'Inventory master'!D326</f>
        <v>Huber+Suhner</v>
      </c>
      <c r="E326" s="10" t="str">
        <f>'Inventory master'!E326</f>
        <v>1221.72</v>
      </c>
      <c r="F326" s="10" t="str">
        <f>'Inventory master'!F326</f>
        <v>1955.03</v>
      </c>
      <c r="G326" s="10" t="str">
        <f>'Inventory master'!G326</f>
        <v>17</v>
      </c>
      <c r="H326" s="8">
        <f>IFERROR(_xlfn.XLOOKUP(A326, 'Opening stock'!A326:A925, 'Opening stock'!E326:E925), "")</f>
        <v>255</v>
      </c>
      <c r="I326" s="8">
        <f>IFERROR(SUMIF(Table3[Item ID],'Inventory calculations'!A326,Table3[Quantity]),0)</f>
        <v>0</v>
      </c>
      <c r="J326" s="8">
        <f>IFERROR(SUMIF(Table4[Item ID],'Inventory calculations'!A326,Table4[Quantity Purchased]),0)</f>
        <v>19</v>
      </c>
      <c r="K326" s="10">
        <f t="shared" si="22"/>
        <v>274</v>
      </c>
      <c r="L326" s="6" t="str">
        <f t="shared" si="23"/>
        <v>OK</v>
      </c>
      <c r="M326" s="13">
        <f t="shared" si="20"/>
        <v>334751.28000000003</v>
      </c>
      <c r="N326" s="8">
        <f>Table5[[#This Row],[Total Qty Sold]]*Table5[[#This Row],[Unit Price]]</f>
        <v>0</v>
      </c>
      <c r="O326" s="9"/>
      <c r="P326" s="40" t="str">
        <f ca="1">IF(Table5[[#This Row],[Last sale Date]]="","Never Sold",TODAY()-Table5[[#This Row],[Last sale Date]])</f>
        <v>Never Sold</v>
      </c>
      <c r="Q326" s="6" t="str">
        <f>IF(Table5[[#This Row],[Re order Level]]&lt;=Table5[[#This Row],[Current stock]],"ORDERASAP","OK BUT BE CHECKING")</f>
        <v>OK BUT BE CHECKING</v>
      </c>
      <c r="R326" s="6" t="str">
        <f t="shared" si="21"/>
        <v>ACTIVE</v>
      </c>
      <c r="S326" s="8">
        <f>IF(Table5[[#This Row],[DEADSTOCK FLAG]]="DEAD",Table5[[#This Row],[Inventory Value]],0)</f>
        <v>0</v>
      </c>
    </row>
    <row r="327" spans="1:19" x14ac:dyDescent="0.25">
      <c r="A327" s="24" t="str">
        <f>'Inventory master'!A327</f>
        <v>ITEM326-A</v>
      </c>
      <c r="B327" s="6" t="str">
        <f>'Inventory master'!B327</f>
        <v>Fusion Splicer</v>
      </c>
      <c r="C327" s="6" t="str">
        <f>'Inventory master'!C327</f>
        <v>Splicers</v>
      </c>
      <c r="D327" s="6" t="str">
        <f>'Inventory master'!D327</f>
        <v>Huber+Suhner</v>
      </c>
      <c r="E327" s="10" t="str">
        <f>'Inventory master'!E327</f>
        <v>1797.52</v>
      </c>
      <c r="F327" s="10" t="str">
        <f>'Inventory master'!F327</f>
        <v>3396.07</v>
      </c>
      <c r="G327" s="10" t="str">
        <f>'Inventory master'!G327</f>
        <v>31</v>
      </c>
      <c r="H327" s="8">
        <f>IFERROR(_xlfn.XLOOKUP(A327, 'Opening stock'!A327:A926, 'Opening stock'!E327:E926), "")</f>
        <v>465</v>
      </c>
      <c r="I327" s="8">
        <f>IFERROR(SUMIF(Table3[Item ID],'Inventory calculations'!A327,Table3[Quantity]),0)</f>
        <v>201</v>
      </c>
      <c r="J327" s="8">
        <f>IFERROR(SUMIF(Table4[Item ID],'Inventory calculations'!A327,Table4[Quantity Purchased]),0)</f>
        <v>0</v>
      </c>
      <c r="K327" s="10">
        <f t="shared" si="22"/>
        <v>264</v>
      </c>
      <c r="L327" s="6" t="str">
        <f t="shared" si="23"/>
        <v>OK</v>
      </c>
      <c r="M327" s="13">
        <f t="shared" si="20"/>
        <v>474545.27999999997</v>
      </c>
      <c r="N327" s="8">
        <f>Table5[[#This Row],[Total Qty Sold]]*Table5[[#This Row],[Unit Price]]</f>
        <v>682610.07000000007</v>
      </c>
      <c r="O327" s="9">
        <f>IFERROR(_xlfn.MAXIFS(Table3[Date],Table3[Item ID],Table5[[#This Row],[Item ID]]),"")</f>
        <v>45605</v>
      </c>
      <c r="P327" s="40">
        <f ca="1">IF(Table5[[#This Row],[Last sale Date]]="","Never Sold",TODAY()-Table5[[#This Row],[Last sale Date]])</f>
        <v>447</v>
      </c>
      <c r="Q327" s="6" t="str">
        <f>IF(Table5[[#This Row],[Re order Level]]&lt;=Table5[[#This Row],[Current stock]],"ORDERASAP","OK BUT BE CHECKING")</f>
        <v>OK BUT BE CHECKING</v>
      </c>
      <c r="R327" s="6" t="str">
        <f t="shared" si="21"/>
        <v>ACTIVE</v>
      </c>
      <c r="S327" s="8">
        <f>IF(Table5[[#This Row],[DEADSTOCK FLAG]]="DEAD",Table5[[#This Row],[Inventory Value]],0)</f>
        <v>0</v>
      </c>
    </row>
    <row r="328" spans="1:19" x14ac:dyDescent="0.25">
      <c r="A328" s="24" t="str">
        <f>'Inventory master'!A328</f>
        <v>ITEM327-A</v>
      </c>
      <c r="B328" s="6" t="str">
        <f>'Inventory master'!B328</f>
        <v>Fiber Cleaner</v>
      </c>
      <c r="C328" s="6" t="str">
        <f>'Inventory master'!C328</f>
        <v>Accessories</v>
      </c>
      <c r="D328" s="6" t="str">
        <f>'Inventory master'!D328</f>
        <v>TE Connectivity</v>
      </c>
      <c r="E328" s="10" t="str">
        <f>'Inventory master'!E328</f>
        <v>1581.49</v>
      </c>
      <c r="F328" s="10" t="str">
        <f>'Inventory master'!F328</f>
        <v>2905.69</v>
      </c>
      <c r="G328" s="10" t="str">
        <f>'Inventory master'!G328</f>
        <v>82</v>
      </c>
      <c r="H328" s="8">
        <f>IFERROR(_xlfn.XLOOKUP(A328, 'Opening stock'!A328:A927, 'Opening stock'!E328:E927), "")</f>
        <v>1230</v>
      </c>
      <c r="I328" s="8">
        <f>IFERROR(SUMIF(Table3[Item ID],'Inventory calculations'!A328,Table3[Quantity]),0)</f>
        <v>0</v>
      </c>
      <c r="J328" s="8">
        <f>IFERROR(SUMIF(Table4[Item ID],'Inventory calculations'!A328,Table4[Quantity Purchased]),0)</f>
        <v>17</v>
      </c>
      <c r="K328" s="10">
        <f t="shared" si="22"/>
        <v>1247</v>
      </c>
      <c r="L328" s="6" t="str">
        <f t="shared" si="23"/>
        <v>OK</v>
      </c>
      <c r="M328" s="13">
        <f t="shared" si="20"/>
        <v>1972118.03</v>
      </c>
      <c r="N328" s="8">
        <f>Table5[[#This Row],[Total Qty Sold]]*Table5[[#This Row],[Unit Price]]</f>
        <v>0</v>
      </c>
      <c r="O328" s="9"/>
      <c r="P328" s="40" t="str">
        <f ca="1">IF(Table5[[#This Row],[Last sale Date]]="","Never Sold",TODAY()-Table5[[#This Row],[Last sale Date]])</f>
        <v>Never Sold</v>
      </c>
      <c r="Q328" s="6" t="str">
        <f>IF(Table5[[#This Row],[Re order Level]]&lt;=Table5[[#This Row],[Current stock]],"ORDERASAP","OK BUT BE CHECKING")</f>
        <v>OK BUT BE CHECKING</v>
      </c>
      <c r="R328" s="6" t="str">
        <f t="shared" si="21"/>
        <v>ACTIVE</v>
      </c>
      <c r="S328" s="8">
        <f>IF(Table5[[#This Row],[DEADSTOCK FLAG]]="DEAD",Table5[[#This Row],[Inventory Value]],0)</f>
        <v>0</v>
      </c>
    </row>
    <row r="329" spans="1:19" x14ac:dyDescent="0.25">
      <c r="A329" s="24" t="str">
        <f>'Inventory master'!A329</f>
        <v>ITEM328-A</v>
      </c>
      <c r="B329" s="6" t="str">
        <f>'Inventory master'!B329</f>
        <v>Dome Enclosure</v>
      </c>
      <c r="C329" s="6" t="str">
        <f>'Inventory master'!C329</f>
        <v>Enclosures</v>
      </c>
      <c r="D329" s="6" t="str">
        <f>'Inventory master'!D329</f>
        <v>Panduit</v>
      </c>
      <c r="E329" s="10" t="str">
        <f>'Inventory master'!E329</f>
        <v>1013.39</v>
      </c>
      <c r="F329" s="10" t="str">
        <f>'Inventory master'!F329</f>
        <v>1235.37</v>
      </c>
      <c r="G329" s="10" t="str">
        <f>'Inventory master'!G329</f>
        <v>63</v>
      </c>
      <c r="H329" s="8">
        <f>IFERROR(_xlfn.XLOOKUP(A329, 'Opening stock'!A329:A928, 'Opening stock'!E329:E928), "")</f>
        <v>945</v>
      </c>
      <c r="I329" s="8">
        <f>IFERROR(SUMIF(Table3[Item ID],'Inventory calculations'!A329,Table3[Quantity]),0)</f>
        <v>0</v>
      </c>
      <c r="J329" s="8">
        <f>IFERROR(SUMIF(Table4[Item ID],'Inventory calculations'!A329,Table4[Quantity Purchased]),0)</f>
        <v>15</v>
      </c>
      <c r="K329" s="10">
        <f t="shared" si="22"/>
        <v>960</v>
      </c>
      <c r="L329" s="6" t="str">
        <f t="shared" si="23"/>
        <v>OK</v>
      </c>
      <c r="M329" s="13">
        <f t="shared" si="20"/>
        <v>972854.4</v>
      </c>
      <c r="N329" s="8">
        <f>Table5[[#This Row],[Total Qty Sold]]*Table5[[#This Row],[Unit Price]]</f>
        <v>0</v>
      </c>
      <c r="O329" s="9"/>
      <c r="P329" s="40" t="str">
        <f ca="1">IF(Table5[[#This Row],[Last sale Date]]="","Never Sold",TODAY()-Table5[[#This Row],[Last sale Date]])</f>
        <v>Never Sold</v>
      </c>
      <c r="Q329" s="6" t="str">
        <f>IF(Table5[[#This Row],[Re order Level]]&lt;=Table5[[#This Row],[Current stock]],"ORDERASAP","OK BUT BE CHECKING")</f>
        <v>OK BUT BE CHECKING</v>
      </c>
      <c r="R329" s="6" t="str">
        <f t="shared" si="21"/>
        <v>ACTIVE</v>
      </c>
      <c r="S329" s="8">
        <f>IF(Table5[[#This Row],[DEADSTOCK FLAG]]="DEAD",Table5[[#This Row],[Inventory Value]],0)</f>
        <v>0</v>
      </c>
    </row>
    <row r="330" spans="1:19" x14ac:dyDescent="0.25">
      <c r="A330" s="24" t="str">
        <f>'Inventory master'!A330</f>
        <v>ITEM329-A</v>
      </c>
      <c r="B330" s="6" t="str">
        <f>'Inventory master'!B330</f>
        <v>Wall-Mount Enclosure</v>
      </c>
      <c r="C330" s="6" t="str">
        <f>'Inventory master'!C330</f>
        <v>Enclosures</v>
      </c>
      <c r="D330" s="6" t="str">
        <f>'Inventory master'!D330</f>
        <v>Siemon</v>
      </c>
      <c r="E330" s="10" t="str">
        <f>'Inventory master'!E330</f>
        <v>1466.62</v>
      </c>
      <c r="F330" s="10" t="str">
        <f>'Inventory master'!F330</f>
        <v>2298.53</v>
      </c>
      <c r="G330" s="10" t="str">
        <f>'Inventory master'!G330</f>
        <v>58</v>
      </c>
      <c r="H330" s="8">
        <f>IFERROR(_xlfn.XLOOKUP(A330, 'Opening stock'!A330:A929, 'Opening stock'!E330:E929), "")</f>
        <v>870</v>
      </c>
      <c r="I330" s="8">
        <f>IFERROR(SUMIF(Table3[Item ID],'Inventory calculations'!A330,Table3[Quantity]),0)</f>
        <v>8</v>
      </c>
      <c r="J330" s="8">
        <f>IFERROR(SUMIF(Table4[Item ID],'Inventory calculations'!A330,Table4[Quantity Purchased]),0)</f>
        <v>0</v>
      </c>
      <c r="K330" s="10">
        <f t="shared" si="22"/>
        <v>862</v>
      </c>
      <c r="L330" s="6" t="str">
        <f t="shared" si="23"/>
        <v>OK</v>
      </c>
      <c r="M330" s="13">
        <f t="shared" si="20"/>
        <v>1264226.44</v>
      </c>
      <c r="N330" s="8">
        <f>Table5[[#This Row],[Total Qty Sold]]*Table5[[#This Row],[Unit Price]]</f>
        <v>18388.240000000002</v>
      </c>
      <c r="O330" s="9">
        <f>IFERROR(_xlfn.MAXIFS(Table3[Date],Table3[Item ID],Table5[[#This Row],[Item ID]]),"")</f>
        <v>45674</v>
      </c>
      <c r="P330" s="40">
        <f ca="1">IF(Table5[[#This Row],[Last sale Date]]="","Never Sold",TODAY()-Table5[[#This Row],[Last sale Date]])</f>
        <v>378</v>
      </c>
      <c r="Q330" s="6" t="str">
        <f>IF(Table5[[#This Row],[Re order Level]]&lt;=Table5[[#This Row],[Current stock]],"ORDERASAP","OK BUT BE CHECKING")</f>
        <v>OK BUT BE CHECKING</v>
      </c>
      <c r="R330" s="6" t="str">
        <f t="shared" si="21"/>
        <v>ACTIVE</v>
      </c>
      <c r="S330" s="8">
        <f>IF(Table5[[#This Row],[DEADSTOCK FLAG]]="DEAD",Table5[[#This Row],[Inventory Value]],0)</f>
        <v>0</v>
      </c>
    </row>
    <row r="331" spans="1:19" x14ac:dyDescent="0.25">
      <c r="A331" s="24" t="str">
        <f>'Inventory master'!A331</f>
        <v>ITEM330-A</v>
      </c>
      <c r="B331" s="6" t="str">
        <f>'Inventory master'!B331</f>
        <v>ST UPC Connector</v>
      </c>
      <c r="C331" s="6" t="str">
        <f>'Inventory master'!C331</f>
        <v>Connectors</v>
      </c>
      <c r="D331" s="6" t="str">
        <f>'Inventory master'!D331</f>
        <v>HellermannTyton</v>
      </c>
      <c r="E331" s="10" t="str">
        <f>'Inventory master'!E331</f>
        <v>259.09</v>
      </c>
      <c r="F331" s="10" t="str">
        <f>'Inventory master'!F331</f>
        <v>410.03</v>
      </c>
      <c r="G331" s="10" t="str">
        <f>'Inventory master'!G331</f>
        <v>26</v>
      </c>
      <c r="H331" s="8">
        <f>IFERROR(_xlfn.XLOOKUP(A331, 'Opening stock'!A331:A930, 'Opening stock'!E331:E930), "")</f>
        <v>390</v>
      </c>
      <c r="I331" s="8">
        <f>IFERROR(SUMIF(Table3[Item ID],'Inventory calculations'!A331,Table3[Quantity]),0)</f>
        <v>0</v>
      </c>
      <c r="J331" s="8">
        <f>IFERROR(SUMIF(Table4[Item ID],'Inventory calculations'!A331,Table4[Quantity Purchased]),0)</f>
        <v>5</v>
      </c>
      <c r="K331" s="10">
        <f t="shared" si="22"/>
        <v>395</v>
      </c>
      <c r="L331" s="6" t="str">
        <f t="shared" si="23"/>
        <v>OK</v>
      </c>
      <c r="M331" s="13">
        <f t="shared" si="20"/>
        <v>102340.54999999999</v>
      </c>
      <c r="N331" s="8">
        <f>Table5[[#This Row],[Total Qty Sold]]*Table5[[#This Row],[Unit Price]]</f>
        <v>0</v>
      </c>
      <c r="O331" s="9"/>
      <c r="P331" s="40" t="str">
        <f ca="1">IF(Table5[[#This Row],[Last sale Date]]="","Never Sold",TODAY()-Table5[[#This Row],[Last sale Date]])</f>
        <v>Never Sold</v>
      </c>
      <c r="Q331" s="6" t="str">
        <f>IF(Table5[[#This Row],[Re order Level]]&lt;=Table5[[#This Row],[Current stock]],"ORDERASAP","OK BUT BE CHECKING")</f>
        <v>OK BUT BE CHECKING</v>
      </c>
      <c r="R331" s="6" t="str">
        <f t="shared" si="21"/>
        <v>ACTIVE</v>
      </c>
      <c r="S331" s="8">
        <f>IF(Table5[[#This Row],[DEADSTOCK FLAG]]="DEAD",Table5[[#This Row],[Inventory Value]],0)</f>
        <v>0</v>
      </c>
    </row>
    <row r="332" spans="1:19" x14ac:dyDescent="0.25">
      <c r="A332" s="24" t="str">
        <f>'Inventory master'!A332</f>
        <v>ITEM331-A</v>
      </c>
      <c r="B332" s="6" t="str">
        <f>'Inventory master'!B332</f>
        <v>Fixed Attenuator 10dB</v>
      </c>
      <c r="C332" s="6" t="str">
        <f>'Inventory master'!C332</f>
        <v>Attenuators</v>
      </c>
      <c r="D332" s="6" t="str">
        <f>'Inventory master'!D332</f>
        <v>Leviton</v>
      </c>
      <c r="E332" s="10" t="str">
        <f>'Inventory master'!E332</f>
        <v>1502.99</v>
      </c>
      <c r="F332" s="10" t="str">
        <f>'Inventory master'!F332</f>
        <v>2669.36</v>
      </c>
      <c r="G332" s="10" t="str">
        <f>'Inventory master'!G332</f>
        <v>51</v>
      </c>
      <c r="H332" s="8">
        <f>IFERROR(_xlfn.XLOOKUP(A332, 'Opening stock'!A332:A931, 'Opening stock'!E332:E931), "")</f>
        <v>765</v>
      </c>
      <c r="I332" s="8">
        <f>IFERROR(SUMIF(Table3[Item ID],'Inventory calculations'!A332,Table3[Quantity]),0)</f>
        <v>0</v>
      </c>
      <c r="J332" s="8">
        <f>IFERROR(SUMIF(Table4[Item ID],'Inventory calculations'!A332,Table4[Quantity Purchased]),0)</f>
        <v>21</v>
      </c>
      <c r="K332" s="10">
        <f t="shared" si="22"/>
        <v>786</v>
      </c>
      <c r="L332" s="6" t="str">
        <f t="shared" si="23"/>
        <v>OK</v>
      </c>
      <c r="M332" s="13">
        <f t="shared" si="20"/>
        <v>1181350.1399999999</v>
      </c>
      <c r="N332" s="8">
        <f>Table5[[#This Row],[Total Qty Sold]]*Table5[[#This Row],[Unit Price]]</f>
        <v>0</v>
      </c>
      <c r="O332" s="9"/>
      <c r="P332" s="40" t="str">
        <f ca="1">IF(Table5[[#This Row],[Last sale Date]]="","Never Sold",TODAY()-Table5[[#This Row],[Last sale Date]])</f>
        <v>Never Sold</v>
      </c>
      <c r="Q332" s="6" t="str">
        <f>IF(Table5[[#This Row],[Re order Level]]&lt;=Table5[[#This Row],[Current stock]],"ORDERASAP","OK BUT BE CHECKING")</f>
        <v>OK BUT BE CHECKING</v>
      </c>
      <c r="R332" s="6" t="str">
        <f t="shared" si="21"/>
        <v>ACTIVE</v>
      </c>
      <c r="S332" s="8">
        <f>IF(Table5[[#This Row],[DEADSTOCK FLAG]]="DEAD",Table5[[#This Row],[Inventory Value]],0)</f>
        <v>0</v>
      </c>
    </row>
    <row r="333" spans="1:19" x14ac:dyDescent="0.25">
      <c r="A333" s="24" t="str">
        <f>'Inventory master'!A333</f>
        <v>ITEM332-A</v>
      </c>
      <c r="B333" s="6" t="str">
        <f>'Inventory master'!B333</f>
        <v>12-Port Fiber Patch Panel</v>
      </c>
      <c r="C333" s="6" t="str">
        <f>'Inventory master'!C333</f>
        <v>Patch Panels</v>
      </c>
      <c r="D333" s="6" t="str">
        <f>'Inventory master'!D333</f>
        <v>Corning Inc.</v>
      </c>
      <c r="E333" s="10" t="str">
        <f>'Inventory master'!E333</f>
        <v>1754.95</v>
      </c>
      <c r="F333" s="10" t="str">
        <f>'Inventory master'!F333</f>
        <v>3438.72</v>
      </c>
      <c r="G333" s="10" t="str">
        <f>'Inventory master'!G333</f>
        <v>60</v>
      </c>
      <c r="H333" s="8">
        <f>IFERROR(_xlfn.XLOOKUP(A333, 'Opening stock'!A333:A932, 'Opening stock'!E333:E932), "")</f>
        <v>900</v>
      </c>
      <c r="I333" s="8">
        <f>IFERROR(SUMIF(Table3[Item ID],'Inventory calculations'!A333,Table3[Quantity]),0)</f>
        <v>0</v>
      </c>
      <c r="J333" s="8">
        <f>IFERROR(SUMIF(Table4[Item ID],'Inventory calculations'!A333,Table4[Quantity Purchased]),0)</f>
        <v>5</v>
      </c>
      <c r="K333" s="10">
        <f t="shared" si="22"/>
        <v>905</v>
      </c>
      <c r="L333" s="6" t="str">
        <f t="shared" si="23"/>
        <v>OK</v>
      </c>
      <c r="M333" s="13">
        <f t="shared" si="20"/>
        <v>1588229.75</v>
      </c>
      <c r="N333" s="8">
        <f>Table5[[#This Row],[Total Qty Sold]]*Table5[[#This Row],[Unit Price]]</f>
        <v>0</v>
      </c>
      <c r="O333" s="9"/>
      <c r="P333" s="40" t="str">
        <f ca="1">IF(Table5[[#This Row],[Last sale Date]]="","Never Sold",TODAY()-Table5[[#This Row],[Last sale Date]])</f>
        <v>Never Sold</v>
      </c>
      <c r="Q333" s="6" t="str">
        <f>IF(Table5[[#This Row],[Re order Level]]&lt;=Table5[[#This Row],[Current stock]],"ORDERASAP","OK BUT BE CHECKING")</f>
        <v>OK BUT BE CHECKING</v>
      </c>
      <c r="R333" s="6" t="str">
        <f t="shared" si="21"/>
        <v>ACTIVE</v>
      </c>
      <c r="S333" s="8">
        <f>IF(Table5[[#This Row],[DEADSTOCK FLAG]]="DEAD",Table5[[#This Row],[Inventory Value]],0)</f>
        <v>0</v>
      </c>
    </row>
    <row r="334" spans="1:19" x14ac:dyDescent="0.25">
      <c r="A334" s="24" t="str">
        <f>'Inventory master'!A334</f>
        <v>ITEM333-A</v>
      </c>
      <c r="B334" s="6" t="str">
        <f>'Inventory master'!B334</f>
        <v>1x16 PLC Splitter</v>
      </c>
      <c r="C334" s="6" t="str">
        <f>'Inventory master'!C334</f>
        <v>Splitters</v>
      </c>
      <c r="D334" s="6" t="str">
        <f>'Inventory master'!D334</f>
        <v>Siemon</v>
      </c>
      <c r="E334" s="10" t="str">
        <f>'Inventory master'!E334</f>
        <v>212.67</v>
      </c>
      <c r="F334" s="10" t="str">
        <f>'Inventory master'!F334</f>
        <v>374.73</v>
      </c>
      <c r="G334" s="10" t="str">
        <f>'Inventory master'!G334</f>
        <v>22</v>
      </c>
      <c r="H334" s="8">
        <f>IFERROR(_xlfn.XLOOKUP(A334, 'Opening stock'!A334:A933, 'Opening stock'!E334:E933), "")</f>
        <v>330</v>
      </c>
      <c r="I334" s="8">
        <f>IFERROR(SUMIF(Table3[Item ID],'Inventory calculations'!A334,Table3[Quantity]),0)</f>
        <v>0</v>
      </c>
      <c r="J334" s="8">
        <f>IFERROR(SUMIF(Table4[Item ID],'Inventory calculations'!A334,Table4[Quantity Purchased]),0)</f>
        <v>23</v>
      </c>
      <c r="K334" s="10">
        <f t="shared" si="22"/>
        <v>353</v>
      </c>
      <c r="L334" s="6" t="str">
        <f t="shared" si="23"/>
        <v>OK</v>
      </c>
      <c r="M334" s="13">
        <f t="shared" si="20"/>
        <v>75072.509999999995</v>
      </c>
      <c r="N334" s="8">
        <f>Table5[[#This Row],[Total Qty Sold]]*Table5[[#This Row],[Unit Price]]</f>
        <v>0</v>
      </c>
      <c r="O334" s="9"/>
      <c r="P334" s="40" t="str">
        <f ca="1">IF(Table5[[#This Row],[Last sale Date]]="","Never Sold",TODAY()-Table5[[#This Row],[Last sale Date]])</f>
        <v>Never Sold</v>
      </c>
      <c r="Q334" s="6" t="str">
        <f>IF(Table5[[#This Row],[Re order Level]]&lt;=Table5[[#This Row],[Current stock]],"ORDERASAP","OK BUT BE CHECKING")</f>
        <v>OK BUT BE CHECKING</v>
      </c>
      <c r="R334" s="6" t="str">
        <f t="shared" si="21"/>
        <v>ACTIVE</v>
      </c>
      <c r="S334" s="8">
        <f>IF(Table5[[#This Row],[DEADSTOCK FLAG]]="DEAD",Table5[[#This Row],[Inventory Value]],0)</f>
        <v>0</v>
      </c>
    </row>
    <row r="335" spans="1:19" x14ac:dyDescent="0.25">
      <c r="A335" s="24" t="str">
        <f>'Inventory master'!A335</f>
        <v>ITEM334-A</v>
      </c>
      <c r="B335" s="6" t="str">
        <f>'Inventory master'!B335</f>
        <v>Fusion Splicer</v>
      </c>
      <c r="C335" s="6" t="str">
        <f>'Inventory master'!C335</f>
        <v>Splicers</v>
      </c>
      <c r="D335" s="6" t="str">
        <f>'Inventory master'!D335</f>
        <v>Panduit</v>
      </c>
      <c r="E335" s="10" t="str">
        <f>'Inventory master'!E335</f>
        <v>187.04</v>
      </c>
      <c r="F335" s="10" t="str">
        <f>'Inventory master'!F335</f>
        <v>325.99</v>
      </c>
      <c r="G335" s="10" t="str">
        <f>'Inventory master'!G335</f>
        <v>26</v>
      </c>
      <c r="H335" s="8">
        <f>IFERROR(_xlfn.XLOOKUP(A335, 'Opening stock'!A335:A934, 'Opening stock'!E335:E934), "")</f>
        <v>390</v>
      </c>
      <c r="I335" s="8">
        <f>IFERROR(SUMIF(Table3[Item ID],'Inventory calculations'!A335,Table3[Quantity]),0)</f>
        <v>0</v>
      </c>
      <c r="J335" s="8">
        <f>IFERROR(SUMIF(Table4[Item ID],'Inventory calculations'!A335,Table4[Quantity Purchased]),0)</f>
        <v>0</v>
      </c>
      <c r="K335" s="10">
        <f t="shared" si="22"/>
        <v>390</v>
      </c>
      <c r="L335" s="6" t="str">
        <f t="shared" si="23"/>
        <v>OK</v>
      </c>
      <c r="M335" s="13">
        <f t="shared" si="20"/>
        <v>72945.599999999991</v>
      </c>
      <c r="N335" s="8">
        <f>Table5[[#This Row],[Total Qty Sold]]*Table5[[#This Row],[Unit Price]]</f>
        <v>0</v>
      </c>
      <c r="O335" s="9"/>
      <c r="P335" s="40" t="str">
        <f ca="1">IF(Table5[[#This Row],[Last sale Date]]="","Never Sold",TODAY()-Table5[[#This Row],[Last sale Date]])</f>
        <v>Never Sold</v>
      </c>
      <c r="Q335" s="6" t="str">
        <f>IF(Table5[[#This Row],[Re order Level]]&lt;=Table5[[#This Row],[Current stock]],"ORDERASAP","OK BUT BE CHECKING")</f>
        <v>OK BUT BE CHECKING</v>
      </c>
      <c r="R335" s="6" t="str">
        <f t="shared" si="21"/>
        <v>ACTIVE</v>
      </c>
      <c r="S335" s="8">
        <f>IF(Table5[[#This Row],[DEADSTOCK FLAG]]="DEAD",Table5[[#This Row],[Inventory Value]],0)</f>
        <v>0</v>
      </c>
    </row>
    <row r="336" spans="1:19" x14ac:dyDescent="0.25">
      <c r="A336" s="24" t="str">
        <f>'Inventory master'!A336</f>
        <v>ITEM335-A</v>
      </c>
      <c r="B336" s="6" t="str">
        <f>'Inventory master'!B336</f>
        <v>Dome Enclosure</v>
      </c>
      <c r="C336" s="6" t="str">
        <f>'Inventory master'!C336</f>
        <v>Enclosures</v>
      </c>
      <c r="D336" s="6" t="str">
        <f>'Inventory master'!D336</f>
        <v>Siemon</v>
      </c>
      <c r="E336" s="10" t="str">
        <f>'Inventory master'!E336</f>
        <v>107.78</v>
      </c>
      <c r="F336" s="10" t="str">
        <f>'Inventory master'!F336</f>
        <v>214.85</v>
      </c>
      <c r="G336" s="10" t="str">
        <f>'Inventory master'!G336</f>
        <v>79</v>
      </c>
      <c r="H336" s="8">
        <f>IFERROR(_xlfn.XLOOKUP(A336, 'Opening stock'!A336:A935, 'Opening stock'!E336:E935), "")</f>
        <v>1185</v>
      </c>
      <c r="I336" s="8">
        <f>IFERROR(SUMIF(Table3[Item ID],'Inventory calculations'!A336,Table3[Quantity]),0)</f>
        <v>0</v>
      </c>
      <c r="J336" s="8">
        <f>IFERROR(SUMIF(Table4[Item ID],'Inventory calculations'!A336,Table4[Quantity Purchased]),0)</f>
        <v>14</v>
      </c>
      <c r="K336" s="10">
        <f t="shared" si="22"/>
        <v>1199</v>
      </c>
      <c r="L336" s="6" t="str">
        <f t="shared" si="23"/>
        <v>OK</v>
      </c>
      <c r="M336" s="13">
        <f t="shared" si="20"/>
        <v>129228.22</v>
      </c>
      <c r="N336" s="8">
        <f>Table5[[#This Row],[Total Qty Sold]]*Table5[[#This Row],[Unit Price]]</f>
        <v>0</v>
      </c>
      <c r="O336" s="9"/>
      <c r="P336" s="40" t="str">
        <f ca="1">IF(Table5[[#This Row],[Last sale Date]]="","Never Sold",TODAY()-Table5[[#This Row],[Last sale Date]])</f>
        <v>Never Sold</v>
      </c>
      <c r="Q336" s="6" t="str">
        <f>IF(Table5[[#This Row],[Re order Level]]&lt;=Table5[[#This Row],[Current stock]],"ORDERASAP","OK BUT BE CHECKING")</f>
        <v>OK BUT BE CHECKING</v>
      </c>
      <c r="R336" s="6" t="str">
        <f t="shared" si="21"/>
        <v>ACTIVE</v>
      </c>
      <c r="S336" s="8">
        <f>IF(Table5[[#This Row],[DEADSTOCK FLAG]]="DEAD",Table5[[#This Row],[Inventory Value]],0)</f>
        <v>0</v>
      </c>
    </row>
    <row r="337" spans="1:19" x14ac:dyDescent="0.25">
      <c r="A337" s="24" t="str">
        <f>'Inventory master'!A337</f>
        <v>ITEM336-A</v>
      </c>
      <c r="B337" s="6" t="str">
        <f>'Inventory master'!B337</f>
        <v>CFP Transceiver</v>
      </c>
      <c r="C337" s="6" t="str">
        <f>'Inventory master'!C337</f>
        <v>Transceivers</v>
      </c>
      <c r="D337" s="6" t="str">
        <f>'Inventory master'!D337</f>
        <v>Panduit</v>
      </c>
      <c r="E337" s="10" t="str">
        <f>'Inventory master'!E337</f>
        <v>735.11</v>
      </c>
      <c r="F337" s="10" t="str">
        <f>'Inventory master'!F337</f>
        <v>1121.64</v>
      </c>
      <c r="G337" s="10" t="str">
        <f>'Inventory master'!G337</f>
        <v>41</v>
      </c>
      <c r="H337" s="8">
        <f>IFERROR(_xlfn.XLOOKUP(A337, 'Opening stock'!A337:A936, 'Opening stock'!E337:E936), "")</f>
        <v>615</v>
      </c>
      <c r="I337" s="8">
        <f>IFERROR(SUMIF(Table3[Item ID],'Inventory calculations'!A337,Table3[Quantity]),0)</f>
        <v>0</v>
      </c>
      <c r="J337" s="8">
        <f>IFERROR(SUMIF(Table4[Item ID],'Inventory calculations'!A337,Table4[Quantity Purchased]),0)</f>
        <v>18</v>
      </c>
      <c r="K337" s="10">
        <f t="shared" si="22"/>
        <v>633</v>
      </c>
      <c r="L337" s="6" t="str">
        <f t="shared" si="23"/>
        <v>OK</v>
      </c>
      <c r="M337" s="13">
        <f t="shared" si="20"/>
        <v>465324.63</v>
      </c>
      <c r="N337" s="8">
        <f>Table5[[#This Row],[Total Qty Sold]]*Table5[[#This Row],[Unit Price]]</f>
        <v>0</v>
      </c>
      <c r="O337" s="9"/>
      <c r="P337" s="40" t="str">
        <f ca="1">IF(Table5[[#This Row],[Last sale Date]]="","Never Sold",TODAY()-Table5[[#This Row],[Last sale Date]])</f>
        <v>Never Sold</v>
      </c>
      <c r="Q337" s="6" t="str">
        <f>IF(Table5[[#This Row],[Re order Level]]&lt;=Table5[[#This Row],[Current stock]],"ORDERASAP","OK BUT BE CHECKING")</f>
        <v>OK BUT BE CHECKING</v>
      </c>
      <c r="R337" s="6" t="str">
        <f t="shared" si="21"/>
        <v>ACTIVE</v>
      </c>
      <c r="S337" s="8">
        <f>IF(Table5[[#This Row],[DEADSTOCK FLAG]]="DEAD",Table5[[#This Row],[Inventory Value]],0)</f>
        <v>0</v>
      </c>
    </row>
    <row r="338" spans="1:19" x14ac:dyDescent="0.25">
      <c r="A338" s="24" t="str">
        <f>'Inventory master'!A338</f>
        <v>ITEM337-A</v>
      </c>
      <c r="B338" s="6" t="str">
        <f>'Inventory master'!B338</f>
        <v>Pedestal Enclosure</v>
      </c>
      <c r="C338" s="6" t="str">
        <f>'Inventory master'!C338</f>
        <v>Enclosures</v>
      </c>
      <c r="D338" s="6" t="str">
        <f>'Inventory master'!D338</f>
        <v>CommScope</v>
      </c>
      <c r="E338" s="10" t="str">
        <f>'Inventory master'!E338</f>
        <v>513.96</v>
      </c>
      <c r="F338" s="10" t="str">
        <f>'Inventory master'!F338</f>
        <v>759.92</v>
      </c>
      <c r="G338" s="10" t="str">
        <f>'Inventory master'!G338</f>
        <v>57</v>
      </c>
      <c r="H338" s="8">
        <f>IFERROR(_xlfn.XLOOKUP(A338, 'Opening stock'!A338:A937, 'Opening stock'!E338:E937), "")</f>
        <v>855</v>
      </c>
      <c r="I338" s="8">
        <f>IFERROR(SUMIF(Table3[Item ID],'Inventory calculations'!A338,Table3[Quantity]),0)</f>
        <v>180</v>
      </c>
      <c r="J338" s="8">
        <f>IFERROR(SUMIF(Table4[Item ID],'Inventory calculations'!A338,Table4[Quantity Purchased]),0)</f>
        <v>12</v>
      </c>
      <c r="K338" s="10">
        <f t="shared" si="22"/>
        <v>687</v>
      </c>
      <c r="L338" s="6" t="str">
        <f t="shared" si="23"/>
        <v>OK</v>
      </c>
      <c r="M338" s="13">
        <f t="shared" si="20"/>
        <v>353090.52</v>
      </c>
      <c r="N338" s="8">
        <f>Table5[[#This Row],[Total Qty Sold]]*Table5[[#This Row],[Unit Price]]</f>
        <v>136785.60000000001</v>
      </c>
      <c r="O338" s="9">
        <f>IFERROR(_xlfn.MAXIFS(Table3[Date],Table3[Item ID],Table5[[#This Row],[Item ID]]),"")</f>
        <v>46015</v>
      </c>
      <c r="P338" s="40">
        <f ca="1">IF(Table5[[#This Row],[Last sale Date]]="","Never Sold",TODAY()-Table5[[#This Row],[Last sale Date]])</f>
        <v>37</v>
      </c>
      <c r="Q338" s="6" t="str">
        <f>IF(Table5[[#This Row],[Re order Level]]&lt;=Table5[[#This Row],[Current stock]],"ORDERASAP","OK BUT BE CHECKING")</f>
        <v>OK BUT BE CHECKING</v>
      </c>
      <c r="R338" s="6" t="str">
        <f t="shared" si="21"/>
        <v>ACTIVE</v>
      </c>
      <c r="S338" s="8">
        <f>IF(Table5[[#This Row],[DEADSTOCK FLAG]]="DEAD",Table5[[#This Row],[Inventory Value]],0)</f>
        <v>0</v>
      </c>
    </row>
    <row r="339" spans="1:19" x14ac:dyDescent="0.25">
      <c r="A339" s="24" t="str">
        <f>'Inventory master'!A339</f>
        <v>ITEM338-A</v>
      </c>
      <c r="B339" s="6" t="str">
        <f>'Inventory master'!B339</f>
        <v>ST APC Connector</v>
      </c>
      <c r="C339" s="6" t="str">
        <f>'Inventory master'!C339</f>
        <v>Connectors</v>
      </c>
      <c r="D339" s="6" t="str">
        <f>'Inventory master'!D339</f>
        <v>Prysmian Group</v>
      </c>
      <c r="E339" s="10" t="str">
        <f>'Inventory master'!E339</f>
        <v>814.95</v>
      </c>
      <c r="F339" s="10" t="str">
        <f>'Inventory master'!F339</f>
        <v>1390.41</v>
      </c>
      <c r="G339" s="10" t="str">
        <f>'Inventory master'!G339</f>
        <v>42</v>
      </c>
      <c r="H339" s="8">
        <f>IFERROR(_xlfn.XLOOKUP(A339, 'Opening stock'!A339:A938, 'Opening stock'!E339:E938), "")</f>
        <v>630</v>
      </c>
      <c r="I339" s="8">
        <f>IFERROR(SUMIF(Table3[Item ID],'Inventory calculations'!A339,Table3[Quantity]),0)</f>
        <v>0</v>
      </c>
      <c r="J339" s="8">
        <f>IFERROR(SUMIF(Table4[Item ID],'Inventory calculations'!A339,Table4[Quantity Purchased]),0)</f>
        <v>0</v>
      </c>
      <c r="K339" s="10">
        <f t="shared" si="22"/>
        <v>630</v>
      </c>
      <c r="L339" s="6" t="str">
        <f t="shared" si="23"/>
        <v>OK</v>
      </c>
      <c r="M339" s="13">
        <f t="shared" si="20"/>
        <v>513418.5</v>
      </c>
      <c r="N339" s="8">
        <f>Table5[[#This Row],[Total Qty Sold]]*Table5[[#This Row],[Unit Price]]</f>
        <v>0</v>
      </c>
      <c r="O339" s="9"/>
      <c r="P339" s="40" t="str">
        <f ca="1">IF(Table5[[#This Row],[Last sale Date]]="","Never Sold",TODAY()-Table5[[#This Row],[Last sale Date]])</f>
        <v>Never Sold</v>
      </c>
      <c r="Q339" s="6" t="str">
        <f>IF(Table5[[#This Row],[Re order Level]]&lt;=Table5[[#This Row],[Current stock]],"ORDERASAP","OK BUT BE CHECKING")</f>
        <v>OK BUT BE CHECKING</v>
      </c>
      <c r="R339" s="6" t="str">
        <f t="shared" si="21"/>
        <v>ACTIVE</v>
      </c>
      <c r="S339" s="8">
        <f>IF(Table5[[#This Row],[DEADSTOCK FLAG]]="DEAD",Table5[[#This Row],[Inventory Value]],0)</f>
        <v>0</v>
      </c>
    </row>
    <row r="340" spans="1:19" x14ac:dyDescent="0.25">
      <c r="A340" s="24" t="str">
        <f>'Inventory master'!A340</f>
        <v>ITEM339-A</v>
      </c>
      <c r="B340" s="6" t="str">
        <f>'Inventory master'!B340</f>
        <v>Outdoor Fiber Cable 50m</v>
      </c>
      <c r="C340" s="6" t="str">
        <f>'Inventory master'!C340</f>
        <v>Fiber Optic Cables</v>
      </c>
      <c r="D340" s="6" t="str">
        <f>'Inventory master'!D340</f>
        <v>Panduit</v>
      </c>
      <c r="E340" s="10" t="str">
        <f>'Inventory master'!E340</f>
        <v>397.73</v>
      </c>
      <c r="F340" s="10" t="str">
        <f>'Inventory master'!F340</f>
        <v>512.41</v>
      </c>
      <c r="G340" s="10" t="str">
        <f>'Inventory master'!G340</f>
        <v>99</v>
      </c>
      <c r="H340" s="8">
        <f>IFERROR(_xlfn.XLOOKUP(A340, 'Opening stock'!A340:A939, 'Opening stock'!E340:E939), "")</f>
        <v>1485</v>
      </c>
      <c r="I340" s="8">
        <f>IFERROR(SUMIF(Table3[Item ID],'Inventory calculations'!A340,Table3[Quantity]),0)</f>
        <v>0</v>
      </c>
      <c r="J340" s="8">
        <f>IFERROR(SUMIF(Table4[Item ID],'Inventory calculations'!A340,Table4[Quantity Purchased]),0)</f>
        <v>8</v>
      </c>
      <c r="K340" s="10">
        <f t="shared" si="22"/>
        <v>1493</v>
      </c>
      <c r="L340" s="6" t="str">
        <f t="shared" si="23"/>
        <v>OK</v>
      </c>
      <c r="M340" s="13">
        <f t="shared" si="20"/>
        <v>593810.89</v>
      </c>
      <c r="N340" s="8">
        <f>Table5[[#This Row],[Total Qty Sold]]*Table5[[#This Row],[Unit Price]]</f>
        <v>0</v>
      </c>
      <c r="O340" s="9"/>
      <c r="P340" s="40" t="str">
        <f ca="1">IF(Table5[[#This Row],[Last sale Date]]="","Never Sold",TODAY()-Table5[[#This Row],[Last sale Date]])</f>
        <v>Never Sold</v>
      </c>
      <c r="Q340" s="6" t="str">
        <f>IF(Table5[[#This Row],[Re order Level]]&lt;=Table5[[#This Row],[Current stock]],"ORDERASAP","OK BUT BE CHECKING")</f>
        <v>OK BUT BE CHECKING</v>
      </c>
      <c r="R340" s="6" t="str">
        <f t="shared" si="21"/>
        <v>ACTIVE</v>
      </c>
      <c r="S340" s="8">
        <f>IF(Table5[[#This Row],[DEADSTOCK FLAG]]="DEAD",Table5[[#This Row],[Inventory Value]],0)</f>
        <v>0</v>
      </c>
    </row>
    <row r="341" spans="1:19" x14ac:dyDescent="0.25">
      <c r="A341" s="24" t="str">
        <f>'Inventory master'!A341</f>
        <v>ITEM340-A</v>
      </c>
      <c r="B341" s="6" t="str">
        <f>'Inventory master'!B341</f>
        <v>SC UPC Connector</v>
      </c>
      <c r="C341" s="6" t="str">
        <f>'Inventory master'!C341</f>
        <v>Connectors</v>
      </c>
      <c r="D341" s="6" t="str">
        <f>'Inventory master'!D341</f>
        <v>Leviton</v>
      </c>
      <c r="E341" s="10" t="str">
        <f>'Inventory master'!E341</f>
        <v>1087.01</v>
      </c>
      <c r="F341" s="10" t="str">
        <f>'Inventory master'!F341</f>
        <v>1824.34</v>
      </c>
      <c r="G341" s="10" t="str">
        <f>'Inventory master'!G341</f>
        <v>95</v>
      </c>
      <c r="H341" s="8">
        <f>IFERROR(_xlfn.XLOOKUP(A341, 'Opening stock'!A341:A940, 'Opening stock'!E341:E940), "")</f>
        <v>1425</v>
      </c>
      <c r="I341" s="8">
        <f>IFERROR(SUMIF(Table3[Item ID],'Inventory calculations'!A341,Table3[Quantity]),0)</f>
        <v>0</v>
      </c>
      <c r="J341" s="8">
        <f>IFERROR(SUMIF(Table4[Item ID],'Inventory calculations'!A341,Table4[Quantity Purchased]),0)</f>
        <v>14</v>
      </c>
      <c r="K341" s="10">
        <f t="shared" si="22"/>
        <v>1439</v>
      </c>
      <c r="L341" s="6" t="str">
        <f t="shared" si="23"/>
        <v>OK</v>
      </c>
      <c r="M341" s="13">
        <f t="shared" si="20"/>
        <v>1564207.39</v>
      </c>
      <c r="N341" s="8">
        <f>Table5[[#This Row],[Total Qty Sold]]*Table5[[#This Row],[Unit Price]]</f>
        <v>0</v>
      </c>
      <c r="O341" s="9"/>
      <c r="P341" s="40" t="str">
        <f ca="1">IF(Table5[[#This Row],[Last sale Date]]="","Never Sold",TODAY()-Table5[[#This Row],[Last sale Date]])</f>
        <v>Never Sold</v>
      </c>
      <c r="Q341" s="6" t="str">
        <f>IF(Table5[[#This Row],[Re order Level]]&lt;=Table5[[#This Row],[Current stock]],"ORDERASAP","OK BUT BE CHECKING")</f>
        <v>OK BUT BE CHECKING</v>
      </c>
      <c r="R341" s="6" t="str">
        <f t="shared" si="21"/>
        <v>ACTIVE</v>
      </c>
      <c r="S341" s="8">
        <f>IF(Table5[[#This Row],[DEADSTOCK FLAG]]="DEAD",Table5[[#This Row],[Inventory Value]],0)</f>
        <v>0</v>
      </c>
    </row>
    <row r="342" spans="1:19" x14ac:dyDescent="0.25">
      <c r="A342" s="24" t="str">
        <f>'Inventory master'!A342</f>
        <v>ITEM341-A</v>
      </c>
      <c r="B342" s="6" t="str">
        <f>'Inventory master'!B342</f>
        <v>72-Port Fiber Patch Panel</v>
      </c>
      <c r="C342" s="6" t="str">
        <f>'Inventory master'!C342</f>
        <v>Patch Panels</v>
      </c>
      <c r="D342" s="6" t="str">
        <f>'Inventory master'!D342</f>
        <v>Siemon</v>
      </c>
      <c r="E342" s="10" t="str">
        <f>'Inventory master'!E342</f>
        <v>1259.95</v>
      </c>
      <c r="F342" s="10" t="str">
        <f>'Inventory master'!F342</f>
        <v>1657.14</v>
      </c>
      <c r="G342" s="10" t="str">
        <f>'Inventory master'!G342</f>
        <v>20</v>
      </c>
      <c r="H342" s="8">
        <f>IFERROR(_xlfn.XLOOKUP(A342, 'Opening stock'!A342:A941, 'Opening stock'!E342:E941), "")</f>
        <v>300</v>
      </c>
      <c r="I342" s="8">
        <f>IFERROR(SUMIF(Table3[Item ID],'Inventory calculations'!A342,Table3[Quantity]),0)</f>
        <v>11</v>
      </c>
      <c r="J342" s="8">
        <f>IFERROR(SUMIF(Table4[Item ID],'Inventory calculations'!A342,Table4[Quantity Purchased]),0)</f>
        <v>13</v>
      </c>
      <c r="K342" s="10">
        <f t="shared" si="22"/>
        <v>302</v>
      </c>
      <c r="L342" s="6" t="str">
        <f t="shared" si="23"/>
        <v>OK</v>
      </c>
      <c r="M342" s="13">
        <f t="shared" si="20"/>
        <v>380504.9</v>
      </c>
      <c r="N342" s="8">
        <f>Table5[[#This Row],[Total Qty Sold]]*Table5[[#This Row],[Unit Price]]</f>
        <v>18228.54</v>
      </c>
      <c r="O342" s="9">
        <f>IFERROR(_xlfn.MAXIFS(Table3[Date],Table3[Item ID],Table5[[#This Row],[Item ID]]),"")</f>
        <v>45550</v>
      </c>
      <c r="P342" s="40">
        <f ca="1">IF(Table5[[#This Row],[Last sale Date]]="","Never Sold",TODAY()-Table5[[#This Row],[Last sale Date]])</f>
        <v>502</v>
      </c>
      <c r="Q342" s="6" t="str">
        <f>IF(Table5[[#This Row],[Re order Level]]&lt;=Table5[[#This Row],[Current stock]],"ORDERASAP","OK BUT BE CHECKING")</f>
        <v>OK BUT BE CHECKING</v>
      </c>
      <c r="R342" s="6" t="str">
        <f t="shared" si="21"/>
        <v>ACTIVE</v>
      </c>
      <c r="S342" s="8">
        <f>IF(Table5[[#This Row],[DEADSTOCK FLAG]]="DEAD",Table5[[#This Row],[Inventory Value]],0)</f>
        <v>0</v>
      </c>
    </row>
    <row r="343" spans="1:19" x14ac:dyDescent="0.25">
      <c r="A343" s="24" t="str">
        <f>'Inventory master'!A343</f>
        <v>ITEM342-A</v>
      </c>
      <c r="B343" s="6" t="str">
        <f>'Inventory master'!B343</f>
        <v>1x16 PLC Splitter</v>
      </c>
      <c r="C343" s="6" t="str">
        <f>'Inventory master'!C343</f>
        <v>Splitters</v>
      </c>
      <c r="D343" s="6" t="str">
        <f>'Inventory master'!D343</f>
        <v>Prysmian Group</v>
      </c>
      <c r="E343" s="10" t="str">
        <f>'Inventory master'!E343</f>
        <v>143.65</v>
      </c>
      <c r="F343" s="10" t="str">
        <f>'Inventory master'!F343</f>
        <v>225.54</v>
      </c>
      <c r="G343" s="10" t="str">
        <f>'Inventory master'!G343</f>
        <v>63</v>
      </c>
      <c r="H343" s="8">
        <f>IFERROR(_xlfn.XLOOKUP(A343, 'Opening stock'!A343:A942, 'Opening stock'!E343:E942), "")</f>
        <v>945</v>
      </c>
      <c r="I343" s="8">
        <f>IFERROR(SUMIF(Table3[Item ID],'Inventory calculations'!A343,Table3[Quantity]),0)</f>
        <v>7</v>
      </c>
      <c r="J343" s="8">
        <f>IFERROR(SUMIF(Table4[Item ID],'Inventory calculations'!A343,Table4[Quantity Purchased]),0)</f>
        <v>3</v>
      </c>
      <c r="K343" s="10">
        <f t="shared" si="22"/>
        <v>941</v>
      </c>
      <c r="L343" s="6" t="str">
        <f t="shared" si="23"/>
        <v>OK</v>
      </c>
      <c r="M343" s="13">
        <f t="shared" si="20"/>
        <v>135174.65</v>
      </c>
      <c r="N343" s="8">
        <f>Table5[[#This Row],[Total Qty Sold]]*Table5[[#This Row],[Unit Price]]</f>
        <v>1578.78</v>
      </c>
      <c r="O343" s="9">
        <f>IFERROR(_xlfn.MAXIFS(Table3[Date],Table3[Item ID],Table5[[#This Row],[Item ID]]),"")</f>
        <v>45891</v>
      </c>
      <c r="P343" s="40">
        <f ca="1">IF(Table5[[#This Row],[Last sale Date]]="","Never Sold",TODAY()-Table5[[#This Row],[Last sale Date]])</f>
        <v>161</v>
      </c>
      <c r="Q343" s="6" t="str">
        <f>IF(Table5[[#This Row],[Re order Level]]&lt;=Table5[[#This Row],[Current stock]],"ORDERASAP","OK BUT BE CHECKING")</f>
        <v>OK BUT BE CHECKING</v>
      </c>
      <c r="R343" s="6" t="str">
        <f t="shared" si="21"/>
        <v>ACTIVE</v>
      </c>
      <c r="S343" s="8">
        <f>IF(Table5[[#This Row],[DEADSTOCK FLAG]]="DEAD",Table5[[#This Row],[Inventory Value]],0)</f>
        <v>0</v>
      </c>
    </row>
    <row r="344" spans="1:19" x14ac:dyDescent="0.25">
      <c r="A344" s="24" t="str">
        <f>'Inventory master'!A344</f>
        <v>ITEM343-A</v>
      </c>
      <c r="B344" s="6" t="str">
        <f>'Inventory master'!B344</f>
        <v>Indoor Fiber Cable 100m</v>
      </c>
      <c r="C344" s="6" t="str">
        <f>'Inventory master'!C344</f>
        <v>Fiber Optic Cables</v>
      </c>
      <c r="D344" s="6" t="str">
        <f>'Inventory master'!D344</f>
        <v>Belden</v>
      </c>
      <c r="E344" s="10" t="str">
        <f>'Inventory master'!E344</f>
        <v>245.26</v>
      </c>
      <c r="F344" s="10" t="str">
        <f>'Inventory master'!F344</f>
        <v>318.63</v>
      </c>
      <c r="G344" s="10" t="str">
        <f>'Inventory master'!G344</f>
        <v>42</v>
      </c>
      <c r="H344" s="8">
        <f>IFERROR(_xlfn.XLOOKUP(A344, 'Opening stock'!A344:A943, 'Opening stock'!E344:E943), "")</f>
        <v>630</v>
      </c>
      <c r="I344" s="8">
        <f>IFERROR(SUMIF(Table3[Item ID],'Inventory calculations'!A344,Table3[Quantity]),0)</f>
        <v>0</v>
      </c>
      <c r="J344" s="8">
        <f>IFERROR(SUMIF(Table4[Item ID],'Inventory calculations'!A344,Table4[Quantity Purchased]),0)</f>
        <v>1</v>
      </c>
      <c r="K344" s="10">
        <f t="shared" si="22"/>
        <v>631</v>
      </c>
      <c r="L344" s="6" t="str">
        <f t="shared" si="23"/>
        <v>OK</v>
      </c>
      <c r="M344" s="13">
        <f t="shared" si="20"/>
        <v>154759.06</v>
      </c>
      <c r="N344" s="8">
        <f>Table5[[#This Row],[Total Qty Sold]]*Table5[[#This Row],[Unit Price]]</f>
        <v>0</v>
      </c>
      <c r="O344" s="9"/>
      <c r="P344" s="40" t="str">
        <f ca="1">IF(Table5[[#This Row],[Last sale Date]]="","Never Sold",TODAY()-Table5[[#This Row],[Last sale Date]])</f>
        <v>Never Sold</v>
      </c>
      <c r="Q344" s="6" t="str">
        <f>IF(Table5[[#This Row],[Re order Level]]&lt;=Table5[[#This Row],[Current stock]],"ORDERASAP","OK BUT BE CHECKING")</f>
        <v>OK BUT BE CHECKING</v>
      </c>
      <c r="R344" s="6" t="str">
        <f t="shared" si="21"/>
        <v>ACTIVE</v>
      </c>
      <c r="S344" s="8">
        <f>IF(Table5[[#This Row],[DEADSTOCK FLAG]]="DEAD",Table5[[#This Row],[Inventory Value]],0)</f>
        <v>0</v>
      </c>
    </row>
    <row r="345" spans="1:19" x14ac:dyDescent="0.25">
      <c r="A345" s="24" t="str">
        <f>'Inventory master'!A345</f>
        <v>ITEM344-A</v>
      </c>
      <c r="B345" s="6" t="str">
        <f>'Inventory master'!B345</f>
        <v>Mechanical Splicer</v>
      </c>
      <c r="C345" s="6" t="str">
        <f>'Inventory master'!C345</f>
        <v>Splicers</v>
      </c>
      <c r="D345" s="6" t="str">
        <f>'Inventory master'!D345</f>
        <v>Panduit</v>
      </c>
      <c r="E345" s="10" t="str">
        <f>'Inventory master'!E345</f>
        <v>1392.22</v>
      </c>
      <c r="F345" s="10" t="str">
        <f>'Inventory master'!F345</f>
        <v>1593.22</v>
      </c>
      <c r="G345" s="10" t="str">
        <f>'Inventory master'!G345</f>
        <v>65</v>
      </c>
      <c r="H345" s="8">
        <f>IFERROR(_xlfn.XLOOKUP(A345, 'Opening stock'!A345:A944, 'Opening stock'!E345:E944), "")</f>
        <v>975</v>
      </c>
      <c r="I345" s="8">
        <f>IFERROR(SUMIF(Table3[Item ID],'Inventory calculations'!A345,Table3[Quantity]),0)</f>
        <v>0</v>
      </c>
      <c r="J345" s="8">
        <f>IFERROR(SUMIF(Table4[Item ID],'Inventory calculations'!A345,Table4[Quantity Purchased]),0)</f>
        <v>12</v>
      </c>
      <c r="K345" s="10">
        <f t="shared" si="22"/>
        <v>987</v>
      </c>
      <c r="L345" s="6" t="str">
        <f t="shared" si="23"/>
        <v>OK</v>
      </c>
      <c r="M345" s="13">
        <f t="shared" si="20"/>
        <v>1374121.1400000001</v>
      </c>
      <c r="N345" s="8">
        <f>Table5[[#This Row],[Total Qty Sold]]*Table5[[#This Row],[Unit Price]]</f>
        <v>0</v>
      </c>
      <c r="O345" s="9"/>
      <c r="P345" s="40" t="str">
        <f ca="1">IF(Table5[[#This Row],[Last sale Date]]="","Never Sold",TODAY()-Table5[[#This Row],[Last sale Date]])</f>
        <v>Never Sold</v>
      </c>
      <c r="Q345" s="6" t="str">
        <f>IF(Table5[[#This Row],[Re order Level]]&lt;=Table5[[#This Row],[Current stock]],"ORDERASAP","OK BUT BE CHECKING")</f>
        <v>OK BUT BE CHECKING</v>
      </c>
      <c r="R345" s="6" t="str">
        <f t="shared" si="21"/>
        <v>ACTIVE</v>
      </c>
      <c r="S345" s="8">
        <f>IF(Table5[[#This Row],[DEADSTOCK FLAG]]="DEAD",Table5[[#This Row],[Inventory Value]],0)</f>
        <v>0</v>
      </c>
    </row>
    <row r="346" spans="1:19" x14ac:dyDescent="0.25">
      <c r="A346" s="24" t="str">
        <f>'Inventory master'!A346</f>
        <v>ITEM345-A</v>
      </c>
      <c r="B346" s="6" t="str">
        <f>'Inventory master'!B346</f>
        <v>Mechanical Splicer</v>
      </c>
      <c r="C346" s="6" t="str">
        <f>'Inventory master'!C346</f>
        <v>Splicers</v>
      </c>
      <c r="D346" s="6" t="str">
        <f>'Inventory master'!D346</f>
        <v>Amphenol</v>
      </c>
      <c r="E346" s="10" t="str">
        <f>'Inventory master'!E346</f>
        <v>963.17</v>
      </c>
      <c r="F346" s="10" t="str">
        <f>'Inventory master'!F346</f>
        <v>1522.78</v>
      </c>
      <c r="G346" s="10" t="str">
        <f>'Inventory master'!G346</f>
        <v>25</v>
      </c>
      <c r="H346" s="8">
        <f>IFERROR(_xlfn.XLOOKUP(A346, 'Opening stock'!A346:A945, 'Opening stock'!E346:E945), "")</f>
        <v>375</v>
      </c>
      <c r="I346" s="8">
        <f>IFERROR(SUMIF(Table3[Item ID],'Inventory calculations'!A346,Table3[Quantity]),0)</f>
        <v>0</v>
      </c>
      <c r="J346" s="8">
        <f>IFERROR(SUMIF(Table4[Item ID],'Inventory calculations'!A346,Table4[Quantity Purchased]),0)</f>
        <v>1</v>
      </c>
      <c r="K346" s="10">
        <f t="shared" si="22"/>
        <v>376</v>
      </c>
      <c r="L346" s="6" t="str">
        <f t="shared" si="23"/>
        <v>OK</v>
      </c>
      <c r="M346" s="13">
        <f t="shared" si="20"/>
        <v>362151.92</v>
      </c>
      <c r="N346" s="8">
        <f>Table5[[#This Row],[Total Qty Sold]]*Table5[[#This Row],[Unit Price]]</f>
        <v>0</v>
      </c>
      <c r="O346" s="9"/>
      <c r="P346" s="40" t="str">
        <f ca="1">IF(Table5[[#This Row],[Last sale Date]]="","Never Sold",TODAY()-Table5[[#This Row],[Last sale Date]])</f>
        <v>Never Sold</v>
      </c>
      <c r="Q346" s="6" t="str">
        <f>IF(Table5[[#This Row],[Re order Level]]&lt;=Table5[[#This Row],[Current stock]],"ORDERASAP","OK BUT BE CHECKING")</f>
        <v>OK BUT BE CHECKING</v>
      </c>
      <c r="R346" s="6" t="str">
        <f t="shared" si="21"/>
        <v>ACTIVE</v>
      </c>
      <c r="S346" s="8">
        <f>IF(Table5[[#This Row],[DEADSTOCK FLAG]]="DEAD",Table5[[#This Row],[Inventory Value]],0)</f>
        <v>0</v>
      </c>
    </row>
    <row r="347" spans="1:19" x14ac:dyDescent="0.25">
      <c r="A347" s="24" t="str">
        <f>'Inventory master'!A347</f>
        <v>ITEM346-A</v>
      </c>
      <c r="B347" s="6" t="str">
        <f>'Inventory master'!B347</f>
        <v>Wall-Mount Enclosure</v>
      </c>
      <c r="C347" s="6" t="str">
        <f>'Inventory master'!C347</f>
        <v>Enclosures</v>
      </c>
      <c r="D347" s="6" t="str">
        <f>'Inventory master'!D347</f>
        <v>Corning Inc.</v>
      </c>
      <c r="E347" s="10" t="str">
        <f>'Inventory master'!E347</f>
        <v>1821.87</v>
      </c>
      <c r="F347" s="10" t="str">
        <f>'Inventory master'!F347</f>
        <v>3232.68</v>
      </c>
      <c r="G347" s="10" t="str">
        <f>'Inventory master'!G347</f>
        <v>85</v>
      </c>
      <c r="H347" s="8">
        <f>IFERROR(_xlfn.XLOOKUP(A347, 'Opening stock'!A347:A946, 'Opening stock'!E347:E946), "")</f>
        <v>1275</v>
      </c>
      <c r="I347" s="8">
        <f>IFERROR(SUMIF(Table3[Item ID],'Inventory calculations'!A347,Table3[Quantity]),0)</f>
        <v>3</v>
      </c>
      <c r="J347" s="8">
        <f>IFERROR(SUMIF(Table4[Item ID],'Inventory calculations'!A347,Table4[Quantity Purchased]),0)</f>
        <v>10</v>
      </c>
      <c r="K347" s="10">
        <f t="shared" si="22"/>
        <v>1282</v>
      </c>
      <c r="L347" s="6" t="str">
        <f t="shared" si="23"/>
        <v>OK</v>
      </c>
      <c r="M347" s="13">
        <f t="shared" si="20"/>
        <v>2335637.34</v>
      </c>
      <c r="N347" s="8">
        <f>Table5[[#This Row],[Total Qty Sold]]*Table5[[#This Row],[Unit Price]]</f>
        <v>9698.0399999999991</v>
      </c>
      <c r="O347" s="9">
        <f>IFERROR(_xlfn.MAXIFS(Table3[Date],Table3[Item ID],Table5[[#This Row],[Item ID]]),"")</f>
        <v>45412</v>
      </c>
      <c r="P347" s="40">
        <f ca="1">IF(Table5[[#This Row],[Last sale Date]]="","Never Sold",TODAY()-Table5[[#This Row],[Last sale Date]])</f>
        <v>640</v>
      </c>
      <c r="Q347" s="6" t="str">
        <f>IF(Table5[[#This Row],[Re order Level]]&lt;=Table5[[#This Row],[Current stock]],"ORDERASAP","OK BUT BE CHECKING")</f>
        <v>OK BUT BE CHECKING</v>
      </c>
      <c r="R347" s="6" t="str">
        <f t="shared" si="21"/>
        <v>ACTIVE</v>
      </c>
      <c r="S347" s="8">
        <f>IF(Table5[[#This Row],[DEADSTOCK FLAG]]="DEAD",Table5[[#This Row],[Inventory Value]],0)</f>
        <v>0</v>
      </c>
    </row>
    <row r="348" spans="1:19" x14ac:dyDescent="0.25">
      <c r="A348" s="24" t="str">
        <f>'Inventory master'!A348</f>
        <v>ITEM347-A</v>
      </c>
      <c r="B348" s="6" t="str">
        <f>'Inventory master'!B348</f>
        <v>Mechanical Splicer</v>
      </c>
      <c r="C348" s="6" t="str">
        <f>'Inventory master'!C348</f>
        <v>Splicers</v>
      </c>
      <c r="D348" s="6" t="str">
        <f>'Inventory master'!D348</f>
        <v>TE Connectivity</v>
      </c>
      <c r="E348" s="10" t="str">
        <f>'Inventory master'!E348</f>
        <v>1666.92</v>
      </c>
      <c r="F348" s="10" t="str">
        <f>'Inventory master'!F348</f>
        <v>2040.84</v>
      </c>
      <c r="G348" s="10" t="str">
        <f>'Inventory master'!G348</f>
        <v>72</v>
      </c>
      <c r="H348" s="8">
        <f>IFERROR(_xlfn.XLOOKUP(A348, 'Opening stock'!A348:A947, 'Opening stock'!E348:E947), "")</f>
        <v>1080</v>
      </c>
      <c r="I348" s="8">
        <f>IFERROR(SUMIF(Table3[Item ID],'Inventory calculations'!A348,Table3[Quantity]),0)</f>
        <v>0</v>
      </c>
      <c r="J348" s="8">
        <f>IFERROR(SUMIF(Table4[Item ID],'Inventory calculations'!A348,Table4[Quantity Purchased]),0)</f>
        <v>0</v>
      </c>
      <c r="K348" s="10">
        <f t="shared" si="22"/>
        <v>1080</v>
      </c>
      <c r="L348" s="6" t="str">
        <f t="shared" si="23"/>
        <v>OK</v>
      </c>
      <c r="M348" s="13">
        <f t="shared" si="20"/>
        <v>1800273.6</v>
      </c>
      <c r="N348" s="8">
        <f>Table5[[#This Row],[Total Qty Sold]]*Table5[[#This Row],[Unit Price]]</f>
        <v>0</v>
      </c>
      <c r="O348" s="9"/>
      <c r="P348" s="40" t="str">
        <f ca="1">IF(Table5[[#This Row],[Last sale Date]]="","Never Sold",TODAY()-Table5[[#This Row],[Last sale Date]])</f>
        <v>Never Sold</v>
      </c>
      <c r="Q348" s="6" t="str">
        <f>IF(Table5[[#This Row],[Re order Level]]&lt;=Table5[[#This Row],[Current stock]],"ORDERASAP","OK BUT BE CHECKING")</f>
        <v>OK BUT BE CHECKING</v>
      </c>
      <c r="R348" s="6" t="str">
        <f t="shared" si="21"/>
        <v>ACTIVE</v>
      </c>
      <c r="S348" s="8">
        <f>IF(Table5[[#This Row],[DEADSTOCK FLAG]]="DEAD",Table5[[#This Row],[Inventory Value]],0)</f>
        <v>0</v>
      </c>
    </row>
    <row r="349" spans="1:19" x14ac:dyDescent="0.25">
      <c r="A349" s="24" t="str">
        <f>'Inventory master'!A349</f>
        <v>ITEM348-A</v>
      </c>
      <c r="B349" s="6" t="str">
        <f>'Inventory master'!B349</f>
        <v>Multi-Mode Fiber Cable 100m</v>
      </c>
      <c r="C349" s="6" t="str">
        <f>'Inventory master'!C349</f>
        <v>Fiber Optic Cables</v>
      </c>
      <c r="D349" s="6" t="str">
        <f>'Inventory master'!D349</f>
        <v>Corning Inc.</v>
      </c>
      <c r="E349" s="10" t="str">
        <f>'Inventory master'!E349</f>
        <v>960.08</v>
      </c>
      <c r="F349" s="10" t="str">
        <f>'Inventory master'!F349</f>
        <v>1159.49</v>
      </c>
      <c r="G349" s="10" t="str">
        <f>'Inventory master'!G349</f>
        <v>71</v>
      </c>
      <c r="H349" s="8">
        <f>IFERROR(_xlfn.XLOOKUP(A349, 'Opening stock'!A349:A948, 'Opening stock'!E349:E948), "")</f>
        <v>1065</v>
      </c>
      <c r="I349" s="8">
        <f>IFERROR(SUMIF(Table3[Item ID],'Inventory calculations'!A349,Table3[Quantity]),0)</f>
        <v>204</v>
      </c>
      <c r="J349" s="8">
        <f>IFERROR(SUMIF(Table4[Item ID],'Inventory calculations'!A349,Table4[Quantity Purchased]),0)</f>
        <v>33</v>
      </c>
      <c r="K349" s="10">
        <f t="shared" si="22"/>
        <v>894</v>
      </c>
      <c r="L349" s="6" t="str">
        <f t="shared" si="23"/>
        <v>OK</v>
      </c>
      <c r="M349" s="13">
        <f t="shared" si="20"/>
        <v>858311.52</v>
      </c>
      <c r="N349" s="8">
        <f>Table5[[#This Row],[Total Qty Sold]]*Table5[[#This Row],[Unit Price]]</f>
        <v>236535.96</v>
      </c>
      <c r="O349" s="9">
        <f>IFERROR(_xlfn.MAXIFS(Table3[Date],Table3[Item ID],Table5[[#This Row],[Item ID]]),"")</f>
        <v>45635</v>
      </c>
      <c r="P349" s="40">
        <f ca="1">IF(Table5[[#This Row],[Last sale Date]]="","Never Sold",TODAY()-Table5[[#This Row],[Last sale Date]])</f>
        <v>417</v>
      </c>
      <c r="Q349" s="6" t="str">
        <f>IF(Table5[[#This Row],[Re order Level]]&lt;=Table5[[#This Row],[Current stock]],"ORDERASAP","OK BUT BE CHECKING")</f>
        <v>OK BUT BE CHECKING</v>
      </c>
      <c r="R349" s="6" t="str">
        <f t="shared" si="21"/>
        <v>ACTIVE</v>
      </c>
      <c r="S349" s="8">
        <f>IF(Table5[[#This Row],[DEADSTOCK FLAG]]="DEAD",Table5[[#This Row],[Inventory Value]],0)</f>
        <v>0</v>
      </c>
    </row>
    <row r="350" spans="1:19" x14ac:dyDescent="0.25">
      <c r="A350" s="24" t="str">
        <f>'Inventory master'!A350</f>
        <v>ITEM349-A</v>
      </c>
      <c r="B350" s="6" t="str">
        <f>'Inventory master'!B350</f>
        <v>Armored Fiber Cable 300m</v>
      </c>
      <c r="C350" s="6" t="str">
        <f>'Inventory master'!C350</f>
        <v>Fiber Optic Cables</v>
      </c>
      <c r="D350" s="6" t="str">
        <f>'Inventory master'!D350</f>
        <v>Amphenol</v>
      </c>
      <c r="E350" s="10" t="str">
        <f>'Inventory master'!E350</f>
        <v>1163.17</v>
      </c>
      <c r="F350" s="10" t="str">
        <f>'Inventory master'!F350</f>
        <v>1680.01</v>
      </c>
      <c r="G350" s="10" t="str">
        <f>'Inventory master'!G350</f>
        <v>67</v>
      </c>
      <c r="H350" s="8">
        <f>IFERROR(_xlfn.XLOOKUP(A350, 'Opening stock'!A350:A949, 'Opening stock'!E350:E949), "")</f>
        <v>1005</v>
      </c>
      <c r="I350" s="8">
        <f>IFERROR(SUMIF(Table3[Item ID],'Inventory calculations'!A350,Table3[Quantity]),0)</f>
        <v>8</v>
      </c>
      <c r="J350" s="8">
        <f>IFERROR(SUMIF(Table4[Item ID],'Inventory calculations'!A350,Table4[Quantity Purchased]),0)</f>
        <v>1</v>
      </c>
      <c r="K350" s="10">
        <f t="shared" si="22"/>
        <v>998</v>
      </c>
      <c r="L350" s="6" t="str">
        <f t="shared" si="23"/>
        <v>OK</v>
      </c>
      <c r="M350" s="13">
        <f t="shared" si="20"/>
        <v>1160843.6600000001</v>
      </c>
      <c r="N350" s="8">
        <f>Table5[[#This Row],[Total Qty Sold]]*Table5[[#This Row],[Unit Price]]</f>
        <v>13440.08</v>
      </c>
      <c r="O350" s="9">
        <f>IFERROR(_xlfn.MAXIFS(Table3[Date],Table3[Item ID],Table5[[#This Row],[Item ID]]),"")</f>
        <v>45661</v>
      </c>
      <c r="P350" s="40">
        <f ca="1">IF(Table5[[#This Row],[Last sale Date]]="","Never Sold",TODAY()-Table5[[#This Row],[Last sale Date]])</f>
        <v>391</v>
      </c>
      <c r="Q350" s="6" t="str">
        <f>IF(Table5[[#This Row],[Re order Level]]&lt;=Table5[[#This Row],[Current stock]],"ORDERASAP","OK BUT BE CHECKING")</f>
        <v>OK BUT BE CHECKING</v>
      </c>
      <c r="R350" s="6" t="str">
        <f t="shared" si="21"/>
        <v>ACTIVE</v>
      </c>
      <c r="S350" s="8">
        <f>IF(Table5[[#This Row],[DEADSTOCK FLAG]]="DEAD",Table5[[#This Row],[Inventory Value]],0)</f>
        <v>0</v>
      </c>
    </row>
    <row r="351" spans="1:19" x14ac:dyDescent="0.25">
      <c r="A351" s="24" t="str">
        <f>'Inventory master'!A351</f>
        <v>ITEM350-A</v>
      </c>
      <c r="B351" s="6" t="str">
        <f>'Inventory master'!B351</f>
        <v>Fixed Attenuator 1dB</v>
      </c>
      <c r="C351" s="6" t="str">
        <f>'Inventory master'!C351</f>
        <v>Attenuators</v>
      </c>
      <c r="D351" s="6" t="str">
        <f>'Inventory master'!D351</f>
        <v>Corning Inc.</v>
      </c>
      <c r="E351" s="10" t="str">
        <f>'Inventory master'!E351</f>
        <v>585.87</v>
      </c>
      <c r="F351" s="10" t="str">
        <f>'Inventory master'!F351</f>
        <v>1090.08</v>
      </c>
      <c r="G351" s="10" t="str">
        <f>'Inventory master'!G351</f>
        <v>57</v>
      </c>
      <c r="H351" s="8">
        <f>IFERROR(_xlfn.XLOOKUP(A351, 'Opening stock'!A351:A950, 'Opening stock'!E351:E950), "")</f>
        <v>855</v>
      </c>
      <c r="I351" s="8">
        <f>IFERROR(SUMIF(Table3[Item ID],'Inventory calculations'!A351,Table3[Quantity]),0)</f>
        <v>0</v>
      </c>
      <c r="J351" s="8">
        <f>IFERROR(SUMIF(Table4[Item ID],'Inventory calculations'!A351,Table4[Quantity Purchased]),0)</f>
        <v>19</v>
      </c>
      <c r="K351" s="10">
        <f t="shared" si="22"/>
        <v>874</v>
      </c>
      <c r="L351" s="6" t="str">
        <f t="shared" si="23"/>
        <v>OK</v>
      </c>
      <c r="M351" s="13">
        <f t="shared" si="20"/>
        <v>512050.38</v>
      </c>
      <c r="N351" s="8">
        <f>Table5[[#This Row],[Total Qty Sold]]*Table5[[#This Row],[Unit Price]]</f>
        <v>0</v>
      </c>
      <c r="O351" s="9"/>
      <c r="P351" s="40" t="str">
        <f ca="1">IF(Table5[[#This Row],[Last sale Date]]="","Never Sold",TODAY()-Table5[[#This Row],[Last sale Date]])</f>
        <v>Never Sold</v>
      </c>
      <c r="Q351" s="6" t="str">
        <f>IF(Table5[[#This Row],[Re order Level]]&lt;=Table5[[#This Row],[Current stock]],"ORDERASAP","OK BUT BE CHECKING")</f>
        <v>OK BUT BE CHECKING</v>
      </c>
      <c r="R351" s="6" t="str">
        <f t="shared" si="21"/>
        <v>ACTIVE</v>
      </c>
      <c r="S351" s="8">
        <f>IF(Table5[[#This Row],[DEADSTOCK FLAG]]="DEAD",Table5[[#This Row],[Inventory Value]],0)</f>
        <v>0</v>
      </c>
    </row>
    <row r="352" spans="1:19" x14ac:dyDescent="0.25">
      <c r="A352" s="24" t="str">
        <f>'Inventory master'!A352</f>
        <v>ITEM351-A</v>
      </c>
      <c r="B352" s="6" t="str">
        <f>'Inventory master'!B352</f>
        <v>Rack-Mount Enclosure</v>
      </c>
      <c r="C352" s="6" t="str">
        <f>'Inventory master'!C352</f>
        <v>Enclosures</v>
      </c>
      <c r="D352" s="6" t="str">
        <f>'Inventory master'!D352</f>
        <v>Prysmian Group</v>
      </c>
      <c r="E352" s="10" t="str">
        <f>'Inventory master'!E352</f>
        <v>155.66</v>
      </c>
      <c r="F352" s="10" t="str">
        <f>'Inventory master'!F352</f>
        <v>257.41</v>
      </c>
      <c r="G352" s="10" t="str">
        <f>'Inventory master'!G352</f>
        <v>34</v>
      </c>
      <c r="H352" s="8">
        <f>IFERROR(_xlfn.XLOOKUP(A352, 'Opening stock'!A352:A951, 'Opening stock'!E352:E951), "")</f>
        <v>510</v>
      </c>
      <c r="I352" s="8">
        <f>IFERROR(SUMIF(Table3[Item ID],'Inventory calculations'!A352,Table3[Quantity]),0)</f>
        <v>0</v>
      </c>
      <c r="J352" s="8">
        <f>IFERROR(SUMIF(Table4[Item ID],'Inventory calculations'!A352,Table4[Quantity Purchased]),0)</f>
        <v>0</v>
      </c>
      <c r="K352" s="10">
        <f t="shared" si="22"/>
        <v>510</v>
      </c>
      <c r="L352" s="6" t="str">
        <f t="shared" si="23"/>
        <v>OK</v>
      </c>
      <c r="M352" s="13">
        <f t="shared" si="20"/>
        <v>79386.599999999991</v>
      </c>
      <c r="N352" s="8">
        <f>Table5[[#This Row],[Total Qty Sold]]*Table5[[#This Row],[Unit Price]]</f>
        <v>0</v>
      </c>
      <c r="O352" s="9"/>
      <c r="P352" s="40" t="str">
        <f ca="1">IF(Table5[[#This Row],[Last sale Date]]="","Never Sold",TODAY()-Table5[[#This Row],[Last sale Date]])</f>
        <v>Never Sold</v>
      </c>
      <c r="Q352" s="6" t="str">
        <f>IF(Table5[[#This Row],[Re order Level]]&lt;=Table5[[#This Row],[Current stock]],"ORDERASAP","OK BUT BE CHECKING")</f>
        <v>OK BUT BE CHECKING</v>
      </c>
      <c r="R352" s="6" t="str">
        <f t="shared" si="21"/>
        <v>ACTIVE</v>
      </c>
      <c r="S352" s="8">
        <f>IF(Table5[[#This Row],[DEADSTOCK FLAG]]="DEAD",Table5[[#This Row],[Inventory Value]],0)</f>
        <v>0</v>
      </c>
    </row>
    <row r="353" spans="1:19" x14ac:dyDescent="0.25">
      <c r="A353" s="24" t="str">
        <f>'Inventory master'!A353</f>
        <v>ITEM352-A</v>
      </c>
      <c r="B353" s="6" t="str">
        <f>'Inventory master'!B353</f>
        <v>Mechanical Splicer</v>
      </c>
      <c r="C353" s="6" t="str">
        <f>'Inventory master'!C353</f>
        <v>Splicers</v>
      </c>
      <c r="D353" s="6" t="str">
        <f>'Inventory master'!D353</f>
        <v>Huber+Suhner</v>
      </c>
      <c r="E353" s="10" t="str">
        <f>'Inventory master'!E353</f>
        <v>66.95</v>
      </c>
      <c r="F353" s="10" t="str">
        <f>'Inventory master'!F353</f>
        <v>87.25</v>
      </c>
      <c r="G353" s="10" t="str">
        <f>'Inventory master'!G353</f>
        <v>84</v>
      </c>
      <c r="H353" s="8">
        <f>IFERROR(_xlfn.XLOOKUP(A353, 'Opening stock'!A353:A952, 'Opening stock'!E353:E952), "")</f>
        <v>1260</v>
      </c>
      <c r="I353" s="8">
        <f>IFERROR(SUMIF(Table3[Item ID],'Inventory calculations'!A353,Table3[Quantity]),0)</f>
        <v>0</v>
      </c>
      <c r="J353" s="8">
        <f>IFERROR(SUMIF(Table4[Item ID],'Inventory calculations'!A353,Table4[Quantity Purchased]),0)</f>
        <v>0</v>
      </c>
      <c r="K353" s="10">
        <f t="shared" si="22"/>
        <v>1260</v>
      </c>
      <c r="L353" s="6" t="str">
        <f t="shared" si="23"/>
        <v>OK</v>
      </c>
      <c r="M353" s="13">
        <f t="shared" si="20"/>
        <v>84357</v>
      </c>
      <c r="N353" s="8">
        <f>Table5[[#This Row],[Total Qty Sold]]*Table5[[#This Row],[Unit Price]]</f>
        <v>0</v>
      </c>
      <c r="O353" s="9"/>
      <c r="P353" s="40" t="str">
        <f ca="1">IF(Table5[[#This Row],[Last sale Date]]="","Never Sold",TODAY()-Table5[[#This Row],[Last sale Date]])</f>
        <v>Never Sold</v>
      </c>
      <c r="Q353" s="6" t="str">
        <f>IF(Table5[[#This Row],[Re order Level]]&lt;=Table5[[#This Row],[Current stock]],"ORDERASAP","OK BUT BE CHECKING")</f>
        <v>OK BUT BE CHECKING</v>
      </c>
      <c r="R353" s="6" t="str">
        <f t="shared" si="21"/>
        <v>ACTIVE</v>
      </c>
      <c r="S353" s="8">
        <f>IF(Table5[[#This Row],[DEADSTOCK FLAG]]="DEAD",Table5[[#This Row],[Inventory Value]],0)</f>
        <v>0</v>
      </c>
    </row>
    <row r="354" spans="1:19" x14ac:dyDescent="0.25">
      <c r="A354" s="24" t="str">
        <f>'Inventory master'!A354</f>
        <v>ITEM353-A</v>
      </c>
      <c r="B354" s="6" t="str">
        <f>'Inventory master'!B354</f>
        <v>24-Port Fiber Patch Panel</v>
      </c>
      <c r="C354" s="6" t="str">
        <f>'Inventory master'!C354</f>
        <v>Patch Panels</v>
      </c>
      <c r="D354" s="6" t="str">
        <f>'Inventory master'!D354</f>
        <v>Corning Inc.</v>
      </c>
      <c r="E354" s="10" t="str">
        <f>'Inventory master'!E354</f>
        <v>957.13</v>
      </c>
      <c r="F354" s="10" t="str">
        <f>'Inventory master'!F354</f>
        <v>1514.04</v>
      </c>
      <c r="G354" s="10" t="str">
        <f>'Inventory master'!G354</f>
        <v>39</v>
      </c>
      <c r="H354" s="8">
        <f>IFERROR(_xlfn.XLOOKUP(A354, 'Opening stock'!A354:A953, 'Opening stock'!E354:E953), "")</f>
        <v>585</v>
      </c>
      <c r="I354" s="8">
        <f>IFERROR(SUMIF(Table3[Item ID],'Inventory calculations'!A354,Table3[Quantity]),0)</f>
        <v>0</v>
      </c>
      <c r="J354" s="8">
        <f>IFERROR(SUMIF(Table4[Item ID],'Inventory calculations'!A354,Table4[Quantity Purchased]),0)</f>
        <v>4</v>
      </c>
      <c r="K354" s="10">
        <f t="shared" si="22"/>
        <v>589</v>
      </c>
      <c r="L354" s="6" t="str">
        <f t="shared" si="23"/>
        <v>OK</v>
      </c>
      <c r="M354" s="13">
        <f t="shared" si="20"/>
        <v>563749.56999999995</v>
      </c>
      <c r="N354" s="8">
        <f>Table5[[#This Row],[Total Qty Sold]]*Table5[[#This Row],[Unit Price]]</f>
        <v>0</v>
      </c>
      <c r="O354" s="9"/>
      <c r="P354" s="40" t="str">
        <f ca="1">IF(Table5[[#This Row],[Last sale Date]]="","Never Sold",TODAY()-Table5[[#This Row],[Last sale Date]])</f>
        <v>Never Sold</v>
      </c>
      <c r="Q354" s="6" t="str">
        <f>IF(Table5[[#This Row],[Re order Level]]&lt;=Table5[[#This Row],[Current stock]],"ORDERASAP","OK BUT BE CHECKING")</f>
        <v>OK BUT BE CHECKING</v>
      </c>
      <c r="R354" s="6" t="str">
        <f t="shared" si="21"/>
        <v>ACTIVE</v>
      </c>
      <c r="S354" s="8">
        <f>IF(Table5[[#This Row],[DEADSTOCK FLAG]]="DEAD",Table5[[#This Row],[Inventory Value]],0)</f>
        <v>0</v>
      </c>
    </row>
    <row r="355" spans="1:19" x14ac:dyDescent="0.25">
      <c r="A355" s="24" t="str">
        <f>'Inventory master'!A355</f>
        <v>ITEM354-A</v>
      </c>
      <c r="B355" s="6" t="str">
        <f>'Inventory master'!B355</f>
        <v>Indoor Fiber Cable 50m</v>
      </c>
      <c r="C355" s="6" t="str">
        <f>'Inventory master'!C355</f>
        <v>Fiber Optic Cables</v>
      </c>
      <c r="D355" s="6" t="str">
        <f>'Inventory master'!D355</f>
        <v>Belden</v>
      </c>
      <c r="E355" s="10" t="str">
        <f>'Inventory master'!E355</f>
        <v>904.43</v>
      </c>
      <c r="F355" s="10" t="str">
        <f>'Inventory master'!F355</f>
        <v>1154.06</v>
      </c>
      <c r="G355" s="10" t="str">
        <f>'Inventory master'!G355</f>
        <v>14</v>
      </c>
      <c r="H355" s="8">
        <f>IFERROR(_xlfn.XLOOKUP(A355, 'Opening stock'!A355:A954, 'Opening stock'!E355:E954), "")</f>
        <v>210</v>
      </c>
      <c r="I355" s="8">
        <f>IFERROR(SUMIF(Table3[Item ID],'Inventory calculations'!A355,Table3[Quantity]),0)</f>
        <v>0</v>
      </c>
      <c r="J355" s="8">
        <f>IFERROR(SUMIF(Table4[Item ID],'Inventory calculations'!A355,Table4[Quantity Purchased]),0)</f>
        <v>52</v>
      </c>
      <c r="K355" s="10">
        <f t="shared" si="22"/>
        <v>262</v>
      </c>
      <c r="L355" s="6" t="str">
        <f t="shared" si="23"/>
        <v>OK</v>
      </c>
      <c r="M355" s="13">
        <f t="shared" si="20"/>
        <v>236960.65999999997</v>
      </c>
      <c r="N355" s="8">
        <f>Table5[[#This Row],[Total Qty Sold]]*Table5[[#This Row],[Unit Price]]</f>
        <v>0</v>
      </c>
      <c r="O355" s="9"/>
      <c r="P355" s="40" t="str">
        <f ca="1">IF(Table5[[#This Row],[Last sale Date]]="","Never Sold",TODAY()-Table5[[#This Row],[Last sale Date]])</f>
        <v>Never Sold</v>
      </c>
      <c r="Q355" s="6" t="str">
        <f>IF(Table5[[#This Row],[Re order Level]]&lt;=Table5[[#This Row],[Current stock]],"ORDERASAP","OK BUT BE CHECKING")</f>
        <v>OK BUT BE CHECKING</v>
      </c>
      <c r="R355" s="6" t="str">
        <f t="shared" si="21"/>
        <v>ACTIVE</v>
      </c>
      <c r="S355" s="8">
        <f>IF(Table5[[#This Row],[DEADSTOCK FLAG]]="DEAD",Table5[[#This Row],[Inventory Value]],0)</f>
        <v>0</v>
      </c>
    </row>
    <row r="356" spans="1:19" x14ac:dyDescent="0.25">
      <c r="A356" s="24" t="str">
        <f>'Inventory master'!A356</f>
        <v>ITEM355-A</v>
      </c>
      <c r="B356" s="6" t="str">
        <f>'Inventory master'!B356</f>
        <v>12-Port Fiber Patch Panel</v>
      </c>
      <c r="C356" s="6" t="str">
        <f>'Inventory master'!C356</f>
        <v>Patch Panels</v>
      </c>
      <c r="D356" s="6" t="str">
        <f>'Inventory master'!D356</f>
        <v>Belden</v>
      </c>
      <c r="E356" s="10" t="str">
        <f>'Inventory master'!E356</f>
        <v>606.09</v>
      </c>
      <c r="F356" s="10" t="str">
        <f>'Inventory master'!F356</f>
        <v>817.48</v>
      </c>
      <c r="G356" s="10" t="str">
        <f>'Inventory master'!G356</f>
        <v>27</v>
      </c>
      <c r="H356" s="8">
        <f>IFERROR(_xlfn.XLOOKUP(A356, 'Opening stock'!A356:A955, 'Opening stock'!E356:E955), "")</f>
        <v>405</v>
      </c>
      <c r="I356" s="8">
        <f>IFERROR(SUMIF(Table3[Item ID],'Inventory calculations'!A356,Table3[Quantity]),0)</f>
        <v>0</v>
      </c>
      <c r="J356" s="8">
        <f>IFERROR(SUMIF(Table4[Item ID],'Inventory calculations'!A356,Table4[Quantity Purchased]),0)</f>
        <v>0</v>
      </c>
      <c r="K356" s="10">
        <f t="shared" si="22"/>
        <v>405</v>
      </c>
      <c r="L356" s="6" t="str">
        <f t="shared" si="23"/>
        <v>OK</v>
      </c>
      <c r="M356" s="13">
        <f t="shared" si="20"/>
        <v>245466.45</v>
      </c>
      <c r="N356" s="8">
        <f>Table5[[#This Row],[Total Qty Sold]]*Table5[[#This Row],[Unit Price]]</f>
        <v>0</v>
      </c>
      <c r="O356" s="9"/>
      <c r="P356" s="40" t="str">
        <f ca="1">IF(Table5[[#This Row],[Last sale Date]]="","Never Sold",TODAY()-Table5[[#This Row],[Last sale Date]])</f>
        <v>Never Sold</v>
      </c>
      <c r="Q356" s="6" t="str">
        <f>IF(Table5[[#This Row],[Re order Level]]&lt;=Table5[[#This Row],[Current stock]],"ORDERASAP","OK BUT BE CHECKING")</f>
        <v>OK BUT BE CHECKING</v>
      </c>
      <c r="R356" s="6" t="str">
        <f t="shared" si="21"/>
        <v>ACTIVE</v>
      </c>
      <c r="S356" s="8">
        <f>IF(Table5[[#This Row],[DEADSTOCK FLAG]]="DEAD",Table5[[#This Row],[Inventory Value]],0)</f>
        <v>0</v>
      </c>
    </row>
    <row r="357" spans="1:19" x14ac:dyDescent="0.25">
      <c r="A357" s="24" t="str">
        <f>'Inventory master'!A357</f>
        <v>ITEM356-A</v>
      </c>
      <c r="B357" s="6" t="str">
        <f>'Inventory master'!B357</f>
        <v>Fiber Optic Stripper</v>
      </c>
      <c r="C357" s="6" t="str">
        <f>'Inventory master'!C357</f>
        <v>Tools</v>
      </c>
      <c r="D357" s="6" t="str">
        <f>'Inventory master'!D357</f>
        <v>Panduit</v>
      </c>
      <c r="E357" s="10" t="str">
        <f>'Inventory master'!E357</f>
        <v>1085.23</v>
      </c>
      <c r="F357" s="10" t="str">
        <f>'Inventory master'!F357</f>
        <v>1666.82</v>
      </c>
      <c r="G357" s="10" t="str">
        <f>'Inventory master'!G357</f>
        <v>43</v>
      </c>
      <c r="H357" s="8">
        <f>IFERROR(_xlfn.XLOOKUP(A357, 'Opening stock'!A357:A956, 'Opening stock'!E357:E956), "")</f>
        <v>645</v>
      </c>
      <c r="I357" s="8">
        <f>IFERROR(SUMIF(Table3[Item ID],'Inventory calculations'!A357,Table3[Quantity]),0)</f>
        <v>0</v>
      </c>
      <c r="J357" s="8">
        <f>IFERROR(SUMIF(Table4[Item ID],'Inventory calculations'!A357,Table4[Quantity Purchased]),0)</f>
        <v>0</v>
      </c>
      <c r="K357" s="10">
        <f t="shared" si="22"/>
        <v>645</v>
      </c>
      <c r="L357" s="6" t="str">
        <f t="shared" si="23"/>
        <v>OK</v>
      </c>
      <c r="M357" s="13">
        <f t="shared" si="20"/>
        <v>699973.35</v>
      </c>
      <c r="N357" s="8">
        <f>Table5[[#This Row],[Total Qty Sold]]*Table5[[#This Row],[Unit Price]]</f>
        <v>0</v>
      </c>
      <c r="O357" s="9"/>
      <c r="P357" s="40" t="str">
        <f ca="1">IF(Table5[[#This Row],[Last sale Date]]="","Never Sold",TODAY()-Table5[[#This Row],[Last sale Date]])</f>
        <v>Never Sold</v>
      </c>
      <c r="Q357" s="6" t="str">
        <f>IF(Table5[[#This Row],[Re order Level]]&lt;=Table5[[#This Row],[Current stock]],"ORDERASAP","OK BUT BE CHECKING")</f>
        <v>OK BUT BE CHECKING</v>
      </c>
      <c r="R357" s="6" t="str">
        <f t="shared" si="21"/>
        <v>ACTIVE</v>
      </c>
      <c r="S357" s="8">
        <f>IF(Table5[[#This Row],[DEADSTOCK FLAG]]="DEAD",Table5[[#This Row],[Inventory Value]],0)</f>
        <v>0</v>
      </c>
    </row>
    <row r="358" spans="1:19" x14ac:dyDescent="0.25">
      <c r="A358" s="24" t="str">
        <f>'Inventory master'!A358</f>
        <v>ITEM357-A</v>
      </c>
      <c r="B358" s="6" t="str">
        <f>'Inventory master'!B358</f>
        <v>Dome Enclosure</v>
      </c>
      <c r="C358" s="6" t="str">
        <f>'Inventory master'!C358</f>
        <v>Enclosures</v>
      </c>
      <c r="D358" s="6" t="str">
        <f>'Inventory master'!D358</f>
        <v>Corning Inc.</v>
      </c>
      <c r="E358" s="10" t="str">
        <f>'Inventory master'!E358</f>
        <v>107.37</v>
      </c>
      <c r="F358" s="10" t="str">
        <f>'Inventory master'!F358</f>
        <v>130.41</v>
      </c>
      <c r="G358" s="10" t="str">
        <f>'Inventory master'!G358</f>
        <v>92</v>
      </c>
      <c r="H358" s="8">
        <f>IFERROR(_xlfn.XLOOKUP(A358, 'Opening stock'!A358:A957, 'Opening stock'!E358:E957), "")</f>
        <v>1380</v>
      </c>
      <c r="I358" s="8">
        <f>IFERROR(SUMIF(Table3[Item ID],'Inventory calculations'!A358,Table3[Quantity]),0)</f>
        <v>0</v>
      </c>
      <c r="J358" s="8">
        <f>IFERROR(SUMIF(Table4[Item ID],'Inventory calculations'!A358,Table4[Quantity Purchased]),0)</f>
        <v>0</v>
      </c>
      <c r="K358" s="10">
        <f t="shared" si="22"/>
        <v>1380</v>
      </c>
      <c r="L358" s="6" t="str">
        <f t="shared" si="23"/>
        <v>OK</v>
      </c>
      <c r="M358" s="13">
        <f t="shared" si="20"/>
        <v>148170.6</v>
      </c>
      <c r="N358" s="8">
        <f>Table5[[#This Row],[Total Qty Sold]]*Table5[[#This Row],[Unit Price]]</f>
        <v>0</v>
      </c>
      <c r="O358" s="9"/>
      <c r="P358" s="40" t="str">
        <f ca="1">IF(Table5[[#This Row],[Last sale Date]]="","Never Sold",TODAY()-Table5[[#This Row],[Last sale Date]])</f>
        <v>Never Sold</v>
      </c>
      <c r="Q358" s="6" t="str">
        <f>IF(Table5[[#This Row],[Re order Level]]&lt;=Table5[[#This Row],[Current stock]],"ORDERASAP","OK BUT BE CHECKING")</f>
        <v>OK BUT BE CHECKING</v>
      </c>
      <c r="R358" s="6" t="str">
        <f t="shared" si="21"/>
        <v>ACTIVE</v>
      </c>
      <c r="S358" s="8">
        <f>IF(Table5[[#This Row],[DEADSTOCK FLAG]]="DEAD",Table5[[#This Row],[Inventory Value]],0)</f>
        <v>0</v>
      </c>
    </row>
    <row r="359" spans="1:19" x14ac:dyDescent="0.25">
      <c r="A359" s="24" t="str">
        <f>'Inventory master'!A359</f>
        <v>ITEM358-A</v>
      </c>
      <c r="B359" s="6" t="str">
        <f>'Inventory master'!B359</f>
        <v>72-Port Fiber Patch Panel</v>
      </c>
      <c r="C359" s="6" t="str">
        <f>'Inventory master'!C359</f>
        <v>Patch Panels</v>
      </c>
      <c r="D359" s="6" t="str">
        <f>'Inventory master'!D359</f>
        <v>Huber+Suhner</v>
      </c>
      <c r="E359" s="10" t="str">
        <f>'Inventory master'!E359</f>
        <v>663.63</v>
      </c>
      <c r="F359" s="10" t="str">
        <f>'Inventory master'!F359</f>
        <v>1301.68</v>
      </c>
      <c r="G359" s="10" t="str">
        <f>'Inventory master'!G359</f>
        <v>99</v>
      </c>
      <c r="H359" s="8">
        <f>IFERROR(_xlfn.XLOOKUP(A359, 'Opening stock'!A359:A958, 'Opening stock'!E359:E958), "")</f>
        <v>1485</v>
      </c>
      <c r="I359" s="8">
        <f>IFERROR(SUMIF(Table3[Item ID],'Inventory calculations'!A359,Table3[Quantity]),0)</f>
        <v>12</v>
      </c>
      <c r="J359" s="8">
        <f>IFERROR(SUMIF(Table4[Item ID],'Inventory calculations'!A359,Table4[Quantity Purchased]),0)</f>
        <v>4</v>
      </c>
      <c r="K359" s="10">
        <f t="shared" si="22"/>
        <v>1477</v>
      </c>
      <c r="L359" s="6" t="str">
        <f t="shared" si="23"/>
        <v>OK</v>
      </c>
      <c r="M359" s="13">
        <f t="shared" si="20"/>
        <v>980181.51</v>
      </c>
      <c r="N359" s="8">
        <f>Table5[[#This Row],[Total Qty Sold]]*Table5[[#This Row],[Unit Price]]</f>
        <v>15620.16</v>
      </c>
      <c r="O359" s="9">
        <f>IFERROR(_xlfn.MAXIFS(Table3[Date],Table3[Item ID],Table5[[#This Row],[Item ID]]),"")</f>
        <v>45962</v>
      </c>
      <c r="P359" s="40">
        <f ca="1">IF(Table5[[#This Row],[Last sale Date]]="","Never Sold",TODAY()-Table5[[#This Row],[Last sale Date]])</f>
        <v>90</v>
      </c>
      <c r="Q359" s="6" t="str">
        <f>IF(Table5[[#This Row],[Re order Level]]&lt;=Table5[[#This Row],[Current stock]],"ORDERASAP","OK BUT BE CHECKING")</f>
        <v>OK BUT BE CHECKING</v>
      </c>
      <c r="R359" s="6" t="str">
        <f t="shared" si="21"/>
        <v>ACTIVE</v>
      </c>
      <c r="S359" s="8">
        <f>IF(Table5[[#This Row],[DEADSTOCK FLAG]]="DEAD",Table5[[#This Row],[Inventory Value]],0)</f>
        <v>0</v>
      </c>
    </row>
    <row r="360" spans="1:19" x14ac:dyDescent="0.25">
      <c r="A360" s="24" t="str">
        <f>'Inventory master'!A360</f>
        <v>ITEM359-A</v>
      </c>
      <c r="B360" s="6" t="str">
        <f>'Inventory master'!B360</f>
        <v>Fusion Splicer</v>
      </c>
      <c r="C360" s="6" t="str">
        <f>'Inventory master'!C360</f>
        <v>Splicers</v>
      </c>
      <c r="D360" s="6" t="str">
        <f>'Inventory master'!D360</f>
        <v>Leviton</v>
      </c>
      <c r="E360" s="10" t="str">
        <f>'Inventory master'!E360</f>
        <v>1774.77</v>
      </c>
      <c r="F360" s="10" t="str">
        <f>'Inventory master'!F360</f>
        <v>2786.06</v>
      </c>
      <c r="G360" s="10" t="str">
        <f>'Inventory master'!G360</f>
        <v>78</v>
      </c>
      <c r="H360" s="8">
        <f>IFERROR(_xlfn.XLOOKUP(A360, 'Opening stock'!A360:A959, 'Opening stock'!E360:E959), "")</f>
        <v>1170</v>
      </c>
      <c r="I360" s="8">
        <f>IFERROR(SUMIF(Table3[Item ID],'Inventory calculations'!A360,Table3[Quantity]),0)</f>
        <v>0</v>
      </c>
      <c r="J360" s="8">
        <f>IFERROR(SUMIF(Table4[Item ID],'Inventory calculations'!A360,Table4[Quantity Purchased]),0)</f>
        <v>18</v>
      </c>
      <c r="K360" s="10">
        <f t="shared" si="22"/>
        <v>1188</v>
      </c>
      <c r="L360" s="6" t="str">
        <f t="shared" si="23"/>
        <v>OK</v>
      </c>
      <c r="M360" s="13">
        <f t="shared" si="20"/>
        <v>2108426.7599999998</v>
      </c>
      <c r="N360" s="8">
        <f>Table5[[#This Row],[Total Qty Sold]]*Table5[[#This Row],[Unit Price]]</f>
        <v>0</v>
      </c>
      <c r="O360" s="9"/>
      <c r="P360" s="40" t="str">
        <f ca="1">IF(Table5[[#This Row],[Last sale Date]]="","Never Sold",TODAY()-Table5[[#This Row],[Last sale Date]])</f>
        <v>Never Sold</v>
      </c>
      <c r="Q360" s="6" t="str">
        <f>IF(Table5[[#This Row],[Re order Level]]&lt;=Table5[[#This Row],[Current stock]],"ORDERASAP","OK BUT BE CHECKING")</f>
        <v>OK BUT BE CHECKING</v>
      </c>
      <c r="R360" s="6" t="str">
        <f t="shared" si="21"/>
        <v>ACTIVE</v>
      </c>
      <c r="S360" s="8">
        <f>IF(Table5[[#This Row],[DEADSTOCK FLAG]]="DEAD",Table5[[#This Row],[Inventory Value]],0)</f>
        <v>0</v>
      </c>
    </row>
    <row r="361" spans="1:19" x14ac:dyDescent="0.25">
      <c r="A361" s="24" t="str">
        <f>'Inventory master'!A361</f>
        <v>ITEM360-A</v>
      </c>
      <c r="B361" s="6" t="str">
        <f>'Inventory master'!B361</f>
        <v>Fixed Attenuator 2dB</v>
      </c>
      <c r="C361" s="6" t="str">
        <f>'Inventory master'!C361</f>
        <v>Attenuators</v>
      </c>
      <c r="D361" s="6" t="str">
        <f>'Inventory master'!D361</f>
        <v>Leviton</v>
      </c>
      <c r="E361" s="10" t="str">
        <f>'Inventory master'!E361</f>
        <v>1910.56</v>
      </c>
      <c r="F361" s="10" t="str">
        <f>'Inventory master'!F361</f>
        <v>3235.79</v>
      </c>
      <c r="G361" s="10" t="str">
        <f>'Inventory master'!G361</f>
        <v>26</v>
      </c>
      <c r="H361" s="8">
        <f>IFERROR(_xlfn.XLOOKUP(A361, 'Opening stock'!A361:A960, 'Opening stock'!E361:E960), "")</f>
        <v>390</v>
      </c>
      <c r="I361" s="8">
        <f>IFERROR(SUMIF(Table3[Item ID],'Inventory calculations'!A361,Table3[Quantity]),0)</f>
        <v>0</v>
      </c>
      <c r="J361" s="8">
        <f>IFERROR(SUMIF(Table4[Item ID],'Inventory calculations'!A361,Table4[Quantity Purchased]),0)</f>
        <v>7</v>
      </c>
      <c r="K361" s="10">
        <f t="shared" si="22"/>
        <v>397</v>
      </c>
      <c r="L361" s="6" t="str">
        <f t="shared" si="23"/>
        <v>OK</v>
      </c>
      <c r="M361" s="13">
        <f t="shared" si="20"/>
        <v>758492.32</v>
      </c>
      <c r="N361" s="8">
        <f>Table5[[#This Row],[Total Qty Sold]]*Table5[[#This Row],[Unit Price]]</f>
        <v>0</v>
      </c>
      <c r="O361" s="9"/>
      <c r="P361" s="40" t="str">
        <f ca="1">IF(Table5[[#This Row],[Last sale Date]]="","Never Sold",TODAY()-Table5[[#This Row],[Last sale Date]])</f>
        <v>Never Sold</v>
      </c>
      <c r="Q361" s="6" t="str">
        <f>IF(Table5[[#This Row],[Re order Level]]&lt;=Table5[[#This Row],[Current stock]],"ORDERASAP","OK BUT BE CHECKING")</f>
        <v>OK BUT BE CHECKING</v>
      </c>
      <c r="R361" s="6" t="str">
        <f t="shared" si="21"/>
        <v>ACTIVE</v>
      </c>
      <c r="S361" s="8">
        <f>IF(Table5[[#This Row],[DEADSTOCK FLAG]]="DEAD",Table5[[#This Row],[Inventory Value]],0)</f>
        <v>0</v>
      </c>
    </row>
    <row r="362" spans="1:19" x14ac:dyDescent="0.25">
      <c r="A362" s="24" t="str">
        <f>'Inventory master'!A362</f>
        <v>ITEM361-A</v>
      </c>
      <c r="B362" s="6" t="str">
        <f>'Inventory master'!B362</f>
        <v>Fiber Pigtail</v>
      </c>
      <c r="C362" s="6" t="str">
        <f>'Inventory master'!C362</f>
        <v>Accessories</v>
      </c>
      <c r="D362" s="6" t="str">
        <f>'Inventory master'!D362</f>
        <v>Huber+Suhner</v>
      </c>
      <c r="E362" s="10" t="str">
        <f>'Inventory master'!E362</f>
        <v>1319.13</v>
      </c>
      <c r="F362" s="10" t="str">
        <f>'Inventory master'!F362</f>
        <v>1631.43</v>
      </c>
      <c r="G362" s="10" t="str">
        <f>'Inventory master'!G362</f>
        <v>93</v>
      </c>
      <c r="H362" s="8">
        <f>IFERROR(_xlfn.XLOOKUP(A362, 'Opening stock'!A362:A961, 'Opening stock'!E362:E961), "")</f>
        <v>1395</v>
      </c>
      <c r="I362" s="8">
        <f>IFERROR(SUMIF(Table3[Item ID],'Inventory calculations'!A362,Table3[Quantity]),0)</f>
        <v>8</v>
      </c>
      <c r="J362" s="8">
        <f>IFERROR(SUMIF(Table4[Item ID],'Inventory calculations'!A362,Table4[Quantity Purchased]),0)</f>
        <v>3</v>
      </c>
      <c r="K362" s="10">
        <f t="shared" si="22"/>
        <v>1390</v>
      </c>
      <c r="L362" s="6" t="str">
        <f t="shared" si="23"/>
        <v>OK</v>
      </c>
      <c r="M362" s="13">
        <f t="shared" si="20"/>
        <v>1833590.7000000002</v>
      </c>
      <c r="N362" s="8">
        <f>Table5[[#This Row],[Total Qty Sold]]*Table5[[#This Row],[Unit Price]]</f>
        <v>13051.44</v>
      </c>
      <c r="O362" s="9">
        <f>IFERROR(_xlfn.MAXIFS(Table3[Date],Table3[Item ID],Table5[[#This Row],[Item ID]]),"")</f>
        <v>45537</v>
      </c>
      <c r="P362" s="40">
        <f ca="1">IF(Table5[[#This Row],[Last sale Date]]="","Never Sold",TODAY()-Table5[[#This Row],[Last sale Date]])</f>
        <v>515</v>
      </c>
      <c r="Q362" s="6" t="str">
        <f>IF(Table5[[#This Row],[Re order Level]]&lt;=Table5[[#This Row],[Current stock]],"ORDERASAP","OK BUT BE CHECKING")</f>
        <v>OK BUT BE CHECKING</v>
      </c>
      <c r="R362" s="6" t="str">
        <f t="shared" si="21"/>
        <v>ACTIVE</v>
      </c>
      <c r="S362" s="8">
        <f>IF(Table5[[#This Row],[DEADSTOCK FLAG]]="DEAD",Table5[[#This Row],[Inventory Value]],0)</f>
        <v>0</v>
      </c>
    </row>
    <row r="363" spans="1:19" x14ac:dyDescent="0.25">
      <c r="A363" s="24" t="str">
        <f>'Inventory master'!A363</f>
        <v>ITEM362-A</v>
      </c>
      <c r="B363" s="6" t="str">
        <f>'Inventory master'!B363</f>
        <v>SC UPC Connector</v>
      </c>
      <c r="C363" s="6" t="str">
        <f>'Inventory master'!C363</f>
        <v>Connectors</v>
      </c>
      <c r="D363" s="6" t="str">
        <f>'Inventory master'!D363</f>
        <v>Siemon</v>
      </c>
      <c r="E363" s="10" t="str">
        <f>'Inventory master'!E363</f>
        <v>66.27</v>
      </c>
      <c r="F363" s="10" t="str">
        <f>'Inventory master'!F363</f>
        <v>121.01</v>
      </c>
      <c r="G363" s="10" t="str">
        <f>'Inventory master'!G363</f>
        <v>64</v>
      </c>
      <c r="H363" s="8">
        <f>IFERROR(_xlfn.XLOOKUP(A363, 'Opening stock'!A363:A962, 'Opening stock'!E363:E962), "")</f>
        <v>960</v>
      </c>
      <c r="I363" s="8">
        <f>IFERROR(SUMIF(Table3[Item ID],'Inventory calculations'!A363,Table3[Quantity]),0)</f>
        <v>0</v>
      </c>
      <c r="J363" s="8">
        <f>IFERROR(SUMIF(Table4[Item ID],'Inventory calculations'!A363,Table4[Quantity Purchased]),0)</f>
        <v>2</v>
      </c>
      <c r="K363" s="10">
        <f t="shared" si="22"/>
        <v>962</v>
      </c>
      <c r="L363" s="6" t="str">
        <f t="shared" si="23"/>
        <v>OK</v>
      </c>
      <c r="M363" s="13">
        <f t="shared" si="20"/>
        <v>63751.74</v>
      </c>
      <c r="N363" s="8">
        <f>Table5[[#This Row],[Total Qty Sold]]*Table5[[#This Row],[Unit Price]]</f>
        <v>0</v>
      </c>
      <c r="O363" s="9"/>
      <c r="P363" s="40" t="str">
        <f ca="1">IF(Table5[[#This Row],[Last sale Date]]="","Never Sold",TODAY()-Table5[[#This Row],[Last sale Date]])</f>
        <v>Never Sold</v>
      </c>
      <c r="Q363" s="6" t="str">
        <f>IF(Table5[[#This Row],[Re order Level]]&lt;=Table5[[#This Row],[Current stock]],"ORDERASAP","OK BUT BE CHECKING")</f>
        <v>OK BUT BE CHECKING</v>
      </c>
      <c r="R363" s="6" t="str">
        <f t="shared" si="21"/>
        <v>ACTIVE</v>
      </c>
      <c r="S363" s="8">
        <f>IF(Table5[[#This Row],[DEADSTOCK FLAG]]="DEAD",Table5[[#This Row],[Inventory Value]],0)</f>
        <v>0</v>
      </c>
    </row>
    <row r="364" spans="1:19" x14ac:dyDescent="0.25">
      <c r="A364" s="24" t="str">
        <f>'Inventory master'!A364</f>
        <v>ITEM363-A</v>
      </c>
      <c r="B364" s="6" t="str">
        <f>'Inventory master'!B364</f>
        <v>Fiber Adapter</v>
      </c>
      <c r="C364" s="6" t="str">
        <f>'Inventory master'!C364</f>
        <v>Accessories</v>
      </c>
      <c r="D364" s="6" t="str">
        <f>'Inventory master'!D364</f>
        <v>TE Connectivity</v>
      </c>
      <c r="E364" s="10" t="str">
        <f>'Inventory master'!E364</f>
        <v>1134.3</v>
      </c>
      <c r="F364" s="10" t="str">
        <f>'Inventory master'!F364</f>
        <v>1471.32</v>
      </c>
      <c r="G364" s="10" t="str">
        <f>'Inventory master'!G364</f>
        <v>61</v>
      </c>
      <c r="H364" s="8">
        <f>IFERROR(_xlfn.XLOOKUP(A364, 'Opening stock'!A364:A963, 'Opening stock'!E364:E963), "")</f>
        <v>915</v>
      </c>
      <c r="I364" s="8">
        <f>IFERROR(SUMIF(Table3[Item ID],'Inventory calculations'!A364,Table3[Quantity]),0)</f>
        <v>0</v>
      </c>
      <c r="J364" s="8">
        <f>IFERROR(SUMIF(Table4[Item ID],'Inventory calculations'!A364,Table4[Quantity Purchased]),0)</f>
        <v>5</v>
      </c>
      <c r="K364" s="10">
        <f t="shared" si="22"/>
        <v>920</v>
      </c>
      <c r="L364" s="6" t="str">
        <f t="shared" si="23"/>
        <v>OK</v>
      </c>
      <c r="M364" s="13">
        <f t="shared" si="20"/>
        <v>1043556</v>
      </c>
      <c r="N364" s="8">
        <f>Table5[[#This Row],[Total Qty Sold]]*Table5[[#This Row],[Unit Price]]</f>
        <v>0</v>
      </c>
      <c r="O364" s="9"/>
      <c r="P364" s="40" t="str">
        <f ca="1">IF(Table5[[#This Row],[Last sale Date]]="","Never Sold",TODAY()-Table5[[#This Row],[Last sale Date]])</f>
        <v>Never Sold</v>
      </c>
      <c r="Q364" s="6" t="str">
        <f>IF(Table5[[#This Row],[Re order Level]]&lt;=Table5[[#This Row],[Current stock]],"ORDERASAP","OK BUT BE CHECKING")</f>
        <v>OK BUT BE CHECKING</v>
      </c>
      <c r="R364" s="6" t="str">
        <f t="shared" si="21"/>
        <v>ACTIVE</v>
      </c>
      <c r="S364" s="8">
        <f>IF(Table5[[#This Row],[DEADSTOCK FLAG]]="DEAD",Table5[[#This Row],[Inventory Value]],0)</f>
        <v>0</v>
      </c>
    </row>
    <row r="365" spans="1:19" x14ac:dyDescent="0.25">
      <c r="A365" s="24" t="str">
        <f>'Inventory master'!A365</f>
        <v>ITEM364-A</v>
      </c>
      <c r="B365" s="6" t="str">
        <f>'Inventory master'!B365</f>
        <v>24-Port Fiber Patch Panel</v>
      </c>
      <c r="C365" s="6" t="str">
        <f>'Inventory master'!C365</f>
        <v>Patch Panels</v>
      </c>
      <c r="D365" s="6" t="str">
        <f>'Inventory master'!D365</f>
        <v>AFL</v>
      </c>
      <c r="E365" s="10" t="str">
        <f>'Inventory master'!E365</f>
        <v>1099.67</v>
      </c>
      <c r="F365" s="10" t="str">
        <f>'Inventory master'!F365</f>
        <v>1301.5</v>
      </c>
      <c r="G365" s="10" t="str">
        <f>'Inventory master'!G365</f>
        <v>69</v>
      </c>
      <c r="H365" s="8">
        <f>IFERROR(_xlfn.XLOOKUP(A365, 'Opening stock'!A365:A964, 'Opening stock'!E365:E964), "")</f>
        <v>1035</v>
      </c>
      <c r="I365" s="8">
        <f>IFERROR(SUMIF(Table3[Item ID],'Inventory calculations'!A365,Table3[Quantity]),0)</f>
        <v>0</v>
      </c>
      <c r="J365" s="8">
        <f>IFERROR(SUMIF(Table4[Item ID],'Inventory calculations'!A365,Table4[Quantity Purchased]),0)</f>
        <v>11</v>
      </c>
      <c r="K365" s="10">
        <f t="shared" si="22"/>
        <v>1046</v>
      </c>
      <c r="L365" s="6" t="str">
        <f t="shared" si="23"/>
        <v>OK</v>
      </c>
      <c r="M365" s="13">
        <f t="shared" si="20"/>
        <v>1150254.82</v>
      </c>
      <c r="N365" s="8">
        <f>Table5[[#This Row],[Total Qty Sold]]*Table5[[#This Row],[Unit Price]]</f>
        <v>0</v>
      </c>
      <c r="O365" s="9"/>
      <c r="P365" s="40" t="str">
        <f ca="1">IF(Table5[[#This Row],[Last sale Date]]="","Never Sold",TODAY()-Table5[[#This Row],[Last sale Date]])</f>
        <v>Never Sold</v>
      </c>
      <c r="Q365" s="6" t="str">
        <f>IF(Table5[[#This Row],[Re order Level]]&lt;=Table5[[#This Row],[Current stock]],"ORDERASAP","OK BUT BE CHECKING")</f>
        <v>OK BUT BE CHECKING</v>
      </c>
      <c r="R365" s="6" t="str">
        <f t="shared" si="21"/>
        <v>ACTIVE</v>
      </c>
      <c r="S365" s="8">
        <f>IF(Table5[[#This Row],[DEADSTOCK FLAG]]="DEAD",Table5[[#This Row],[Inventory Value]],0)</f>
        <v>0</v>
      </c>
    </row>
    <row r="366" spans="1:19" x14ac:dyDescent="0.25">
      <c r="A366" s="24" t="str">
        <f>'Inventory master'!A366</f>
        <v>ITEM365-A</v>
      </c>
      <c r="B366" s="6" t="str">
        <f>'Inventory master'!B366</f>
        <v>Fixed Attenuator 3dB</v>
      </c>
      <c r="C366" s="6" t="str">
        <f>'Inventory master'!C366</f>
        <v>Attenuators</v>
      </c>
      <c r="D366" s="6" t="str">
        <f>'Inventory master'!D366</f>
        <v>Prysmian Group</v>
      </c>
      <c r="E366" s="10" t="str">
        <f>'Inventory master'!E366</f>
        <v>142.8</v>
      </c>
      <c r="F366" s="10" t="str">
        <f>'Inventory master'!F366</f>
        <v>201.97</v>
      </c>
      <c r="G366" s="10" t="str">
        <f>'Inventory master'!G366</f>
        <v>15</v>
      </c>
      <c r="H366" s="8">
        <f>IFERROR(_xlfn.XLOOKUP(A366, 'Opening stock'!A366:A965, 'Opening stock'!E366:E965), "")</f>
        <v>225</v>
      </c>
      <c r="I366" s="8">
        <f>IFERROR(SUMIF(Table3[Item ID],'Inventory calculations'!A366,Table3[Quantity]),0)</f>
        <v>0</v>
      </c>
      <c r="J366" s="8">
        <f>IFERROR(SUMIF(Table4[Item ID],'Inventory calculations'!A366,Table4[Quantity Purchased]),0)</f>
        <v>0</v>
      </c>
      <c r="K366" s="10">
        <f t="shared" si="22"/>
        <v>225</v>
      </c>
      <c r="L366" s="6" t="str">
        <f t="shared" si="23"/>
        <v>OK</v>
      </c>
      <c r="M366" s="13">
        <f t="shared" si="20"/>
        <v>32130.000000000004</v>
      </c>
      <c r="N366" s="8">
        <f>Table5[[#This Row],[Total Qty Sold]]*Table5[[#This Row],[Unit Price]]</f>
        <v>0</v>
      </c>
      <c r="O366" s="9"/>
      <c r="P366" s="40" t="str">
        <f ca="1">IF(Table5[[#This Row],[Last sale Date]]="","Never Sold",TODAY()-Table5[[#This Row],[Last sale Date]])</f>
        <v>Never Sold</v>
      </c>
      <c r="Q366" s="6" t="str">
        <f>IF(Table5[[#This Row],[Re order Level]]&lt;=Table5[[#This Row],[Current stock]],"ORDERASAP","OK BUT BE CHECKING")</f>
        <v>OK BUT BE CHECKING</v>
      </c>
      <c r="R366" s="6" t="str">
        <f t="shared" si="21"/>
        <v>ACTIVE</v>
      </c>
      <c r="S366" s="8">
        <f>IF(Table5[[#This Row],[DEADSTOCK FLAG]]="DEAD",Table5[[#This Row],[Inventory Value]],0)</f>
        <v>0</v>
      </c>
    </row>
    <row r="367" spans="1:19" x14ac:dyDescent="0.25">
      <c r="A367" s="24" t="str">
        <f>'Inventory master'!A367</f>
        <v>ITEM366-A</v>
      </c>
      <c r="B367" s="6" t="str">
        <f>'Inventory master'!B367</f>
        <v>SC APC Connector</v>
      </c>
      <c r="C367" s="6" t="str">
        <f>'Inventory master'!C367</f>
        <v>Connectors</v>
      </c>
      <c r="D367" s="6" t="str">
        <f>'Inventory master'!D367</f>
        <v>Prysmian Group</v>
      </c>
      <c r="E367" s="10" t="str">
        <f>'Inventory master'!E367</f>
        <v>404.75</v>
      </c>
      <c r="F367" s="10" t="str">
        <f>'Inventory master'!F367</f>
        <v>779.55</v>
      </c>
      <c r="G367" s="10" t="str">
        <f>'Inventory master'!G367</f>
        <v>91</v>
      </c>
      <c r="H367" s="8">
        <f>IFERROR(_xlfn.XLOOKUP(A367, 'Opening stock'!A367:A966, 'Opening stock'!E367:E966), "")</f>
        <v>1365</v>
      </c>
      <c r="I367" s="8">
        <f>IFERROR(SUMIF(Table3[Item ID],'Inventory calculations'!A367,Table3[Quantity]),0)</f>
        <v>0</v>
      </c>
      <c r="J367" s="8">
        <f>IFERROR(SUMIF(Table4[Item ID],'Inventory calculations'!A367,Table4[Quantity Purchased]),0)</f>
        <v>11</v>
      </c>
      <c r="K367" s="10">
        <f t="shared" si="22"/>
        <v>1376</v>
      </c>
      <c r="L367" s="6" t="str">
        <f t="shared" si="23"/>
        <v>OK</v>
      </c>
      <c r="M367" s="13">
        <f t="shared" si="20"/>
        <v>556936</v>
      </c>
      <c r="N367" s="8">
        <f>Table5[[#This Row],[Total Qty Sold]]*Table5[[#This Row],[Unit Price]]</f>
        <v>0</v>
      </c>
      <c r="O367" s="9"/>
      <c r="P367" s="40" t="str">
        <f ca="1">IF(Table5[[#This Row],[Last sale Date]]="","Never Sold",TODAY()-Table5[[#This Row],[Last sale Date]])</f>
        <v>Never Sold</v>
      </c>
      <c r="Q367" s="6" t="str">
        <f>IF(Table5[[#This Row],[Re order Level]]&lt;=Table5[[#This Row],[Current stock]],"ORDERASAP","OK BUT BE CHECKING")</f>
        <v>OK BUT BE CHECKING</v>
      </c>
      <c r="R367" s="6" t="str">
        <f t="shared" si="21"/>
        <v>ACTIVE</v>
      </c>
      <c r="S367" s="8">
        <f>IF(Table5[[#This Row],[DEADSTOCK FLAG]]="DEAD",Table5[[#This Row],[Inventory Value]],0)</f>
        <v>0</v>
      </c>
    </row>
    <row r="368" spans="1:19" x14ac:dyDescent="0.25">
      <c r="A368" s="24" t="str">
        <f>'Inventory master'!A368</f>
        <v>ITEM367-A</v>
      </c>
      <c r="B368" s="6" t="str">
        <f>'Inventory master'!B368</f>
        <v>Fiber Optic Cutter</v>
      </c>
      <c r="C368" s="6" t="str">
        <f>'Inventory master'!C368</f>
        <v>Tools</v>
      </c>
      <c r="D368" s="6" t="str">
        <f>'Inventory master'!D368</f>
        <v>Corning Inc.</v>
      </c>
      <c r="E368" s="10" t="str">
        <f>'Inventory master'!E368</f>
        <v>1264.18</v>
      </c>
      <c r="F368" s="10" t="str">
        <f>'Inventory master'!F368</f>
        <v>2403.04</v>
      </c>
      <c r="G368" s="10" t="str">
        <f>'Inventory master'!G368</f>
        <v>78</v>
      </c>
      <c r="H368" s="8">
        <f>IFERROR(_xlfn.XLOOKUP(A368, 'Opening stock'!A368:A967, 'Opening stock'!E368:E967), "")</f>
        <v>1170</v>
      </c>
      <c r="I368" s="8">
        <f>IFERROR(SUMIF(Table3[Item ID],'Inventory calculations'!A368,Table3[Quantity]),0)</f>
        <v>177</v>
      </c>
      <c r="J368" s="8">
        <f>IFERROR(SUMIF(Table4[Item ID],'Inventory calculations'!A368,Table4[Quantity Purchased]),0)</f>
        <v>0</v>
      </c>
      <c r="K368" s="10">
        <f t="shared" si="22"/>
        <v>993</v>
      </c>
      <c r="L368" s="6" t="str">
        <f t="shared" si="23"/>
        <v>OK</v>
      </c>
      <c r="M368" s="13">
        <f t="shared" si="20"/>
        <v>1255330.74</v>
      </c>
      <c r="N368" s="8">
        <f>Table5[[#This Row],[Total Qty Sold]]*Table5[[#This Row],[Unit Price]]</f>
        <v>425338.08</v>
      </c>
      <c r="O368" s="9">
        <f>IFERROR(_xlfn.MAXIFS(Table3[Date],Table3[Item ID],Table5[[#This Row],[Item ID]]),"")</f>
        <v>45994</v>
      </c>
      <c r="P368" s="40">
        <f ca="1">IF(Table5[[#This Row],[Last sale Date]]="","Never Sold",TODAY()-Table5[[#This Row],[Last sale Date]])</f>
        <v>58</v>
      </c>
      <c r="Q368" s="6" t="str">
        <f>IF(Table5[[#This Row],[Re order Level]]&lt;=Table5[[#This Row],[Current stock]],"ORDERASAP","OK BUT BE CHECKING")</f>
        <v>OK BUT BE CHECKING</v>
      </c>
      <c r="R368" s="6" t="str">
        <f t="shared" si="21"/>
        <v>ACTIVE</v>
      </c>
      <c r="S368" s="8">
        <f>IF(Table5[[#This Row],[DEADSTOCK FLAG]]="DEAD",Table5[[#This Row],[Inventory Value]],0)</f>
        <v>0</v>
      </c>
    </row>
    <row r="369" spans="1:19" x14ac:dyDescent="0.25">
      <c r="A369" s="24" t="str">
        <f>'Inventory master'!A369</f>
        <v>ITEM368-A</v>
      </c>
      <c r="B369" s="6" t="str">
        <f>'Inventory master'!B369</f>
        <v>ST UPC Connector</v>
      </c>
      <c r="C369" s="6" t="str">
        <f>'Inventory master'!C369</f>
        <v>Connectors</v>
      </c>
      <c r="D369" s="6" t="str">
        <f>'Inventory master'!D369</f>
        <v>AFL</v>
      </c>
      <c r="E369" s="10" t="str">
        <f>'Inventory master'!E369</f>
        <v>813.45</v>
      </c>
      <c r="F369" s="10" t="str">
        <f>'Inventory master'!F369</f>
        <v>1493.22</v>
      </c>
      <c r="G369" s="10" t="str">
        <f>'Inventory master'!G369</f>
        <v>10</v>
      </c>
      <c r="H369" s="8">
        <f>IFERROR(_xlfn.XLOOKUP(A369, 'Opening stock'!A369:A968, 'Opening stock'!E369:E968), "")</f>
        <v>150</v>
      </c>
      <c r="I369" s="8">
        <f>IFERROR(SUMIF(Table3[Item ID],'Inventory calculations'!A369,Table3[Quantity]),0)</f>
        <v>11</v>
      </c>
      <c r="J369" s="8">
        <f>IFERROR(SUMIF(Table4[Item ID],'Inventory calculations'!A369,Table4[Quantity Purchased]),0)</f>
        <v>5</v>
      </c>
      <c r="K369" s="10">
        <f t="shared" si="22"/>
        <v>144</v>
      </c>
      <c r="L369" s="6" t="str">
        <f t="shared" si="23"/>
        <v>OK</v>
      </c>
      <c r="M369" s="13">
        <f t="shared" si="20"/>
        <v>117136.8</v>
      </c>
      <c r="N369" s="8">
        <f>Table5[[#This Row],[Total Qty Sold]]*Table5[[#This Row],[Unit Price]]</f>
        <v>16425.420000000002</v>
      </c>
      <c r="O369" s="9">
        <f>IFERROR(_xlfn.MAXIFS(Table3[Date],Table3[Item ID],Table5[[#This Row],[Item ID]]),"")</f>
        <v>45718</v>
      </c>
      <c r="P369" s="40">
        <f ca="1">IF(Table5[[#This Row],[Last sale Date]]="","Never Sold",TODAY()-Table5[[#This Row],[Last sale Date]])</f>
        <v>334</v>
      </c>
      <c r="Q369" s="6" t="str">
        <f>IF(Table5[[#This Row],[Re order Level]]&lt;=Table5[[#This Row],[Current stock]],"ORDERASAP","OK BUT BE CHECKING")</f>
        <v>OK BUT BE CHECKING</v>
      </c>
      <c r="R369" s="6" t="str">
        <f t="shared" si="21"/>
        <v>ACTIVE</v>
      </c>
      <c r="S369" s="8">
        <f>IF(Table5[[#This Row],[DEADSTOCK FLAG]]="DEAD",Table5[[#This Row],[Inventory Value]],0)</f>
        <v>0</v>
      </c>
    </row>
    <row r="370" spans="1:19" x14ac:dyDescent="0.25">
      <c r="A370" s="24" t="str">
        <f>'Inventory master'!A370</f>
        <v>ITEM369-A</v>
      </c>
      <c r="B370" s="6" t="str">
        <f>'Inventory master'!B370</f>
        <v>Fiber Optic Cutter</v>
      </c>
      <c r="C370" s="6" t="str">
        <f>'Inventory master'!C370</f>
        <v>Tools</v>
      </c>
      <c r="D370" s="6" t="str">
        <f>'Inventory master'!D370</f>
        <v>TE Connectivity</v>
      </c>
      <c r="E370" s="10" t="str">
        <f>'Inventory master'!E370</f>
        <v>1010.03</v>
      </c>
      <c r="F370" s="10" t="str">
        <f>'Inventory master'!F370</f>
        <v>1675.98</v>
      </c>
      <c r="G370" s="10" t="str">
        <f>'Inventory master'!G370</f>
        <v>49</v>
      </c>
      <c r="H370" s="8">
        <f>IFERROR(_xlfn.XLOOKUP(A370, 'Opening stock'!A370:A969, 'Opening stock'!E370:E969), "")</f>
        <v>735</v>
      </c>
      <c r="I370" s="8">
        <f>IFERROR(SUMIF(Table3[Item ID],'Inventory calculations'!A370,Table3[Quantity]),0)</f>
        <v>0</v>
      </c>
      <c r="J370" s="8">
        <f>IFERROR(SUMIF(Table4[Item ID],'Inventory calculations'!A370,Table4[Quantity Purchased]),0)</f>
        <v>0</v>
      </c>
      <c r="K370" s="10">
        <f t="shared" si="22"/>
        <v>735</v>
      </c>
      <c r="L370" s="6" t="str">
        <f t="shared" si="23"/>
        <v>OK</v>
      </c>
      <c r="M370" s="13">
        <f t="shared" si="20"/>
        <v>742372.04999999993</v>
      </c>
      <c r="N370" s="8">
        <f>Table5[[#This Row],[Total Qty Sold]]*Table5[[#This Row],[Unit Price]]</f>
        <v>0</v>
      </c>
      <c r="O370" s="9"/>
      <c r="P370" s="40" t="str">
        <f ca="1">IF(Table5[[#This Row],[Last sale Date]]="","Never Sold",TODAY()-Table5[[#This Row],[Last sale Date]])</f>
        <v>Never Sold</v>
      </c>
      <c r="Q370" s="6" t="str">
        <f>IF(Table5[[#This Row],[Re order Level]]&lt;=Table5[[#This Row],[Current stock]],"ORDERASAP","OK BUT BE CHECKING")</f>
        <v>OK BUT BE CHECKING</v>
      </c>
      <c r="R370" s="6" t="str">
        <f t="shared" si="21"/>
        <v>ACTIVE</v>
      </c>
      <c r="S370" s="8">
        <f>IF(Table5[[#This Row],[DEADSTOCK FLAG]]="DEAD",Table5[[#This Row],[Inventory Value]],0)</f>
        <v>0</v>
      </c>
    </row>
    <row r="371" spans="1:19" x14ac:dyDescent="0.25">
      <c r="A371" s="24" t="str">
        <f>'Inventory master'!A371</f>
        <v>ITEM370-A</v>
      </c>
      <c r="B371" s="6" t="str">
        <f>'Inventory master'!B371</f>
        <v>Dome Enclosure</v>
      </c>
      <c r="C371" s="6" t="str">
        <f>'Inventory master'!C371</f>
        <v>Enclosures</v>
      </c>
      <c r="D371" s="6" t="str">
        <f>'Inventory master'!D371</f>
        <v>Panduit</v>
      </c>
      <c r="E371" s="10" t="str">
        <f>'Inventory master'!E371</f>
        <v>482.91</v>
      </c>
      <c r="F371" s="10" t="str">
        <f>'Inventory master'!F371</f>
        <v>882.61</v>
      </c>
      <c r="G371" s="10" t="str">
        <f>'Inventory master'!G371</f>
        <v>74</v>
      </c>
      <c r="H371" s="8">
        <f>IFERROR(_xlfn.XLOOKUP(A371, 'Opening stock'!A371:A970, 'Opening stock'!E371:E970), "")</f>
        <v>1110</v>
      </c>
      <c r="I371" s="8">
        <f>IFERROR(SUMIF(Table3[Item ID],'Inventory calculations'!A371,Table3[Quantity]),0)</f>
        <v>0</v>
      </c>
      <c r="J371" s="8">
        <f>IFERROR(SUMIF(Table4[Item ID],'Inventory calculations'!A371,Table4[Quantity Purchased]),0)</f>
        <v>0</v>
      </c>
      <c r="K371" s="10">
        <f t="shared" si="22"/>
        <v>1110</v>
      </c>
      <c r="L371" s="6" t="str">
        <f t="shared" si="23"/>
        <v>OK</v>
      </c>
      <c r="M371" s="13">
        <f t="shared" si="20"/>
        <v>536030.1</v>
      </c>
      <c r="N371" s="8">
        <f>Table5[[#This Row],[Total Qty Sold]]*Table5[[#This Row],[Unit Price]]</f>
        <v>0</v>
      </c>
      <c r="O371" s="9"/>
      <c r="P371" s="40" t="str">
        <f ca="1">IF(Table5[[#This Row],[Last sale Date]]="","Never Sold",TODAY()-Table5[[#This Row],[Last sale Date]])</f>
        <v>Never Sold</v>
      </c>
      <c r="Q371" s="6" t="str">
        <f>IF(Table5[[#This Row],[Re order Level]]&lt;=Table5[[#This Row],[Current stock]],"ORDERASAP","OK BUT BE CHECKING")</f>
        <v>OK BUT BE CHECKING</v>
      </c>
      <c r="R371" s="6" t="str">
        <f t="shared" si="21"/>
        <v>ACTIVE</v>
      </c>
      <c r="S371" s="8">
        <f>IF(Table5[[#This Row],[DEADSTOCK FLAG]]="DEAD",Table5[[#This Row],[Inventory Value]],0)</f>
        <v>0</v>
      </c>
    </row>
    <row r="372" spans="1:19" x14ac:dyDescent="0.25">
      <c r="A372" s="24" t="str">
        <f>'Inventory master'!A372</f>
        <v>ITEM371-A</v>
      </c>
      <c r="B372" s="6" t="str">
        <f>'Inventory master'!B372</f>
        <v>1x16 PLC Splitter</v>
      </c>
      <c r="C372" s="6" t="str">
        <f>'Inventory master'!C372</f>
        <v>Splitters</v>
      </c>
      <c r="D372" s="6" t="str">
        <f>'Inventory master'!D372</f>
        <v>TE Connectivity</v>
      </c>
      <c r="E372" s="10" t="str">
        <f>'Inventory master'!E372</f>
        <v>1328.8</v>
      </c>
      <c r="F372" s="10" t="str">
        <f>'Inventory master'!F372</f>
        <v>2042.76</v>
      </c>
      <c r="G372" s="10" t="str">
        <f>'Inventory master'!G372</f>
        <v>67</v>
      </c>
      <c r="H372" s="8">
        <f>IFERROR(_xlfn.XLOOKUP(A372, 'Opening stock'!A372:A971, 'Opening stock'!E372:E971), "")</f>
        <v>1005</v>
      </c>
      <c r="I372" s="8">
        <f>IFERROR(SUMIF(Table3[Item ID],'Inventory calculations'!A372,Table3[Quantity]),0)</f>
        <v>0</v>
      </c>
      <c r="J372" s="8">
        <f>IFERROR(SUMIF(Table4[Item ID],'Inventory calculations'!A372,Table4[Quantity Purchased]),0)</f>
        <v>11</v>
      </c>
      <c r="K372" s="10">
        <f t="shared" si="22"/>
        <v>1016</v>
      </c>
      <c r="L372" s="6" t="str">
        <f t="shared" si="23"/>
        <v>OK</v>
      </c>
      <c r="M372" s="13">
        <f t="shared" si="20"/>
        <v>1350060.8</v>
      </c>
      <c r="N372" s="8">
        <f>Table5[[#This Row],[Total Qty Sold]]*Table5[[#This Row],[Unit Price]]</f>
        <v>0</v>
      </c>
      <c r="O372" s="9"/>
      <c r="P372" s="40" t="str">
        <f ca="1">IF(Table5[[#This Row],[Last sale Date]]="","Never Sold",TODAY()-Table5[[#This Row],[Last sale Date]])</f>
        <v>Never Sold</v>
      </c>
      <c r="Q372" s="6" t="str">
        <f>IF(Table5[[#This Row],[Re order Level]]&lt;=Table5[[#This Row],[Current stock]],"ORDERASAP","OK BUT BE CHECKING")</f>
        <v>OK BUT BE CHECKING</v>
      </c>
      <c r="R372" s="6" t="str">
        <f t="shared" si="21"/>
        <v>ACTIVE</v>
      </c>
      <c r="S372" s="8">
        <f>IF(Table5[[#This Row],[DEADSTOCK FLAG]]="DEAD",Table5[[#This Row],[Inventory Value]],0)</f>
        <v>0</v>
      </c>
    </row>
    <row r="373" spans="1:19" x14ac:dyDescent="0.25">
      <c r="A373" s="24" t="str">
        <f>'Inventory master'!A373</f>
        <v>ITEM372-A</v>
      </c>
      <c r="B373" s="6" t="str">
        <f>'Inventory master'!B373</f>
        <v>Fiber Optic Polisher</v>
      </c>
      <c r="C373" s="6" t="str">
        <f>'Inventory master'!C373</f>
        <v>Tools</v>
      </c>
      <c r="D373" s="6" t="str">
        <f>'Inventory master'!D373</f>
        <v>TE Connectivity</v>
      </c>
      <c r="E373" s="10" t="str">
        <f>'Inventory master'!E373</f>
        <v>531.53</v>
      </c>
      <c r="F373" s="10" t="str">
        <f>'Inventory master'!F373</f>
        <v>679.71</v>
      </c>
      <c r="G373" s="10" t="str">
        <f>'Inventory master'!G373</f>
        <v>44</v>
      </c>
      <c r="H373" s="8">
        <f>IFERROR(_xlfn.XLOOKUP(A373, 'Opening stock'!A373:A972, 'Opening stock'!E373:E972), "")</f>
        <v>660</v>
      </c>
      <c r="I373" s="8">
        <f>IFERROR(SUMIF(Table3[Item ID],'Inventory calculations'!A373,Table3[Quantity]),0)</f>
        <v>0</v>
      </c>
      <c r="J373" s="8">
        <f>IFERROR(SUMIF(Table4[Item ID],'Inventory calculations'!A373,Table4[Quantity Purchased]),0)</f>
        <v>18</v>
      </c>
      <c r="K373" s="10">
        <f t="shared" si="22"/>
        <v>678</v>
      </c>
      <c r="L373" s="6" t="str">
        <f t="shared" si="23"/>
        <v>OK</v>
      </c>
      <c r="M373" s="13">
        <f t="shared" si="20"/>
        <v>360377.33999999997</v>
      </c>
      <c r="N373" s="8">
        <f>Table5[[#This Row],[Total Qty Sold]]*Table5[[#This Row],[Unit Price]]</f>
        <v>0</v>
      </c>
      <c r="O373" s="9"/>
      <c r="P373" s="40" t="str">
        <f ca="1">IF(Table5[[#This Row],[Last sale Date]]="","Never Sold",TODAY()-Table5[[#This Row],[Last sale Date]])</f>
        <v>Never Sold</v>
      </c>
      <c r="Q373" s="6" t="str">
        <f>IF(Table5[[#This Row],[Re order Level]]&lt;=Table5[[#This Row],[Current stock]],"ORDERASAP","OK BUT BE CHECKING")</f>
        <v>OK BUT BE CHECKING</v>
      </c>
      <c r="R373" s="6" t="str">
        <f t="shared" si="21"/>
        <v>ACTIVE</v>
      </c>
      <c r="S373" s="8">
        <f>IF(Table5[[#This Row],[DEADSTOCK FLAG]]="DEAD",Table5[[#This Row],[Inventory Value]],0)</f>
        <v>0</v>
      </c>
    </row>
    <row r="374" spans="1:19" x14ac:dyDescent="0.25">
      <c r="A374" s="24" t="str">
        <f>'Inventory master'!A374</f>
        <v>ITEM373-A</v>
      </c>
      <c r="B374" s="6" t="str">
        <f>'Inventory master'!B374</f>
        <v>Fiber Pigtail</v>
      </c>
      <c r="C374" s="6" t="str">
        <f>'Inventory master'!C374</f>
        <v>Accessories</v>
      </c>
      <c r="D374" s="6" t="str">
        <f>'Inventory master'!D374</f>
        <v>Corning Inc.</v>
      </c>
      <c r="E374" s="10" t="str">
        <f>'Inventory master'!E374</f>
        <v>1926.21</v>
      </c>
      <c r="F374" s="10" t="str">
        <f>'Inventory master'!F374</f>
        <v>2537.0</v>
      </c>
      <c r="G374" s="10" t="str">
        <f>'Inventory master'!G374</f>
        <v>20</v>
      </c>
      <c r="H374" s="8">
        <f>IFERROR(_xlfn.XLOOKUP(A374, 'Opening stock'!A374:A973, 'Opening stock'!E374:E973), "")</f>
        <v>300</v>
      </c>
      <c r="I374" s="8">
        <f>IFERROR(SUMIF(Table3[Item ID],'Inventory calculations'!A374,Table3[Quantity]),0)</f>
        <v>0</v>
      </c>
      <c r="J374" s="8">
        <f>IFERROR(SUMIF(Table4[Item ID],'Inventory calculations'!A374,Table4[Quantity Purchased]),0)</f>
        <v>0</v>
      </c>
      <c r="K374" s="10">
        <f t="shared" si="22"/>
        <v>300</v>
      </c>
      <c r="L374" s="6" t="str">
        <f t="shared" si="23"/>
        <v>OK</v>
      </c>
      <c r="M374" s="13">
        <f t="shared" si="20"/>
        <v>577863</v>
      </c>
      <c r="N374" s="8">
        <f>Table5[[#This Row],[Total Qty Sold]]*Table5[[#This Row],[Unit Price]]</f>
        <v>0</v>
      </c>
      <c r="O374" s="9"/>
      <c r="P374" s="40" t="str">
        <f ca="1">IF(Table5[[#This Row],[Last sale Date]]="","Never Sold",TODAY()-Table5[[#This Row],[Last sale Date]])</f>
        <v>Never Sold</v>
      </c>
      <c r="Q374" s="6" t="str">
        <f>IF(Table5[[#This Row],[Re order Level]]&lt;=Table5[[#This Row],[Current stock]],"ORDERASAP","OK BUT BE CHECKING")</f>
        <v>OK BUT BE CHECKING</v>
      </c>
      <c r="R374" s="6" t="str">
        <f t="shared" si="21"/>
        <v>ACTIVE</v>
      </c>
      <c r="S374" s="8">
        <f>IF(Table5[[#This Row],[DEADSTOCK FLAG]]="DEAD",Table5[[#This Row],[Inventory Value]],0)</f>
        <v>0</v>
      </c>
    </row>
    <row r="375" spans="1:19" x14ac:dyDescent="0.25">
      <c r="A375" s="24" t="str">
        <f>'Inventory master'!A375</f>
        <v>ITEM374-A</v>
      </c>
      <c r="B375" s="6" t="str">
        <f>'Inventory master'!B375</f>
        <v>1x32 PLC Splitter</v>
      </c>
      <c r="C375" s="6" t="str">
        <f>'Inventory master'!C375</f>
        <v>Splitters</v>
      </c>
      <c r="D375" s="6" t="str">
        <f>'Inventory master'!D375</f>
        <v>Belden</v>
      </c>
      <c r="E375" s="10" t="str">
        <f>'Inventory master'!E375</f>
        <v>992.09</v>
      </c>
      <c r="F375" s="10" t="str">
        <f>'Inventory master'!F375</f>
        <v>1953.45</v>
      </c>
      <c r="G375" s="10" t="str">
        <f>'Inventory master'!G375</f>
        <v>57</v>
      </c>
      <c r="H375" s="8">
        <f>IFERROR(_xlfn.XLOOKUP(A375, 'Opening stock'!A375:A974, 'Opening stock'!E375:E974), "")</f>
        <v>855</v>
      </c>
      <c r="I375" s="8">
        <f>IFERROR(SUMIF(Table3[Item ID],'Inventory calculations'!A375,Table3[Quantity]),0)</f>
        <v>0</v>
      </c>
      <c r="J375" s="8">
        <f>IFERROR(SUMIF(Table4[Item ID],'Inventory calculations'!A375,Table4[Quantity Purchased]),0)</f>
        <v>2</v>
      </c>
      <c r="K375" s="10">
        <f t="shared" si="22"/>
        <v>857</v>
      </c>
      <c r="L375" s="6" t="str">
        <f t="shared" si="23"/>
        <v>OK</v>
      </c>
      <c r="M375" s="13">
        <f t="shared" si="20"/>
        <v>850221.13</v>
      </c>
      <c r="N375" s="8">
        <f>Table5[[#This Row],[Total Qty Sold]]*Table5[[#This Row],[Unit Price]]</f>
        <v>0</v>
      </c>
      <c r="O375" s="9"/>
      <c r="P375" s="40" t="str">
        <f ca="1">IF(Table5[[#This Row],[Last sale Date]]="","Never Sold",TODAY()-Table5[[#This Row],[Last sale Date]])</f>
        <v>Never Sold</v>
      </c>
      <c r="Q375" s="6" t="str">
        <f>IF(Table5[[#This Row],[Re order Level]]&lt;=Table5[[#This Row],[Current stock]],"ORDERASAP","OK BUT BE CHECKING")</f>
        <v>OK BUT BE CHECKING</v>
      </c>
      <c r="R375" s="6" t="str">
        <f t="shared" si="21"/>
        <v>ACTIVE</v>
      </c>
      <c r="S375" s="8">
        <f>IF(Table5[[#This Row],[DEADSTOCK FLAG]]="DEAD",Table5[[#This Row],[Inventory Value]],0)</f>
        <v>0</v>
      </c>
    </row>
    <row r="376" spans="1:19" x14ac:dyDescent="0.25">
      <c r="A376" s="24" t="str">
        <f>'Inventory master'!A376</f>
        <v>ITEM375-A</v>
      </c>
      <c r="B376" s="6" t="str">
        <f>'Inventory master'!B376</f>
        <v>Fusion Splicer</v>
      </c>
      <c r="C376" s="6" t="str">
        <f>'Inventory master'!C376</f>
        <v>Splicers</v>
      </c>
      <c r="D376" s="6" t="str">
        <f>'Inventory master'!D376</f>
        <v>Panduit</v>
      </c>
      <c r="E376" s="10" t="str">
        <f>'Inventory master'!E376</f>
        <v>1575.38</v>
      </c>
      <c r="F376" s="10" t="str">
        <f>'Inventory master'!F376</f>
        <v>2928.06</v>
      </c>
      <c r="G376" s="10" t="str">
        <f>'Inventory master'!G376</f>
        <v>86</v>
      </c>
      <c r="H376" s="8">
        <f>IFERROR(_xlfn.XLOOKUP(A376, 'Opening stock'!A376:A975, 'Opening stock'!E376:E975), "")</f>
        <v>1290</v>
      </c>
      <c r="I376" s="8">
        <f>IFERROR(SUMIF(Table3[Item ID],'Inventory calculations'!A376,Table3[Quantity]),0)</f>
        <v>0</v>
      </c>
      <c r="J376" s="8">
        <f>IFERROR(SUMIF(Table4[Item ID],'Inventory calculations'!A376,Table4[Quantity Purchased]),0)</f>
        <v>7</v>
      </c>
      <c r="K376" s="10">
        <f t="shared" si="22"/>
        <v>1297</v>
      </c>
      <c r="L376" s="6" t="str">
        <f t="shared" si="23"/>
        <v>OK</v>
      </c>
      <c r="M376" s="13">
        <f t="shared" si="20"/>
        <v>2043267.86</v>
      </c>
      <c r="N376" s="8">
        <f>Table5[[#This Row],[Total Qty Sold]]*Table5[[#This Row],[Unit Price]]</f>
        <v>0</v>
      </c>
      <c r="O376" s="9"/>
      <c r="P376" s="40" t="str">
        <f ca="1">IF(Table5[[#This Row],[Last sale Date]]="","Never Sold",TODAY()-Table5[[#This Row],[Last sale Date]])</f>
        <v>Never Sold</v>
      </c>
      <c r="Q376" s="6" t="str">
        <f>IF(Table5[[#This Row],[Re order Level]]&lt;=Table5[[#This Row],[Current stock]],"ORDERASAP","OK BUT BE CHECKING")</f>
        <v>OK BUT BE CHECKING</v>
      </c>
      <c r="R376" s="6" t="str">
        <f t="shared" si="21"/>
        <v>ACTIVE</v>
      </c>
      <c r="S376" s="8">
        <f>IF(Table5[[#This Row],[DEADSTOCK FLAG]]="DEAD",Table5[[#This Row],[Inventory Value]],0)</f>
        <v>0</v>
      </c>
    </row>
    <row r="377" spans="1:19" x14ac:dyDescent="0.25">
      <c r="A377" s="24" t="str">
        <f>'Inventory master'!A377</f>
        <v>ITEM376-A</v>
      </c>
      <c r="B377" s="6" t="str">
        <f>'Inventory master'!B377</f>
        <v>Wall-Mount Enclosure</v>
      </c>
      <c r="C377" s="6" t="str">
        <f>'Inventory master'!C377</f>
        <v>Enclosures</v>
      </c>
      <c r="D377" s="6" t="str">
        <f>'Inventory master'!D377</f>
        <v>Huber+Suhner</v>
      </c>
      <c r="E377" s="10" t="str">
        <f>'Inventory master'!E377</f>
        <v>504.35</v>
      </c>
      <c r="F377" s="10" t="str">
        <f>'Inventory master'!F377</f>
        <v>983.29</v>
      </c>
      <c r="G377" s="10" t="str">
        <f>'Inventory master'!G377</f>
        <v>76</v>
      </c>
      <c r="H377" s="8">
        <f>IFERROR(_xlfn.XLOOKUP(A377, 'Opening stock'!A377:A976, 'Opening stock'!E377:E976), "")</f>
        <v>1140</v>
      </c>
      <c r="I377" s="8">
        <f>IFERROR(SUMIF(Table3[Item ID],'Inventory calculations'!A377,Table3[Quantity]),0)</f>
        <v>2</v>
      </c>
      <c r="J377" s="8">
        <f>IFERROR(SUMIF(Table4[Item ID],'Inventory calculations'!A377,Table4[Quantity Purchased]),0)</f>
        <v>0</v>
      </c>
      <c r="K377" s="10">
        <f t="shared" si="22"/>
        <v>1138</v>
      </c>
      <c r="L377" s="6" t="str">
        <f t="shared" si="23"/>
        <v>OK</v>
      </c>
      <c r="M377" s="13">
        <f t="shared" si="20"/>
        <v>573950.30000000005</v>
      </c>
      <c r="N377" s="8">
        <f>Table5[[#This Row],[Total Qty Sold]]*Table5[[#This Row],[Unit Price]]</f>
        <v>1966.58</v>
      </c>
      <c r="O377" s="9">
        <f>IFERROR(_xlfn.MAXIFS(Table3[Date],Table3[Item ID],Table5[[#This Row],[Item ID]]),"")</f>
        <v>45495</v>
      </c>
      <c r="P377" s="40">
        <f ca="1">IF(Table5[[#This Row],[Last sale Date]]="","Never Sold",TODAY()-Table5[[#This Row],[Last sale Date]])</f>
        <v>557</v>
      </c>
      <c r="Q377" s="6" t="str">
        <f>IF(Table5[[#This Row],[Re order Level]]&lt;=Table5[[#This Row],[Current stock]],"ORDERASAP","OK BUT BE CHECKING")</f>
        <v>OK BUT BE CHECKING</v>
      </c>
      <c r="R377" s="6" t="str">
        <f t="shared" si="21"/>
        <v>ACTIVE</v>
      </c>
      <c r="S377" s="8">
        <f>IF(Table5[[#This Row],[DEADSTOCK FLAG]]="DEAD",Table5[[#This Row],[Inventory Value]],0)</f>
        <v>0</v>
      </c>
    </row>
    <row r="378" spans="1:19" x14ac:dyDescent="0.25">
      <c r="A378" s="24" t="str">
        <f>'Inventory master'!A378</f>
        <v>ITEM377-A</v>
      </c>
      <c r="B378" s="6" t="str">
        <f>'Inventory master'!B378</f>
        <v>Armored Fiber Cable 300m</v>
      </c>
      <c r="C378" s="6" t="str">
        <f>'Inventory master'!C378</f>
        <v>Fiber Optic Cables</v>
      </c>
      <c r="D378" s="6" t="str">
        <f>'Inventory master'!D378</f>
        <v>Panduit</v>
      </c>
      <c r="E378" s="10" t="str">
        <f>'Inventory master'!E378</f>
        <v>158.41</v>
      </c>
      <c r="F378" s="10" t="str">
        <f>'Inventory master'!F378</f>
        <v>210.86</v>
      </c>
      <c r="G378" s="10" t="str">
        <f>'Inventory master'!G378</f>
        <v>69</v>
      </c>
      <c r="H378" s="8">
        <f>IFERROR(_xlfn.XLOOKUP(A378, 'Opening stock'!A378:A977, 'Opening stock'!E378:E977), "")</f>
        <v>1035</v>
      </c>
      <c r="I378" s="8">
        <f>IFERROR(SUMIF(Table3[Item ID],'Inventory calculations'!A378,Table3[Quantity]),0)</f>
        <v>0</v>
      </c>
      <c r="J378" s="8">
        <f>IFERROR(SUMIF(Table4[Item ID],'Inventory calculations'!A378,Table4[Quantity Purchased]),0)</f>
        <v>14</v>
      </c>
      <c r="K378" s="10">
        <f t="shared" si="22"/>
        <v>1049</v>
      </c>
      <c r="L378" s="6" t="str">
        <f t="shared" si="23"/>
        <v>OK</v>
      </c>
      <c r="M378" s="13">
        <f t="shared" si="20"/>
        <v>166172.09</v>
      </c>
      <c r="N378" s="8">
        <f>Table5[[#This Row],[Total Qty Sold]]*Table5[[#This Row],[Unit Price]]</f>
        <v>0</v>
      </c>
      <c r="O378" s="9"/>
      <c r="P378" s="40" t="str">
        <f ca="1">IF(Table5[[#This Row],[Last sale Date]]="","Never Sold",TODAY()-Table5[[#This Row],[Last sale Date]])</f>
        <v>Never Sold</v>
      </c>
      <c r="Q378" s="6" t="str">
        <f>IF(Table5[[#This Row],[Re order Level]]&lt;=Table5[[#This Row],[Current stock]],"ORDERASAP","OK BUT BE CHECKING")</f>
        <v>OK BUT BE CHECKING</v>
      </c>
      <c r="R378" s="6" t="str">
        <f t="shared" si="21"/>
        <v>ACTIVE</v>
      </c>
      <c r="S378" s="8">
        <f>IF(Table5[[#This Row],[DEADSTOCK FLAG]]="DEAD",Table5[[#This Row],[Inventory Value]],0)</f>
        <v>0</v>
      </c>
    </row>
    <row r="379" spans="1:19" x14ac:dyDescent="0.25">
      <c r="A379" s="24" t="str">
        <f>'Inventory master'!A379</f>
        <v>ITEM378-A</v>
      </c>
      <c r="B379" s="6" t="str">
        <f>'Inventory master'!B379</f>
        <v>1x4 PLC Splitter</v>
      </c>
      <c r="C379" s="6" t="str">
        <f>'Inventory master'!C379</f>
        <v>Splitters</v>
      </c>
      <c r="D379" s="6" t="str">
        <f>'Inventory master'!D379</f>
        <v>CommScope</v>
      </c>
      <c r="E379" s="10" t="str">
        <f>'Inventory master'!E379</f>
        <v>1633.95</v>
      </c>
      <c r="F379" s="10" t="str">
        <f>'Inventory master'!F379</f>
        <v>2288.15</v>
      </c>
      <c r="G379" s="10" t="str">
        <f>'Inventory master'!G379</f>
        <v>58</v>
      </c>
      <c r="H379" s="8">
        <f>IFERROR(_xlfn.XLOOKUP(A379, 'Opening stock'!A379:A978, 'Opening stock'!E379:E978), "")</f>
        <v>870</v>
      </c>
      <c r="I379" s="8">
        <f>IFERROR(SUMIF(Table3[Item ID],'Inventory calculations'!A379,Table3[Quantity]),0)</f>
        <v>0</v>
      </c>
      <c r="J379" s="8">
        <f>IFERROR(SUMIF(Table4[Item ID],'Inventory calculations'!A379,Table4[Quantity Purchased]),0)</f>
        <v>7</v>
      </c>
      <c r="K379" s="10">
        <f t="shared" si="22"/>
        <v>877</v>
      </c>
      <c r="L379" s="6" t="str">
        <f t="shared" si="23"/>
        <v>OK</v>
      </c>
      <c r="M379" s="13">
        <f t="shared" si="20"/>
        <v>1432974.1500000001</v>
      </c>
      <c r="N379" s="8">
        <f>Table5[[#This Row],[Total Qty Sold]]*Table5[[#This Row],[Unit Price]]</f>
        <v>0</v>
      </c>
      <c r="O379" s="9"/>
      <c r="P379" s="40" t="str">
        <f ca="1">IF(Table5[[#This Row],[Last sale Date]]="","Never Sold",TODAY()-Table5[[#This Row],[Last sale Date]])</f>
        <v>Never Sold</v>
      </c>
      <c r="Q379" s="6" t="str">
        <f>IF(Table5[[#This Row],[Re order Level]]&lt;=Table5[[#This Row],[Current stock]],"ORDERASAP","OK BUT BE CHECKING")</f>
        <v>OK BUT BE CHECKING</v>
      </c>
      <c r="R379" s="6" t="str">
        <f t="shared" si="21"/>
        <v>ACTIVE</v>
      </c>
      <c r="S379" s="8">
        <f>IF(Table5[[#This Row],[DEADSTOCK FLAG]]="DEAD",Table5[[#This Row],[Inventory Value]],0)</f>
        <v>0</v>
      </c>
    </row>
    <row r="380" spans="1:19" x14ac:dyDescent="0.25">
      <c r="A380" s="24" t="str">
        <f>'Inventory master'!A380</f>
        <v>ITEM379-A</v>
      </c>
      <c r="B380" s="6" t="str">
        <f>'Inventory master'!B380</f>
        <v>Mechanical Splicer</v>
      </c>
      <c r="C380" s="6" t="str">
        <f>'Inventory master'!C380</f>
        <v>Splicers</v>
      </c>
      <c r="D380" s="6" t="str">
        <f>'Inventory master'!D380</f>
        <v>CommScope</v>
      </c>
      <c r="E380" s="10" t="str">
        <f>'Inventory master'!E380</f>
        <v>1456.42</v>
      </c>
      <c r="F380" s="10" t="str">
        <f>'Inventory master'!F380</f>
        <v>2067.54</v>
      </c>
      <c r="G380" s="10" t="str">
        <f>'Inventory master'!G380</f>
        <v>86</v>
      </c>
      <c r="H380" s="8">
        <f>IFERROR(_xlfn.XLOOKUP(A380, 'Opening stock'!A380:A979, 'Opening stock'!E380:E979), "")</f>
        <v>1290</v>
      </c>
      <c r="I380" s="8">
        <f>IFERROR(SUMIF(Table3[Item ID],'Inventory calculations'!A380,Table3[Quantity]),0)</f>
        <v>0</v>
      </c>
      <c r="J380" s="8">
        <f>IFERROR(SUMIF(Table4[Item ID],'Inventory calculations'!A380,Table4[Quantity Purchased]),0)</f>
        <v>0</v>
      </c>
      <c r="K380" s="10">
        <f t="shared" si="22"/>
        <v>1290</v>
      </c>
      <c r="L380" s="6" t="str">
        <f t="shared" si="23"/>
        <v>OK</v>
      </c>
      <c r="M380" s="13">
        <f t="shared" si="20"/>
        <v>1878781.8</v>
      </c>
      <c r="N380" s="8">
        <f>Table5[[#This Row],[Total Qty Sold]]*Table5[[#This Row],[Unit Price]]</f>
        <v>0</v>
      </c>
      <c r="O380" s="9"/>
      <c r="P380" s="40" t="str">
        <f ca="1">IF(Table5[[#This Row],[Last sale Date]]="","Never Sold",TODAY()-Table5[[#This Row],[Last sale Date]])</f>
        <v>Never Sold</v>
      </c>
      <c r="Q380" s="6" t="str">
        <f>IF(Table5[[#This Row],[Re order Level]]&lt;=Table5[[#This Row],[Current stock]],"ORDERASAP","OK BUT BE CHECKING")</f>
        <v>OK BUT BE CHECKING</v>
      </c>
      <c r="R380" s="6" t="str">
        <f t="shared" si="21"/>
        <v>ACTIVE</v>
      </c>
      <c r="S380" s="8">
        <f>IF(Table5[[#This Row],[DEADSTOCK FLAG]]="DEAD",Table5[[#This Row],[Inventory Value]],0)</f>
        <v>0</v>
      </c>
    </row>
    <row r="381" spans="1:19" x14ac:dyDescent="0.25">
      <c r="A381" s="24" t="str">
        <f>'Inventory master'!A381</f>
        <v>ITEM380-A</v>
      </c>
      <c r="B381" s="6" t="str">
        <f>'Inventory master'!B381</f>
        <v>FC APC Connector</v>
      </c>
      <c r="C381" s="6" t="str">
        <f>'Inventory master'!C381</f>
        <v>Connectors</v>
      </c>
      <c r="D381" s="6" t="str">
        <f>'Inventory master'!D381</f>
        <v>Belden</v>
      </c>
      <c r="E381" s="10" t="str">
        <f>'Inventory master'!E381</f>
        <v>1470.07</v>
      </c>
      <c r="F381" s="10" t="str">
        <f>'Inventory master'!F381</f>
        <v>1825.56</v>
      </c>
      <c r="G381" s="10" t="str">
        <f>'Inventory master'!G381</f>
        <v>82</v>
      </c>
      <c r="H381" s="8">
        <f>IFERROR(_xlfn.XLOOKUP(A381, 'Opening stock'!A381:A980, 'Opening stock'!E381:E980), "")</f>
        <v>1230</v>
      </c>
      <c r="I381" s="8">
        <f>IFERROR(SUMIF(Table3[Item ID],'Inventory calculations'!A381,Table3[Quantity]),0)</f>
        <v>0</v>
      </c>
      <c r="J381" s="8">
        <f>IFERROR(SUMIF(Table4[Item ID],'Inventory calculations'!A381,Table4[Quantity Purchased]),0)</f>
        <v>1</v>
      </c>
      <c r="K381" s="10">
        <f t="shared" si="22"/>
        <v>1231</v>
      </c>
      <c r="L381" s="6" t="str">
        <f t="shared" si="23"/>
        <v>OK</v>
      </c>
      <c r="M381" s="13">
        <f t="shared" si="20"/>
        <v>1809656.17</v>
      </c>
      <c r="N381" s="8">
        <f>Table5[[#This Row],[Total Qty Sold]]*Table5[[#This Row],[Unit Price]]</f>
        <v>0</v>
      </c>
      <c r="O381" s="9"/>
      <c r="P381" s="40" t="str">
        <f ca="1">IF(Table5[[#This Row],[Last sale Date]]="","Never Sold",TODAY()-Table5[[#This Row],[Last sale Date]])</f>
        <v>Never Sold</v>
      </c>
      <c r="Q381" s="6" t="str">
        <f>IF(Table5[[#This Row],[Re order Level]]&lt;=Table5[[#This Row],[Current stock]],"ORDERASAP","OK BUT BE CHECKING")</f>
        <v>OK BUT BE CHECKING</v>
      </c>
      <c r="R381" s="6" t="str">
        <f t="shared" si="21"/>
        <v>ACTIVE</v>
      </c>
      <c r="S381" s="8">
        <f>IF(Table5[[#This Row],[DEADSTOCK FLAG]]="DEAD",Table5[[#This Row],[Inventory Value]],0)</f>
        <v>0</v>
      </c>
    </row>
    <row r="382" spans="1:19" x14ac:dyDescent="0.25">
      <c r="A382" s="24" t="str">
        <f>'Inventory master'!A382</f>
        <v>ITEM381-A</v>
      </c>
      <c r="B382" s="6" t="str">
        <f>'Inventory master'!B382</f>
        <v>Mechanical Splicer</v>
      </c>
      <c r="C382" s="6" t="str">
        <f>'Inventory master'!C382</f>
        <v>Splicers</v>
      </c>
      <c r="D382" s="6" t="str">
        <f>'Inventory master'!D382</f>
        <v>Amphenol</v>
      </c>
      <c r="E382" s="10" t="str">
        <f>'Inventory master'!E382</f>
        <v>141.25</v>
      </c>
      <c r="F382" s="10" t="str">
        <f>'Inventory master'!F382</f>
        <v>161.7</v>
      </c>
      <c r="G382" s="10" t="str">
        <f>'Inventory master'!G382</f>
        <v>78</v>
      </c>
      <c r="H382" s="8">
        <f>IFERROR(_xlfn.XLOOKUP(A382, 'Opening stock'!A382:A981, 'Opening stock'!E382:E981), "")</f>
        <v>1170</v>
      </c>
      <c r="I382" s="8">
        <f>IFERROR(SUMIF(Table3[Item ID],'Inventory calculations'!A382,Table3[Quantity]),0)</f>
        <v>6</v>
      </c>
      <c r="J382" s="8">
        <f>IFERROR(SUMIF(Table4[Item ID],'Inventory calculations'!A382,Table4[Quantity Purchased]),0)</f>
        <v>1</v>
      </c>
      <c r="K382" s="10">
        <f t="shared" si="22"/>
        <v>1165</v>
      </c>
      <c r="L382" s="6" t="str">
        <f t="shared" si="23"/>
        <v>OK</v>
      </c>
      <c r="M382" s="13">
        <f t="shared" si="20"/>
        <v>164556.25</v>
      </c>
      <c r="N382" s="8">
        <f>Table5[[#This Row],[Total Qty Sold]]*Table5[[#This Row],[Unit Price]]</f>
        <v>970.19999999999993</v>
      </c>
      <c r="O382" s="9">
        <f>IFERROR(_xlfn.MAXIFS(Table3[Date],Table3[Item ID],Table5[[#This Row],[Item ID]]),"")</f>
        <v>45455</v>
      </c>
      <c r="P382" s="40">
        <f ca="1">IF(Table5[[#This Row],[Last sale Date]]="","Never Sold",TODAY()-Table5[[#This Row],[Last sale Date]])</f>
        <v>597</v>
      </c>
      <c r="Q382" s="6" t="str">
        <f>IF(Table5[[#This Row],[Re order Level]]&lt;=Table5[[#This Row],[Current stock]],"ORDERASAP","OK BUT BE CHECKING")</f>
        <v>OK BUT BE CHECKING</v>
      </c>
      <c r="R382" s="6" t="str">
        <f t="shared" si="21"/>
        <v>ACTIVE</v>
      </c>
      <c r="S382" s="8">
        <f>IF(Table5[[#This Row],[DEADSTOCK FLAG]]="DEAD",Table5[[#This Row],[Inventory Value]],0)</f>
        <v>0</v>
      </c>
    </row>
    <row r="383" spans="1:19" x14ac:dyDescent="0.25">
      <c r="A383" s="24" t="str">
        <f>'Inventory master'!A383</f>
        <v>ITEM382-A</v>
      </c>
      <c r="B383" s="6" t="str">
        <f>'Inventory master'!B383</f>
        <v>Fusion Splicer</v>
      </c>
      <c r="C383" s="6" t="str">
        <f>'Inventory master'!C383</f>
        <v>Splicers</v>
      </c>
      <c r="D383" s="6" t="str">
        <f>'Inventory master'!D383</f>
        <v>TE Connectivity</v>
      </c>
      <c r="E383" s="10" t="str">
        <f>'Inventory master'!E383</f>
        <v>1975.75</v>
      </c>
      <c r="F383" s="10" t="str">
        <f>'Inventory master'!F383</f>
        <v>3638.82</v>
      </c>
      <c r="G383" s="10" t="str">
        <f>'Inventory master'!G383</f>
        <v>54</v>
      </c>
      <c r="H383" s="8">
        <f>IFERROR(_xlfn.XLOOKUP(A383, 'Opening stock'!A383:A982, 'Opening stock'!E383:E982), "")</f>
        <v>810</v>
      </c>
      <c r="I383" s="8">
        <f>IFERROR(SUMIF(Table3[Item ID],'Inventory calculations'!A383,Table3[Quantity]),0)</f>
        <v>0</v>
      </c>
      <c r="J383" s="8">
        <f>IFERROR(SUMIF(Table4[Item ID],'Inventory calculations'!A383,Table4[Quantity Purchased]),0)</f>
        <v>12</v>
      </c>
      <c r="K383" s="10">
        <f t="shared" si="22"/>
        <v>822</v>
      </c>
      <c r="L383" s="6" t="str">
        <f t="shared" si="23"/>
        <v>OK</v>
      </c>
      <c r="M383" s="13">
        <f t="shared" si="20"/>
        <v>1624066.5</v>
      </c>
      <c r="N383" s="8">
        <f>Table5[[#This Row],[Total Qty Sold]]*Table5[[#This Row],[Unit Price]]</f>
        <v>0</v>
      </c>
      <c r="O383" s="9"/>
      <c r="P383" s="40" t="str">
        <f ca="1">IF(Table5[[#This Row],[Last sale Date]]="","Never Sold",TODAY()-Table5[[#This Row],[Last sale Date]])</f>
        <v>Never Sold</v>
      </c>
      <c r="Q383" s="6" t="str">
        <f>IF(Table5[[#This Row],[Re order Level]]&lt;=Table5[[#This Row],[Current stock]],"ORDERASAP","OK BUT BE CHECKING")</f>
        <v>OK BUT BE CHECKING</v>
      </c>
      <c r="R383" s="6" t="str">
        <f t="shared" si="21"/>
        <v>ACTIVE</v>
      </c>
      <c r="S383" s="8">
        <f>IF(Table5[[#This Row],[DEADSTOCK FLAG]]="DEAD",Table5[[#This Row],[Inventory Value]],0)</f>
        <v>0</v>
      </c>
    </row>
    <row r="384" spans="1:19" x14ac:dyDescent="0.25">
      <c r="A384" s="24" t="str">
        <f>'Inventory master'!A384</f>
        <v>ITEM383-A</v>
      </c>
      <c r="B384" s="6" t="str">
        <f>'Inventory master'!B384</f>
        <v>ST APC Connector</v>
      </c>
      <c r="C384" s="6" t="str">
        <f>'Inventory master'!C384</f>
        <v>Connectors</v>
      </c>
      <c r="D384" s="6" t="str">
        <f>'Inventory master'!D384</f>
        <v>TE Connectivity</v>
      </c>
      <c r="E384" s="10" t="str">
        <f>'Inventory master'!E384</f>
        <v>787.56</v>
      </c>
      <c r="F384" s="10" t="str">
        <f>'Inventory master'!F384</f>
        <v>959.8</v>
      </c>
      <c r="G384" s="10" t="str">
        <f>'Inventory master'!G384</f>
        <v>98</v>
      </c>
      <c r="H384" s="8">
        <f>IFERROR(_xlfn.XLOOKUP(A384, 'Opening stock'!A384:A983, 'Opening stock'!E384:E983), "")</f>
        <v>1470</v>
      </c>
      <c r="I384" s="8">
        <f>IFERROR(SUMIF(Table3[Item ID],'Inventory calculations'!A384,Table3[Quantity]),0)</f>
        <v>0</v>
      </c>
      <c r="J384" s="8">
        <f>IFERROR(SUMIF(Table4[Item ID],'Inventory calculations'!A384,Table4[Quantity Purchased]),0)</f>
        <v>7</v>
      </c>
      <c r="K384" s="10">
        <f t="shared" si="22"/>
        <v>1477</v>
      </c>
      <c r="L384" s="6" t="str">
        <f t="shared" si="23"/>
        <v>OK</v>
      </c>
      <c r="M384" s="13">
        <f t="shared" si="20"/>
        <v>1163226.1199999999</v>
      </c>
      <c r="N384" s="8">
        <f>Table5[[#This Row],[Total Qty Sold]]*Table5[[#This Row],[Unit Price]]</f>
        <v>0</v>
      </c>
      <c r="O384" s="9"/>
      <c r="P384" s="40" t="str">
        <f ca="1">IF(Table5[[#This Row],[Last sale Date]]="","Never Sold",TODAY()-Table5[[#This Row],[Last sale Date]])</f>
        <v>Never Sold</v>
      </c>
      <c r="Q384" s="6" t="str">
        <f>IF(Table5[[#This Row],[Re order Level]]&lt;=Table5[[#This Row],[Current stock]],"ORDERASAP","OK BUT BE CHECKING")</f>
        <v>OK BUT BE CHECKING</v>
      </c>
      <c r="R384" s="6" t="str">
        <f t="shared" si="21"/>
        <v>ACTIVE</v>
      </c>
      <c r="S384" s="8">
        <f>IF(Table5[[#This Row],[DEADSTOCK FLAG]]="DEAD",Table5[[#This Row],[Inventory Value]],0)</f>
        <v>0</v>
      </c>
    </row>
    <row r="385" spans="1:19" x14ac:dyDescent="0.25">
      <c r="A385" s="24" t="str">
        <f>'Inventory master'!A385</f>
        <v>ITEM384-A</v>
      </c>
      <c r="B385" s="6" t="str">
        <f>'Inventory master'!B385</f>
        <v>Fixed Attenuator 1dB</v>
      </c>
      <c r="C385" s="6" t="str">
        <f>'Inventory master'!C385</f>
        <v>Attenuators</v>
      </c>
      <c r="D385" s="6" t="str">
        <f>'Inventory master'!D385</f>
        <v>Huber+Suhner</v>
      </c>
      <c r="E385" s="10" t="str">
        <f>'Inventory master'!E385</f>
        <v>1898.78</v>
      </c>
      <c r="F385" s="10" t="str">
        <f>'Inventory master'!F385</f>
        <v>2604.48</v>
      </c>
      <c r="G385" s="10" t="str">
        <f>'Inventory master'!G385</f>
        <v>48</v>
      </c>
      <c r="H385" s="8">
        <f>IFERROR(_xlfn.XLOOKUP(A385, 'Opening stock'!A385:A984, 'Opening stock'!E385:E984), "")</f>
        <v>720</v>
      </c>
      <c r="I385" s="8">
        <f>IFERROR(SUMIF(Table3[Item ID],'Inventory calculations'!A385,Table3[Quantity]),0)</f>
        <v>12</v>
      </c>
      <c r="J385" s="8">
        <f>IFERROR(SUMIF(Table4[Item ID],'Inventory calculations'!A385,Table4[Quantity Purchased]),0)</f>
        <v>0</v>
      </c>
      <c r="K385" s="10">
        <f t="shared" si="22"/>
        <v>708</v>
      </c>
      <c r="L385" s="6" t="str">
        <f t="shared" si="23"/>
        <v>OK</v>
      </c>
      <c r="M385" s="13">
        <f t="shared" si="20"/>
        <v>1344336.24</v>
      </c>
      <c r="N385" s="8">
        <f>Table5[[#This Row],[Total Qty Sold]]*Table5[[#This Row],[Unit Price]]</f>
        <v>31253.760000000002</v>
      </c>
      <c r="O385" s="9">
        <f>IFERROR(_xlfn.MAXIFS(Table3[Date],Table3[Item ID],Table5[[#This Row],[Item ID]]),"")</f>
        <v>45870</v>
      </c>
      <c r="P385" s="40">
        <f ca="1">IF(Table5[[#This Row],[Last sale Date]]="","Never Sold",TODAY()-Table5[[#This Row],[Last sale Date]])</f>
        <v>182</v>
      </c>
      <c r="Q385" s="6" t="str">
        <f>IF(Table5[[#This Row],[Re order Level]]&lt;=Table5[[#This Row],[Current stock]],"ORDERASAP","OK BUT BE CHECKING")</f>
        <v>OK BUT BE CHECKING</v>
      </c>
      <c r="R385" s="6" t="str">
        <f t="shared" si="21"/>
        <v>ACTIVE</v>
      </c>
      <c r="S385" s="8">
        <f>IF(Table5[[#This Row],[DEADSTOCK FLAG]]="DEAD",Table5[[#This Row],[Inventory Value]],0)</f>
        <v>0</v>
      </c>
    </row>
    <row r="386" spans="1:19" x14ac:dyDescent="0.25">
      <c r="A386" s="24" t="str">
        <f>'Inventory master'!A386</f>
        <v>ITEM385-A</v>
      </c>
      <c r="B386" s="6" t="str">
        <f>'Inventory master'!B386</f>
        <v>Mechanical Splicer</v>
      </c>
      <c r="C386" s="6" t="str">
        <f>'Inventory master'!C386</f>
        <v>Splicers</v>
      </c>
      <c r="D386" s="6" t="str">
        <f>'Inventory master'!D386</f>
        <v>Leviton</v>
      </c>
      <c r="E386" s="10" t="str">
        <f>'Inventory master'!E386</f>
        <v>1842.3</v>
      </c>
      <c r="F386" s="10" t="str">
        <f>'Inventory master'!F386</f>
        <v>3266.81</v>
      </c>
      <c r="G386" s="10" t="str">
        <f>'Inventory master'!G386</f>
        <v>73</v>
      </c>
      <c r="H386" s="8">
        <f>IFERROR(_xlfn.XLOOKUP(A386, 'Opening stock'!A386:A985, 'Opening stock'!E386:E985), "")</f>
        <v>1095</v>
      </c>
      <c r="I386" s="8">
        <f>IFERROR(SUMIF(Table3[Item ID],'Inventory calculations'!A386,Table3[Quantity]),0)</f>
        <v>0</v>
      </c>
      <c r="J386" s="8">
        <f>IFERROR(SUMIF(Table4[Item ID],'Inventory calculations'!A386,Table4[Quantity Purchased]),0)</f>
        <v>0</v>
      </c>
      <c r="K386" s="10">
        <f t="shared" si="22"/>
        <v>1095</v>
      </c>
      <c r="L386" s="6" t="str">
        <f t="shared" si="23"/>
        <v>OK</v>
      </c>
      <c r="M386" s="13">
        <f t="shared" ref="M386:M449" si="24">K386*E386</f>
        <v>2017318.5</v>
      </c>
      <c r="N386" s="8">
        <f>Table5[[#This Row],[Total Qty Sold]]*Table5[[#This Row],[Unit Price]]</f>
        <v>0</v>
      </c>
      <c r="O386" s="9"/>
      <c r="P386" s="40" t="str">
        <f ca="1">IF(Table5[[#This Row],[Last sale Date]]="","Never Sold",TODAY()-Table5[[#This Row],[Last sale Date]])</f>
        <v>Never Sold</v>
      </c>
      <c r="Q386" s="6" t="str">
        <f>IF(Table5[[#This Row],[Re order Level]]&lt;=Table5[[#This Row],[Current stock]],"ORDERASAP","OK BUT BE CHECKING")</f>
        <v>OK BUT BE CHECKING</v>
      </c>
      <c r="R386" s="6" t="str">
        <f t="shared" ref="R386:R449" si="25">IF(AND(ISNUMBER(B386), B386 &gt; 60), "DEAD", "ACTIVE")</f>
        <v>ACTIVE</v>
      </c>
      <c r="S386" s="8">
        <f>IF(Table5[[#This Row],[DEADSTOCK FLAG]]="DEAD",Table5[[#This Row],[Inventory Value]],0)</f>
        <v>0</v>
      </c>
    </row>
    <row r="387" spans="1:19" x14ac:dyDescent="0.25">
      <c r="A387" s="24" t="str">
        <f>'Inventory master'!A387</f>
        <v>ITEM386-A</v>
      </c>
      <c r="B387" s="6" t="str">
        <f>'Inventory master'!B387</f>
        <v>Fixed Attenuator 10dB</v>
      </c>
      <c r="C387" s="6" t="str">
        <f>'Inventory master'!C387</f>
        <v>Attenuators</v>
      </c>
      <c r="D387" s="6" t="str">
        <f>'Inventory master'!D387</f>
        <v>Leviton</v>
      </c>
      <c r="E387" s="10" t="str">
        <f>'Inventory master'!E387</f>
        <v>1782.14</v>
      </c>
      <c r="F387" s="10" t="str">
        <f>'Inventory master'!F387</f>
        <v>3059.39</v>
      </c>
      <c r="G387" s="10" t="str">
        <f>'Inventory master'!G387</f>
        <v>46</v>
      </c>
      <c r="H387" s="8">
        <f>IFERROR(_xlfn.XLOOKUP(A387, 'Opening stock'!A387:A986, 'Opening stock'!E387:E986), "")</f>
        <v>690</v>
      </c>
      <c r="I387" s="8">
        <f>IFERROR(SUMIF(Table3[Item ID],'Inventory calculations'!A387,Table3[Quantity]),0)</f>
        <v>0</v>
      </c>
      <c r="J387" s="8">
        <f>IFERROR(SUMIF(Table4[Item ID],'Inventory calculations'!A387,Table4[Quantity Purchased]),0)</f>
        <v>4</v>
      </c>
      <c r="K387" s="10">
        <f t="shared" ref="K387:K450" si="26">H387+J387-I387</f>
        <v>694</v>
      </c>
      <c r="L387" s="6" t="str">
        <f t="shared" ref="L387:L450" si="27">IF(K387&lt;0,"STOCK ISSUE","OK")</f>
        <v>OK</v>
      </c>
      <c r="M387" s="13">
        <f t="shared" si="24"/>
        <v>1236805.1600000001</v>
      </c>
      <c r="N387" s="8">
        <f>Table5[[#This Row],[Total Qty Sold]]*Table5[[#This Row],[Unit Price]]</f>
        <v>0</v>
      </c>
      <c r="O387" s="9"/>
      <c r="P387" s="40" t="str">
        <f ca="1">IF(Table5[[#This Row],[Last sale Date]]="","Never Sold",TODAY()-Table5[[#This Row],[Last sale Date]])</f>
        <v>Never Sold</v>
      </c>
      <c r="Q387" s="6" t="str">
        <f>IF(Table5[[#This Row],[Re order Level]]&lt;=Table5[[#This Row],[Current stock]],"ORDERASAP","OK BUT BE CHECKING")</f>
        <v>OK BUT BE CHECKING</v>
      </c>
      <c r="R387" s="6" t="str">
        <f t="shared" si="25"/>
        <v>ACTIVE</v>
      </c>
      <c r="S387" s="8">
        <f>IF(Table5[[#This Row],[DEADSTOCK FLAG]]="DEAD",Table5[[#This Row],[Inventory Value]],0)</f>
        <v>0</v>
      </c>
    </row>
    <row r="388" spans="1:19" x14ac:dyDescent="0.25">
      <c r="A388" s="24" t="str">
        <f>'Inventory master'!A388</f>
        <v>ITEM387-A</v>
      </c>
      <c r="B388" s="6" t="str">
        <f>'Inventory master'!B388</f>
        <v>QSFP Transceiver</v>
      </c>
      <c r="C388" s="6" t="str">
        <f>'Inventory master'!C388</f>
        <v>Transceivers</v>
      </c>
      <c r="D388" s="6" t="str">
        <f>'Inventory master'!D388</f>
        <v>Leviton</v>
      </c>
      <c r="E388" s="10" t="str">
        <f>'Inventory master'!E388</f>
        <v>750.1</v>
      </c>
      <c r="F388" s="10" t="str">
        <f>'Inventory master'!F388</f>
        <v>1398.04</v>
      </c>
      <c r="G388" s="10" t="str">
        <f>'Inventory master'!G388</f>
        <v>55</v>
      </c>
      <c r="H388" s="8">
        <f>IFERROR(_xlfn.XLOOKUP(A388, 'Opening stock'!A388:A987, 'Opening stock'!E388:E987), "")</f>
        <v>825</v>
      </c>
      <c r="I388" s="8">
        <f>IFERROR(SUMIF(Table3[Item ID],'Inventory calculations'!A388,Table3[Quantity]),0)</f>
        <v>0</v>
      </c>
      <c r="J388" s="8">
        <f>IFERROR(SUMIF(Table4[Item ID],'Inventory calculations'!A388,Table4[Quantity Purchased]),0)</f>
        <v>0</v>
      </c>
      <c r="K388" s="10">
        <f t="shared" si="26"/>
        <v>825</v>
      </c>
      <c r="L388" s="6" t="str">
        <f t="shared" si="27"/>
        <v>OK</v>
      </c>
      <c r="M388" s="13">
        <f t="shared" si="24"/>
        <v>618832.5</v>
      </c>
      <c r="N388" s="8">
        <f>Table5[[#This Row],[Total Qty Sold]]*Table5[[#This Row],[Unit Price]]</f>
        <v>0</v>
      </c>
      <c r="O388" s="9"/>
      <c r="P388" s="40" t="str">
        <f ca="1">IF(Table5[[#This Row],[Last sale Date]]="","Never Sold",TODAY()-Table5[[#This Row],[Last sale Date]])</f>
        <v>Never Sold</v>
      </c>
      <c r="Q388" s="6" t="str">
        <f>IF(Table5[[#This Row],[Re order Level]]&lt;=Table5[[#This Row],[Current stock]],"ORDERASAP","OK BUT BE CHECKING")</f>
        <v>OK BUT BE CHECKING</v>
      </c>
      <c r="R388" s="6" t="str">
        <f t="shared" si="25"/>
        <v>ACTIVE</v>
      </c>
      <c r="S388" s="8">
        <f>IF(Table5[[#This Row],[DEADSTOCK FLAG]]="DEAD",Table5[[#This Row],[Inventory Value]],0)</f>
        <v>0</v>
      </c>
    </row>
    <row r="389" spans="1:19" x14ac:dyDescent="0.25">
      <c r="A389" s="24" t="str">
        <f>'Inventory master'!A389</f>
        <v>ITEM388-A</v>
      </c>
      <c r="B389" s="6" t="str">
        <f>'Inventory master'!B389</f>
        <v>Fiber Jumper</v>
      </c>
      <c r="C389" s="6" t="str">
        <f>'Inventory master'!C389</f>
        <v>Accessories</v>
      </c>
      <c r="D389" s="6" t="str">
        <f>'Inventory master'!D389</f>
        <v>Panduit</v>
      </c>
      <c r="E389" s="10" t="str">
        <f>'Inventory master'!E389</f>
        <v>503.27</v>
      </c>
      <c r="F389" s="10" t="str">
        <f>'Inventory master'!F389</f>
        <v>873.7</v>
      </c>
      <c r="G389" s="10" t="str">
        <f>'Inventory master'!G389</f>
        <v>52</v>
      </c>
      <c r="H389" s="8">
        <f>IFERROR(_xlfn.XLOOKUP(A389, 'Opening stock'!A389:A988, 'Opening stock'!E389:E988), "")</f>
        <v>780</v>
      </c>
      <c r="I389" s="8">
        <f>IFERROR(SUMIF(Table3[Item ID],'Inventory calculations'!A389,Table3[Quantity]),0)</f>
        <v>0</v>
      </c>
      <c r="J389" s="8">
        <f>IFERROR(SUMIF(Table4[Item ID],'Inventory calculations'!A389,Table4[Quantity Purchased]),0)</f>
        <v>0</v>
      </c>
      <c r="K389" s="10">
        <f t="shared" si="26"/>
        <v>780</v>
      </c>
      <c r="L389" s="6" t="str">
        <f t="shared" si="27"/>
        <v>OK</v>
      </c>
      <c r="M389" s="13">
        <f t="shared" si="24"/>
        <v>392550.6</v>
      </c>
      <c r="N389" s="8">
        <f>Table5[[#This Row],[Total Qty Sold]]*Table5[[#This Row],[Unit Price]]</f>
        <v>0</v>
      </c>
      <c r="O389" s="9"/>
      <c r="P389" s="40" t="str">
        <f ca="1">IF(Table5[[#This Row],[Last sale Date]]="","Never Sold",TODAY()-Table5[[#This Row],[Last sale Date]])</f>
        <v>Never Sold</v>
      </c>
      <c r="Q389" s="6" t="str">
        <f>IF(Table5[[#This Row],[Re order Level]]&lt;=Table5[[#This Row],[Current stock]],"ORDERASAP","OK BUT BE CHECKING")</f>
        <v>OK BUT BE CHECKING</v>
      </c>
      <c r="R389" s="6" t="str">
        <f t="shared" si="25"/>
        <v>ACTIVE</v>
      </c>
      <c r="S389" s="8">
        <f>IF(Table5[[#This Row],[DEADSTOCK FLAG]]="DEAD",Table5[[#This Row],[Inventory Value]],0)</f>
        <v>0</v>
      </c>
    </row>
    <row r="390" spans="1:19" x14ac:dyDescent="0.25">
      <c r="A390" s="24" t="str">
        <f>'Inventory master'!A390</f>
        <v>ITEM389-A</v>
      </c>
      <c r="B390" s="6" t="str">
        <f>'Inventory master'!B390</f>
        <v>48-Port Fiber Patch Panel</v>
      </c>
      <c r="C390" s="6" t="str">
        <f>'Inventory master'!C390</f>
        <v>Patch Panels</v>
      </c>
      <c r="D390" s="6" t="str">
        <f>'Inventory master'!D390</f>
        <v>Panduit</v>
      </c>
      <c r="E390" s="10" t="str">
        <f>'Inventory master'!E390</f>
        <v>435.76</v>
      </c>
      <c r="F390" s="10" t="str">
        <f>'Inventory master'!F390</f>
        <v>574.94</v>
      </c>
      <c r="G390" s="10" t="str">
        <f>'Inventory master'!G390</f>
        <v>71</v>
      </c>
      <c r="H390" s="8">
        <f>IFERROR(_xlfn.XLOOKUP(A390, 'Opening stock'!A390:A989, 'Opening stock'!E390:E989), "")</f>
        <v>1065</v>
      </c>
      <c r="I390" s="8">
        <f>IFERROR(SUMIF(Table3[Item ID],'Inventory calculations'!A390,Table3[Quantity]),0)</f>
        <v>0</v>
      </c>
      <c r="J390" s="8">
        <f>IFERROR(SUMIF(Table4[Item ID],'Inventory calculations'!A390,Table4[Quantity Purchased]),0)</f>
        <v>11</v>
      </c>
      <c r="K390" s="10">
        <f t="shared" si="26"/>
        <v>1076</v>
      </c>
      <c r="L390" s="6" t="str">
        <f t="shared" si="27"/>
        <v>OK</v>
      </c>
      <c r="M390" s="13">
        <f t="shared" si="24"/>
        <v>468877.76</v>
      </c>
      <c r="N390" s="8">
        <f>Table5[[#This Row],[Total Qty Sold]]*Table5[[#This Row],[Unit Price]]</f>
        <v>0</v>
      </c>
      <c r="O390" s="9"/>
      <c r="P390" s="40" t="str">
        <f ca="1">IF(Table5[[#This Row],[Last sale Date]]="","Never Sold",TODAY()-Table5[[#This Row],[Last sale Date]])</f>
        <v>Never Sold</v>
      </c>
      <c r="Q390" s="6" t="str">
        <f>IF(Table5[[#This Row],[Re order Level]]&lt;=Table5[[#This Row],[Current stock]],"ORDERASAP","OK BUT BE CHECKING")</f>
        <v>OK BUT BE CHECKING</v>
      </c>
      <c r="R390" s="6" t="str">
        <f t="shared" si="25"/>
        <v>ACTIVE</v>
      </c>
      <c r="S390" s="8">
        <f>IF(Table5[[#This Row],[DEADSTOCK FLAG]]="DEAD",Table5[[#This Row],[Inventory Value]],0)</f>
        <v>0</v>
      </c>
    </row>
    <row r="391" spans="1:19" x14ac:dyDescent="0.25">
      <c r="A391" s="24" t="str">
        <f>'Inventory master'!A391</f>
        <v>ITEM390-A</v>
      </c>
      <c r="B391" s="6" t="str">
        <f>'Inventory master'!B391</f>
        <v>Wall-Mount Enclosure</v>
      </c>
      <c r="C391" s="6" t="str">
        <f>'Inventory master'!C391</f>
        <v>Enclosures</v>
      </c>
      <c r="D391" s="6" t="str">
        <f>'Inventory master'!D391</f>
        <v>Huber+Suhner</v>
      </c>
      <c r="E391" s="10" t="str">
        <f>'Inventory master'!E391</f>
        <v>1145.14</v>
      </c>
      <c r="F391" s="10" t="str">
        <f>'Inventory master'!F391</f>
        <v>2203.12</v>
      </c>
      <c r="G391" s="10" t="str">
        <f>'Inventory master'!G391</f>
        <v>79</v>
      </c>
      <c r="H391" s="8">
        <f>IFERROR(_xlfn.XLOOKUP(A391, 'Opening stock'!A391:A990, 'Opening stock'!E391:E990), "")</f>
        <v>1185</v>
      </c>
      <c r="I391" s="8">
        <f>IFERROR(SUMIF(Table3[Item ID],'Inventory calculations'!A391,Table3[Quantity]),0)</f>
        <v>0</v>
      </c>
      <c r="J391" s="8">
        <f>IFERROR(SUMIF(Table4[Item ID],'Inventory calculations'!A391,Table4[Quantity Purchased]),0)</f>
        <v>0</v>
      </c>
      <c r="K391" s="10">
        <f t="shared" si="26"/>
        <v>1185</v>
      </c>
      <c r="L391" s="6" t="str">
        <f t="shared" si="27"/>
        <v>OK</v>
      </c>
      <c r="M391" s="13">
        <f t="shared" si="24"/>
        <v>1356990.9000000001</v>
      </c>
      <c r="N391" s="8">
        <f>Table5[[#This Row],[Total Qty Sold]]*Table5[[#This Row],[Unit Price]]</f>
        <v>0</v>
      </c>
      <c r="O391" s="9"/>
      <c r="P391" s="40" t="str">
        <f ca="1">IF(Table5[[#This Row],[Last sale Date]]="","Never Sold",TODAY()-Table5[[#This Row],[Last sale Date]])</f>
        <v>Never Sold</v>
      </c>
      <c r="Q391" s="6" t="str">
        <f>IF(Table5[[#This Row],[Re order Level]]&lt;=Table5[[#This Row],[Current stock]],"ORDERASAP","OK BUT BE CHECKING")</f>
        <v>OK BUT BE CHECKING</v>
      </c>
      <c r="R391" s="6" t="str">
        <f t="shared" si="25"/>
        <v>ACTIVE</v>
      </c>
      <c r="S391" s="8">
        <f>IF(Table5[[#This Row],[DEADSTOCK FLAG]]="DEAD",Table5[[#This Row],[Inventory Value]],0)</f>
        <v>0</v>
      </c>
    </row>
    <row r="392" spans="1:19" x14ac:dyDescent="0.25">
      <c r="A392" s="24" t="str">
        <f>'Inventory master'!A392</f>
        <v>ITEM391-A</v>
      </c>
      <c r="B392" s="6" t="str">
        <f>'Inventory master'!B392</f>
        <v>Single-Mode Fiber Cable 100m</v>
      </c>
      <c r="C392" s="6" t="str">
        <f>'Inventory master'!C392</f>
        <v>Fiber Optic Cables</v>
      </c>
      <c r="D392" s="6" t="str">
        <f>'Inventory master'!D392</f>
        <v>CommScope</v>
      </c>
      <c r="E392" s="10" t="str">
        <f>'Inventory master'!E392</f>
        <v>745.81</v>
      </c>
      <c r="F392" s="10" t="str">
        <f>'Inventory master'!F392</f>
        <v>1422.42</v>
      </c>
      <c r="G392" s="10" t="str">
        <f>'Inventory master'!G392</f>
        <v>67</v>
      </c>
      <c r="H392" s="8">
        <f>IFERROR(_xlfn.XLOOKUP(A392, 'Opening stock'!A392:A991, 'Opening stock'!E392:E991), "")</f>
        <v>1005</v>
      </c>
      <c r="I392" s="8">
        <f>IFERROR(SUMIF(Table3[Item ID],'Inventory calculations'!A392,Table3[Quantity]),0)</f>
        <v>0</v>
      </c>
      <c r="J392" s="8">
        <f>IFERROR(SUMIF(Table4[Item ID],'Inventory calculations'!A392,Table4[Quantity Purchased]),0)</f>
        <v>50</v>
      </c>
      <c r="K392" s="10">
        <f t="shared" si="26"/>
        <v>1055</v>
      </c>
      <c r="L392" s="6" t="str">
        <f t="shared" si="27"/>
        <v>OK</v>
      </c>
      <c r="M392" s="13">
        <f t="shared" si="24"/>
        <v>786829.54999999993</v>
      </c>
      <c r="N392" s="8">
        <f>Table5[[#This Row],[Total Qty Sold]]*Table5[[#This Row],[Unit Price]]</f>
        <v>0</v>
      </c>
      <c r="O392" s="9"/>
      <c r="P392" s="40" t="str">
        <f ca="1">IF(Table5[[#This Row],[Last sale Date]]="","Never Sold",TODAY()-Table5[[#This Row],[Last sale Date]])</f>
        <v>Never Sold</v>
      </c>
      <c r="Q392" s="6" t="str">
        <f>IF(Table5[[#This Row],[Re order Level]]&lt;=Table5[[#This Row],[Current stock]],"ORDERASAP","OK BUT BE CHECKING")</f>
        <v>OK BUT BE CHECKING</v>
      </c>
      <c r="R392" s="6" t="str">
        <f t="shared" si="25"/>
        <v>ACTIVE</v>
      </c>
      <c r="S392" s="8">
        <f>IF(Table5[[#This Row],[DEADSTOCK FLAG]]="DEAD",Table5[[#This Row],[Inventory Value]],0)</f>
        <v>0</v>
      </c>
    </row>
    <row r="393" spans="1:19" x14ac:dyDescent="0.25">
      <c r="A393" s="24" t="str">
        <f>'Inventory master'!A393</f>
        <v>ITEM392-A</v>
      </c>
      <c r="B393" s="6" t="str">
        <f>'Inventory master'!B393</f>
        <v>MTP APC Connector</v>
      </c>
      <c r="C393" s="6" t="str">
        <f>'Inventory master'!C393</f>
        <v>Connectors</v>
      </c>
      <c r="D393" s="6" t="str">
        <f>'Inventory master'!D393</f>
        <v>Amphenol</v>
      </c>
      <c r="E393" s="10" t="str">
        <f>'Inventory master'!E393</f>
        <v>1406.2</v>
      </c>
      <c r="F393" s="10" t="str">
        <f>'Inventory master'!F393</f>
        <v>2147.38</v>
      </c>
      <c r="G393" s="10" t="str">
        <f>'Inventory master'!G393</f>
        <v>87</v>
      </c>
      <c r="H393" s="8">
        <f>IFERROR(_xlfn.XLOOKUP(A393, 'Opening stock'!A393:A992, 'Opening stock'!E393:E992), "")</f>
        <v>1305</v>
      </c>
      <c r="I393" s="8">
        <f>IFERROR(SUMIF(Table3[Item ID],'Inventory calculations'!A393,Table3[Quantity]),0)</f>
        <v>0</v>
      </c>
      <c r="J393" s="8">
        <f>IFERROR(SUMIF(Table4[Item ID],'Inventory calculations'!A393,Table4[Quantity Purchased]),0)</f>
        <v>12</v>
      </c>
      <c r="K393" s="10">
        <f t="shared" si="26"/>
        <v>1317</v>
      </c>
      <c r="L393" s="6" t="str">
        <f t="shared" si="27"/>
        <v>OK</v>
      </c>
      <c r="M393" s="13">
        <f t="shared" si="24"/>
        <v>1851965.4000000001</v>
      </c>
      <c r="N393" s="8">
        <f>Table5[[#This Row],[Total Qty Sold]]*Table5[[#This Row],[Unit Price]]</f>
        <v>0</v>
      </c>
      <c r="O393" s="9"/>
      <c r="P393" s="40" t="str">
        <f ca="1">IF(Table5[[#This Row],[Last sale Date]]="","Never Sold",TODAY()-Table5[[#This Row],[Last sale Date]])</f>
        <v>Never Sold</v>
      </c>
      <c r="Q393" s="6" t="str">
        <f>IF(Table5[[#This Row],[Re order Level]]&lt;=Table5[[#This Row],[Current stock]],"ORDERASAP","OK BUT BE CHECKING")</f>
        <v>OK BUT BE CHECKING</v>
      </c>
      <c r="R393" s="6" t="str">
        <f t="shared" si="25"/>
        <v>ACTIVE</v>
      </c>
      <c r="S393" s="8">
        <f>IF(Table5[[#This Row],[DEADSTOCK FLAG]]="DEAD",Table5[[#This Row],[Inventory Value]],0)</f>
        <v>0</v>
      </c>
    </row>
    <row r="394" spans="1:19" x14ac:dyDescent="0.25">
      <c r="A394" s="24" t="str">
        <f>'Inventory master'!A394</f>
        <v>ITEM393-A</v>
      </c>
      <c r="B394" s="6" t="str">
        <f>'Inventory master'!B394</f>
        <v>Fiber Pigtail</v>
      </c>
      <c r="C394" s="6" t="str">
        <f>'Inventory master'!C394</f>
        <v>Accessories</v>
      </c>
      <c r="D394" s="6" t="str">
        <f>'Inventory master'!D394</f>
        <v>Corning Inc.</v>
      </c>
      <c r="E394" s="10" t="str">
        <f>'Inventory master'!E394</f>
        <v>499.76</v>
      </c>
      <c r="F394" s="10" t="str">
        <f>'Inventory master'!F394</f>
        <v>624.95</v>
      </c>
      <c r="G394" s="10" t="str">
        <f>'Inventory master'!G394</f>
        <v>38</v>
      </c>
      <c r="H394" s="8">
        <f>IFERROR(_xlfn.XLOOKUP(A394, 'Opening stock'!A394:A993, 'Opening stock'!E394:E993), "")</f>
        <v>570</v>
      </c>
      <c r="I394" s="8">
        <f>IFERROR(SUMIF(Table3[Item ID],'Inventory calculations'!A394,Table3[Quantity]),0)</f>
        <v>0</v>
      </c>
      <c r="J394" s="8">
        <f>IFERROR(SUMIF(Table4[Item ID],'Inventory calculations'!A394,Table4[Quantity Purchased]),0)</f>
        <v>2</v>
      </c>
      <c r="K394" s="10">
        <f t="shared" si="26"/>
        <v>572</v>
      </c>
      <c r="L394" s="6" t="str">
        <f t="shared" si="27"/>
        <v>OK</v>
      </c>
      <c r="M394" s="13">
        <f t="shared" si="24"/>
        <v>285862.71999999997</v>
      </c>
      <c r="N394" s="8">
        <f>Table5[[#This Row],[Total Qty Sold]]*Table5[[#This Row],[Unit Price]]</f>
        <v>0</v>
      </c>
      <c r="O394" s="9"/>
      <c r="P394" s="40" t="str">
        <f ca="1">IF(Table5[[#This Row],[Last sale Date]]="","Never Sold",TODAY()-Table5[[#This Row],[Last sale Date]])</f>
        <v>Never Sold</v>
      </c>
      <c r="Q394" s="6" t="str">
        <f>IF(Table5[[#This Row],[Re order Level]]&lt;=Table5[[#This Row],[Current stock]],"ORDERASAP","OK BUT BE CHECKING")</f>
        <v>OK BUT BE CHECKING</v>
      </c>
      <c r="R394" s="6" t="str">
        <f t="shared" si="25"/>
        <v>ACTIVE</v>
      </c>
      <c r="S394" s="8">
        <f>IF(Table5[[#This Row],[DEADSTOCK FLAG]]="DEAD",Table5[[#This Row],[Inventory Value]],0)</f>
        <v>0</v>
      </c>
    </row>
    <row r="395" spans="1:19" x14ac:dyDescent="0.25">
      <c r="A395" s="24" t="str">
        <f>'Inventory master'!A395</f>
        <v>ITEM394-A</v>
      </c>
      <c r="B395" s="6" t="str">
        <f>'Inventory master'!B395</f>
        <v>MPO UPC Connector</v>
      </c>
      <c r="C395" s="6" t="str">
        <f>'Inventory master'!C395</f>
        <v>Connectors</v>
      </c>
      <c r="D395" s="6" t="str">
        <f>'Inventory master'!D395</f>
        <v>Panduit</v>
      </c>
      <c r="E395" s="10" t="str">
        <f>'Inventory master'!E395</f>
        <v>196.26</v>
      </c>
      <c r="F395" s="10" t="str">
        <f>'Inventory master'!F395</f>
        <v>387.92</v>
      </c>
      <c r="G395" s="10" t="str">
        <f>'Inventory master'!G395</f>
        <v>45</v>
      </c>
      <c r="H395" s="8">
        <f>IFERROR(_xlfn.XLOOKUP(A395, 'Opening stock'!A395:A994, 'Opening stock'!E395:E994), "")</f>
        <v>675</v>
      </c>
      <c r="I395" s="8">
        <f>IFERROR(SUMIF(Table3[Item ID],'Inventory calculations'!A395,Table3[Quantity]),0)</f>
        <v>0</v>
      </c>
      <c r="J395" s="8">
        <f>IFERROR(SUMIF(Table4[Item ID],'Inventory calculations'!A395,Table4[Quantity Purchased]),0)</f>
        <v>5</v>
      </c>
      <c r="K395" s="10">
        <f t="shared" si="26"/>
        <v>680</v>
      </c>
      <c r="L395" s="6" t="str">
        <f t="shared" si="27"/>
        <v>OK</v>
      </c>
      <c r="M395" s="13">
        <f t="shared" si="24"/>
        <v>133456.79999999999</v>
      </c>
      <c r="N395" s="8">
        <f>Table5[[#This Row],[Total Qty Sold]]*Table5[[#This Row],[Unit Price]]</f>
        <v>0</v>
      </c>
      <c r="O395" s="9"/>
      <c r="P395" s="40" t="str">
        <f ca="1">IF(Table5[[#This Row],[Last sale Date]]="","Never Sold",TODAY()-Table5[[#This Row],[Last sale Date]])</f>
        <v>Never Sold</v>
      </c>
      <c r="Q395" s="6" t="str">
        <f>IF(Table5[[#This Row],[Re order Level]]&lt;=Table5[[#This Row],[Current stock]],"ORDERASAP","OK BUT BE CHECKING")</f>
        <v>OK BUT BE CHECKING</v>
      </c>
      <c r="R395" s="6" t="str">
        <f t="shared" si="25"/>
        <v>ACTIVE</v>
      </c>
      <c r="S395" s="8">
        <f>IF(Table5[[#This Row],[DEADSTOCK FLAG]]="DEAD",Table5[[#This Row],[Inventory Value]],0)</f>
        <v>0</v>
      </c>
    </row>
    <row r="396" spans="1:19" x14ac:dyDescent="0.25">
      <c r="A396" s="24" t="str">
        <f>'Inventory master'!A396</f>
        <v>ITEM395-A</v>
      </c>
      <c r="B396" s="6" t="str">
        <f>'Inventory master'!B396</f>
        <v>Fixed Attenuator 3dB</v>
      </c>
      <c r="C396" s="6" t="str">
        <f>'Inventory master'!C396</f>
        <v>Attenuators</v>
      </c>
      <c r="D396" s="6" t="str">
        <f>'Inventory master'!D396</f>
        <v>Leviton</v>
      </c>
      <c r="E396" s="10" t="str">
        <f>'Inventory master'!E396</f>
        <v>234.34</v>
      </c>
      <c r="F396" s="10" t="str">
        <f>'Inventory master'!F396</f>
        <v>454.76</v>
      </c>
      <c r="G396" s="10" t="str">
        <f>'Inventory master'!G396</f>
        <v>88</v>
      </c>
      <c r="H396" s="8">
        <f>IFERROR(_xlfn.XLOOKUP(A396, 'Opening stock'!A396:A995, 'Opening stock'!E396:E995), "")</f>
        <v>1320</v>
      </c>
      <c r="I396" s="8">
        <f>IFERROR(SUMIF(Table3[Item ID],'Inventory calculations'!A396,Table3[Quantity]),0)</f>
        <v>0</v>
      </c>
      <c r="J396" s="8">
        <f>IFERROR(SUMIF(Table4[Item ID],'Inventory calculations'!A396,Table4[Quantity Purchased]),0)</f>
        <v>0</v>
      </c>
      <c r="K396" s="10">
        <f t="shared" si="26"/>
        <v>1320</v>
      </c>
      <c r="L396" s="6" t="str">
        <f t="shared" si="27"/>
        <v>OK</v>
      </c>
      <c r="M396" s="13">
        <f t="shared" si="24"/>
        <v>309328.8</v>
      </c>
      <c r="N396" s="8">
        <f>Table5[[#This Row],[Total Qty Sold]]*Table5[[#This Row],[Unit Price]]</f>
        <v>0</v>
      </c>
      <c r="O396" s="9"/>
      <c r="P396" s="40" t="str">
        <f ca="1">IF(Table5[[#This Row],[Last sale Date]]="","Never Sold",TODAY()-Table5[[#This Row],[Last sale Date]])</f>
        <v>Never Sold</v>
      </c>
      <c r="Q396" s="6" t="str">
        <f>IF(Table5[[#This Row],[Re order Level]]&lt;=Table5[[#This Row],[Current stock]],"ORDERASAP","OK BUT BE CHECKING")</f>
        <v>OK BUT BE CHECKING</v>
      </c>
      <c r="R396" s="6" t="str">
        <f t="shared" si="25"/>
        <v>ACTIVE</v>
      </c>
      <c r="S396" s="8">
        <f>IF(Table5[[#This Row],[DEADSTOCK FLAG]]="DEAD",Table5[[#This Row],[Inventory Value]],0)</f>
        <v>0</v>
      </c>
    </row>
    <row r="397" spans="1:19" x14ac:dyDescent="0.25">
      <c r="A397" s="24" t="str">
        <f>'Inventory master'!A397</f>
        <v>ITEM396-A</v>
      </c>
      <c r="B397" s="6" t="str">
        <f>'Inventory master'!B397</f>
        <v>Dome Enclosure</v>
      </c>
      <c r="C397" s="6" t="str">
        <f>'Inventory master'!C397</f>
        <v>Enclosures</v>
      </c>
      <c r="D397" s="6" t="str">
        <f>'Inventory master'!D397</f>
        <v>HellermannTyton</v>
      </c>
      <c r="E397" s="10" t="str">
        <f>'Inventory master'!E397</f>
        <v>359.03</v>
      </c>
      <c r="F397" s="10" t="str">
        <f>'Inventory master'!F397</f>
        <v>442.73</v>
      </c>
      <c r="G397" s="10" t="str">
        <f>'Inventory master'!G397</f>
        <v>25</v>
      </c>
      <c r="H397" s="8">
        <f>IFERROR(_xlfn.XLOOKUP(A397, 'Opening stock'!A397:A996, 'Opening stock'!E397:E996), "")</f>
        <v>375</v>
      </c>
      <c r="I397" s="8">
        <f>IFERROR(SUMIF(Table3[Item ID],'Inventory calculations'!A397,Table3[Quantity]),0)</f>
        <v>0</v>
      </c>
      <c r="J397" s="8">
        <f>IFERROR(SUMIF(Table4[Item ID],'Inventory calculations'!A397,Table4[Quantity Purchased]),0)</f>
        <v>40</v>
      </c>
      <c r="K397" s="10">
        <f t="shared" si="26"/>
        <v>415</v>
      </c>
      <c r="L397" s="6" t="str">
        <f t="shared" si="27"/>
        <v>OK</v>
      </c>
      <c r="M397" s="13">
        <f t="shared" si="24"/>
        <v>148997.44999999998</v>
      </c>
      <c r="N397" s="8">
        <f>Table5[[#This Row],[Total Qty Sold]]*Table5[[#This Row],[Unit Price]]</f>
        <v>0</v>
      </c>
      <c r="O397" s="9"/>
      <c r="P397" s="40" t="str">
        <f ca="1">IF(Table5[[#This Row],[Last sale Date]]="","Never Sold",TODAY()-Table5[[#This Row],[Last sale Date]])</f>
        <v>Never Sold</v>
      </c>
      <c r="Q397" s="6" t="str">
        <f>IF(Table5[[#This Row],[Re order Level]]&lt;=Table5[[#This Row],[Current stock]],"ORDERASAP","OK BUT BE CHECKING")</f>
        <v>OK BUT BE CHECKING</v>
      </c>
      <c r="R397" s="6" t="str">
        <f t="shared" si="25"/>
        <v>ACTIVE</v>
      </c>
      <c r="S397" s="8">
        <f>IF(Table5[[#This Row],[DEADSTOCK FLAG]]="DEAD",Table5[[#This Row],[Inventory Value]],0)</f>
        <v>0</v>
      </c>
    </row>
    <row r="398" spans="1:19" x14ac:dyDescent="0.25">
      <c r="A398" s="24" t="str">
        <f>'Inventory master'!A398</f>
        <v>ITEM397-A</v>
      </c>
      <c r="B398" s="6" t="str">
        <f>'Inventory master'!B398</f>
        <v>ST APC Connector</v>
      </c>
      <c r="C398" s="6" t="str">
        <f>'Inventory master'!C398</f>
        <v>Connectors</v>
      </c>
      <c r="D398" s="6" t="str">
        <f>'Inventory master'!D398</f>
        <v>CommScope</v>
      </c>
      <c r="E398" s="10" t="str">
        <f>'Inventory master'!E398</f>
        <v>490.85</v>
      </c>
      <c r="F398" s="10" t="str">
        <f>'Inventory master'!F398</f>
        <v>660.58</v>
      </c>
      <c r="G398" s="10" t="str">
        <f>'Inventory master'!G398</f>
        <v>26</v>
      </c>
      <c r="H398" s="8">
        <f>IFERROR(_xlfn.XLOOKUP(A398, 'Opening stock'!A398:A997, 'Opening stock'!E398:E997), "")</f>
        <v>390</v>
      </c>
      <c r="I398" s="8">
        <f>IFERROR(SUMIF(Table3[Item ID],'Inventory calculations'!A398,Table3[Quantity]),0)</f>
        <v>31</v>
      </c>
      <c r="J398" s="8">
        <f>IFERROR(SUMIF(Table4[Item ID],'Inventory calculations'!A398,Table4[Quantity Purchased]),0)</f>
        <v>4</v>
      </c>
      <c r="K398" s="10">
        <f t="shared" si="26"/>
        <v>363</v>
      </c>
      <c r="L398" s="6" t="str">
        <f t="shared" si="27"/>
        <v>OK</v>
      </c>
      <c r="M398" s="13">
        <f t="shared" si="24"/>
        <v>178178.55000000002</v>
      </c>
      <c r="N398" s="8">
        <f>Table5[[#This Row],[Total Qty Sold]]*Table5[[#This Row],[Unit Price]]</f>
        <v>20477.98</v>
      </c>
      <c r="O398" s="9">
        <f>IFERROR(_xlfn.MAXIFS(Table3[Date],Table3[Item ID],Table5[[#This Row],[Item ID]]),"")</f>
        <v>45999</v>
      </c>
      <c r="P398" s="40">
        <f ca="1">IF(Table5[[#This Row],[Last sale Date]]="","Never Sold",TODAY()-Table5[[#This Row],[Last sale Date]])</f>
        <v>53</v>
      </c>
      <c r="Q398" s="6" t="str">
        <f>IF(Table5[[#This Row],[Re order Level]]&lt;=Table5[[#This Row],[Current stock]],"ORDERASAP","OK BUT BE CHECKING")</f>
        <v>OK BUT BE CHECKING</v>
      </c>
      <c r="R398" s="6" t="str">
        <f t="shared" si="25"/>
        <v>ACTIVE</v>
      </c>
      <c r="S398" s="8">
        <f>IF(Table5[[#This Row],[DEADSTOCK FLAG]]="DEAD",Table5[[#This Row],[Inventory Value]],0)</f>
        <v>0</v>
      </c>
    </row>
    <row r="399" spans="1:19" x14ac:dyDescent="0.25">
      <c r="A399" s="24" t="str">
        <f>'Inventory master'!A399</f>
        <v>ITEM398-A</v>
      </c>
      <c r="B399" s="6" t="str">
        <f>'Inventory master'!B399</f>
        <v>Fiber Cleaner</v>
      </c>
      <c r="C399" s="6" t="str">
        <f>'Inventory master'!C399</f>
        <v>Accessories</v>
      </c>
      <c r="D399" s="6" t="str">
        <f>'Inventory master'!D399</f>
        <v>Siemon</v>
      </c>
      <c r="E399" s="10" t="str">
        <f>'Inventory master'!E399</f>
        <v>16.54</v>
      </c>
      <c r="F399" s="10" t="str">
        <f>'Inventory master'!F399</f>
        <v>29.84</v>
      </c>
      <c r="G399" s="10" t="str">
        <f>'Inventory master'!G399</f>
        <v>69</v>
      </c>
      <c r="H399" s="8">
        <f>IFERROR(_xlfn.XLOOKUP(A399, 'Opening stock'!A399:A998, 'Opening stock'!E399:E998), "")</f>
        <v>1035</v>
      </c>
      <c r="I399" s="8">
        <f>IFERROR(SUMIF(Table3[Item ID],'Inventory calculations'!A399,Table3[Quantity]),0)</f>
        <v>0</v>
      </c>
      <c r="J399" s="8">
        <f>IFERROR(SUMIF(Table4[Item ID],'Inventory calculations'!A399,Table4[Quantity Purchased]),0)</f>
        <v>0</v>
      </c>
      <c r="K399" s="10">
        <f t="shared" si="26"/>
        <v>1035</v>
      </c>
      <c r="L399" s="6" t="str">
        <f t="shared" si="27"/>
        <v>OK</v>
      </c>
      <c r="M399" s="13">
        <f t="shared" si="24"/>
        <v>17118.899999999998</v>
      </c>
      <c r="N399" s="8">
        <f>Table5[[#This Row],[Total Qty Sold]]*Table5[[#This Row],[Unit Price]]</f>
        <v>0</v>
      </c>
      <c r="O399" s="9"/>
      <c r="P399" s="40" t="str">
        <f ca="1">IF(Table5[[#This Row],[Last sale Date]]="","Never Sold",TODAY()-Table5[[#This Row],[Last sale Date]])</f>
        <v>Never Sold</v>
      </c>
      <c r="Q399" s="6" t="str">
        <f>IF(Table5[[#This Row],[Re order Level]]&lt;=Table5[[#This Row],[Current stock]],"ORDERASAP","OK BUT BE CHECKING")</f>
        <v>OK BUT BE CHECKING</v>
      </c>
      <c r="R399" s="6" t="str">
        <f t="shared" si="25"/>
        <v>ACTIVE</v>
      </c>
      <c r="S399" s="8">
        <f>IF(Table5[[#This Row],[DEADSTOCK FLAG]]="DEAD",Table5[[#This Row],[Inventory Value]],0)</f>
        <v>0</v>
      </c>
    </row>
    <row r="400" spans="1:19" x14ac:dyDescent="0.25">
      <c r="A400" s="24" t="str">
        <f>'Inventory master'!A400</f>
        <v>ITEM399-A</v>
      </c>
      <c r="B400" s="6" t="str">
        <f>'Inventory master'!B400</f>
        <v>Fiber Jumper</v>
      </c>
      <c r="C400" s="6" t="str">
        <f>'Inventory master'!C400</f>
        <v>Accessories</v>
      </c>
      <c r="D400" s="6" t="str">
        <f>'Inventory master'!D400</f>
        <v>Huber+Suhner</v>
      </c>
      <c r="E400" s="10" t="str">
        <f>'Inventory master'!E400</f>
        <v>472.41</v>
      </c>
      <c r="F400" s="10" t="str">
        <f>'Inventory master'!F400</f>
        <v>877.58</v>
      </c>
      <c r="G400" s="10" t="str">
        <f>'Inventory master'!G400</f>
        <v>12</v>
      </c>
      <c r="H400" s="8">
        <f>IFERROR(_xlfn.XLOOKUP(A400, 'Opening stock'!A400:A999, 'Opening stock'!E400:E999), "")</f>
        <v>180</v>
      </c>
      <c r="I400" s="8">
        <f>IFERROR(SUMIF(Table3[Item ID],'Inventory calculations'!A400,Table3[Quantity]),0)</f>
        <v>0</v>
      </c>
      <c r="J400" s="8">
        <f>IFERROR(SUMIF(Table4[Item ID],'Inventory calculations'!A400,Table4[Quantity Purchased]),0)</f>
        <v>0</v>
      </c>
      <c r="K400" s="10">
        <f t="shared" si="26"/>
        <v>180</v>
      </c>
      <c r="L400" s="6" t="str">
        <f t="shared" si="27"/>
        <v>OK</v>
      </c>
      <c r="M400" s="13">
        <f t="shared" si="24"/>
        <v>85033.8</v>
      </c>
      <c r="N400" s="8">
        <f>Table5[[#This Row],[Total Qty Sold]]*Table5[[#This Row],[Unit Price]]</f>
        <v>0</v>
      </c>
      <c r="O400" s="9"/>
      <c r="P400" s="40" t="str">
        <f ca="1">IF(Table5[[#This Row],[Last sale Date]]="","Never Sold",TODAY()-Table5[[#This Row],[Last sale Date]])</f>
        <v>Never Sold</v>
      </c>
      <c r="Q400" s="6" t="str">
        <f>IF(Table5[[#This Row],[Re order Level]]&lt;=Table5[[#This Row],[Current stock]],"ORDERASAP","OK BUT BE CHECKING")</f>
        <v>OK BUT BE CHECKING</v>
      </c>
      <c r="R400" s="6" t="str">
        <f t="shared" si="25"/>
        <v>ACTIVE</v>
      </c>
      <c r="S400" s="8">
        <f>IF(Table5[[#This Row],[DEADSTOCK FLAG]]="DEAD",Table5[[#This Row],[Inventory Value]],0)</f>
        <v>0</v>
      </c>
    </row>
    <row r="401" spans="1:19" x14ac:dyDescent="0.25">
      <c r="A401" s="24" t="str">
        <f>'Inventory master'!A401</f>
        <v>ITEM400-A</v>
      </c>
      <c r="B401" s="6" t="str">
        <f>'Inventory master'!B401</f>
        <v>Wall-Mount Enclosure</v>
      </c>
      <c r="C401" s="6" t="str">
        <f>'Inventory master'!C401</f>
        <v>Enclosures</v>
      </c>
      <c r="D401" s="6" t="str">
        <f>'Inventory master'!D401</f>
        <v>Huber+Suhner</v>
      </c>
      <c r="E401" s="10" t="str">
        <f>'Inventory master'!E401</f>
        <v>709.88</v>
      </c>
      <c r="F401" s="10" t="str">
        <f>'Inventory master'!F401</f>
        <v>1018.39</v>
      </c>
      <c r="G401" s="10" t="str">
        <f>'Inventory master'!G401</f>
        <v>48</v>
      </c>
      <c r="H401" s="8">
        <f>IFERROR(_xlfn.XLOOKUP(A401, 'Opening stock'!A401:A1000, 'Opening stock'!E401:E1000), "")</f>
        <v>720</v>
      </c>
      <c r="I401" s="8">
        <f>IFERROR(SUMIF(Table3[Item ID],'Inventory calculations'!A401,Table3[Quantity]),0)</f>
        <v>0</v>
      </c>
      <c r="J401" s="8">
        <f>IFERROR(SUMIF(Table4[Item ID],'Inventory calculations'!A401,Table4[Quantity Purchased]),0)</f>
        <v>3</v>
      </c>
      <c r="K401" s="10">
        <f t="shared" si="26"/>
        <v>723</v>
      </c>
      <c r="L401" s="6" t="str">
        <f t="shared" si="27"/>
        <v>OK</v>
      </c>
      <c r="M401" s="13">
        <f t="shared" si="24"/>
        <v>513243.24</v>
      </c>
      <c r="N401" s="8">
        <f>Table5[[#This Row],[Total Qty Sold]]*Table5[[#This Row],[Unit Price]]</f>
        <v>0</v>
      </c>
      <c r="O401" s="9"/>
      <c r="P401" s="40" t="str">
        <f ca="1">IF(Table5[[#This Row],[Last sale Date]]="","Never Sold",TODAY()-Table5[[#This Row],[Last sale Date]])</f>
        <v>Never Sold</v>
      </c>
      <c r="Q401" s="6" t="str">
        <f>IF(Table5[[#This Row],[Re order Level]]&lt;=Table5[[#This Row],[Current stock]],"ORDERASAP","OK BUT BE CHECKING")</f>
        <v>OK BUT BE CHECKING</v>
      </c>
      <c r="R401" s="6" t="str">
        <f t="shared" si="25"/>
        <v>ACTIVE</v>
      </c>
      <c r="S401" s="8">
        <f>IF(Table5[[#This Row],[DEADSTOCK FLAG]]="DEAD",Table5[[#This Row],[Inventory Value]],0)</f>
        <v>0</v>
      </c>
    </row>
    <row r="402" spans="1:19" x14ac:dyDescent="0.25">
      <c r="A402" s="24" t="str">
        <f>'Inventory master'!A402</f>
        <v>ITEM401-A</v>
      </c>
      <c r="B402" s="6" t="str">
        <f>'Inventory master'!B402</f>
        <v>Pedestal Enclosure</v>
      </c>
      <c r="C402" s="6" t="str">
        <f>'Inventory master'!C402</f>
        <v>Enclosures</v>
      </c>
      <c r="D402" s="6" t="str">
        <f>'Inventory master'!D402</f>
        <v>AFL</v>
      </c>
      <c r="E402" s="10" t="str">
        <f>'Inventory master'!E402</f>
        <v>933.66</v>
      </c>
      <c r="F402" s="10" t="str">
        <f>'Inventory master'!F402</f>
        <v>1245.6</v>
      </c>
      <c r="G402" s="10" t="str">
        <f>'Inventory master'!G402</f>
        <v>98</v>
      </c>
      <c r="H402" s="8">
        <f>IFERROR(_xlfn.XLOOKUP(A402, 'Opening stock'!A402:A1001, 'Opening stock'!E402:E1001), "")</f>
        <v>1470</v>
      </c>
      <c r="I402" s="8">
        <f>IFERROR(SUMIF(Table3[Item ID],'Inventory calculations'!A402,Table3[Quantity]),0)</f>
        <v>0</v>
      </c>
      <c r="J402" s="8">
        <f>IFERROR(SUMIF(Table4[Item ID],'Inventory calculations'!A402,Table4[Quantity Purchased]),0)</f>
        <v>0</v>
      </c>
      <c r="K402" s="10">
        <f t="shared" si="26"/>
        <v>1470</v>
      </c>
      <c r="L402" s="6" t="str">
        <f t="shared" si="27"/>
        <v>OK</v>
      </c>
      <c r="M402" s="13">
        <f t="shared" si="24"/>
        <v>1372480.2</v>
      </c>
      <c r="N402" s="8">
        <f>Table5[[#This Row],[Total Qty Sold]]*Table5[[#This Row],[Unit Price]]</f>
        <v>0</v>
      </c>
      <c r="O402" s="9"/>
      <c r="P402" s="40" t="str">
        <f ca="1">IF(Table5[[#This Row],[Last sale Date]]="","Never Sold",TODAY()-Table5[[#This Row],[Last sale Date]])</f>
        <v>Never Sold</v>
      </c>
      <c r="Q402" s="6" t="str">
        <f>IF(Table5[[#This Row],[Re order Level]]&lt;=Table5[[#This Row],[Current stock]],"ORDERASAP","OK BUT BE CHECKING")</f>
        <v>OK BUT BE CHECKING</v>
      </c>
      <c r="R402" s="6" t="str">
        <f t="shared" si="25"/>
        <v>ACTIVE</v>
      </c>
      <c r="S402" s="8">
        <f>IF(Table5[[#This Row],[DEADSTOCK FLAG]]="DEAD",Table5[[#This Row],[Inventory Value]],0)</f>
        <v>0</v>
      </c>
    </row>
    <row r="403" spans="1:19" x14ac:dyDescent="0.25">
      <c r="A403" s="24" t="str">
        <f>'Inventory master'!A403</f>
        <v>ITEM402-A</v>
      </c>
      <c r="B403" s="6" t="str">
        <f>'Inventory master'!B403</f>
        <v>Mechanical Splicer</v>
      </c>
      <c r="C403" s="6" t="str">
        <f>'Inventory master'!C403</f>
        <v>Splicers</v>
      </c>
      <c r="D403" s="6" t="str">
        <f>'Inventory master'!D403</f>
        <v>TE Connectivity</v>
      </c>
      <c r="E403" s="10" t="str">
        <f>'Inventory master'!E403</f>
        <v>1190.62</v>
      </c>
      <c r="F403" s="10" t="str">
        <f>'Inventory master'!F403</f>
        <v>1416.78</v>
      </c>
      <c r="G403" s="10" t="str">
        <f>'Inventory master'!G403</f>
        <v>60</v>
      </c>
      <c r="H403" s="8">
        <f>IFERROR(_xlfn.XLOOKUP(A403, 'Opening stock'!A403:A1002, 'Opening stock'!E403:E1002), "")</f>
        <v>900</v>
      </c>
      <c r="I403" s="8">
        <f>IFERROR(SUMIF(Table3[Item ID],'Inventory calculations'!A403,Table3[Quantity]),0)</f>
        <v>0</v>
      </c>
      <c r="J403" s="8">
        <f>IFERROR(SUMIF(Table4[Item ID],'Inventory calculations'!A403,Table4[Quantity Purchased]),0)</f>
        <v>1</v>
      </c>
      <c r="K403" s="10">
        <f t="shared" si="26"/>
        <v>901</v>
      </c>
      <c r="L403" s="6" t="str">
        <f t="shared" si="27"/>
        <v>OK</v>
      </c>
      <c r="M403" s="13">
        <f t="shared" si="24"/>
        <v>1072748.6199999999</v>
      </c>
      <c r="N403" s="8">
        <f>Table5[[#This Row],[Total Qty Sold]]*Table5[[#This Row],[Unit Price]]</f>
        <v>0</v>
      </c>
      <c r="O403" s="9"/>
      <c r="P403" s="40" t="str">
        <f ca="1">IF(Table5[[#This Row],[Last sale Date]]="","Never Sold",TODAY()-Table5[[#This Row],[Last sale Date]])</f>
        <v>Never Sold</v>
      </c>
      <c r="Q403" s="6" t="str">
        <f>IF(Table5[[#This Row],[Re order Level]]&lt;=Table5[[#This Row],[Current stock]],"ORDERASAP","OK BUT BE CHECKING")</f>
        <v>OK BUT BE CHECKING</v>
      </c>
      <c r="R403" s="6" t="str">
        <f t="shared" si="25"/>
        <v>ACTIVE</v>
      </c>
      <c r="S403" s="8">
        <f>IF(Table5[[#This Row],[DEADSTOCK FLAG]]="DEAD",Table5[[#This Row],[Inventory Value]],0)</f>
        <v>0</v>
      </c>
    </row>
    <row r="404" spans="1:19" x14ac:dyDescent="0.25">
      <c r="A404" s="24" t="str">
        <f>'Inventory master'!A404</f>
        <v>ITEM403-A</v>
      </c>
      <c r="B404" s="6" t="str">
        <f>'Inventory master'!B404</f>
        <v>Mechanical Splicer</v>
      </c>
      <c r="C404" s="6" t="str">
        <f>'Inventory master'!C404</f>
        <v>Splicers</v>
      </c>
      <c r="D404" s="6" t="str">
        <f>'Inventory master'!D404</f>
        <v>Panduit</v>
      </c>
      <c r="E404" s="10" t="str">
        <f>'Inventory master'!E404</f>
        <v>1845.48</v>
      </c>
      <c r="F404" s="10" t="str">
        <f>'Inventory master'!F404</f>
        <v>2314.67</v>
      </c>
      <c r="G404" s="10" t="str">
        <f>'Inventory master'!G404</f>
        <v>86</v>
      </c>
      <c r="H404" s="8">
        <f>IFERROR(_xlfn.XLOOKUP(A404, 'Opening stock'!A404:A1003, 'Opening stock'!E404:E1003), "")</f>
        <v>1290</v>
      </c>
      <c r="I404" s="8">
        <f>IFERROR(SUMIF(Table3[Item ID],'Inventory calculations'!A404,Table3[Quantity]),0)</f>
        <v>0</v>
      </c>
      <c r="J404" s="8">
        <f>IFERROR(SUMIF(Table4[Item ID],'Inventory calculations'!A404,Table4[Quantity Purchased]),0)</f>
        <v>0</v>
      </c>
      <c r="K404" s="10">
        <f t="shared" si="26"/>
        <v>1290</v>
      </c>
      <c r="L404" s="6" t="str">
        <f t="shared" si="27"/>
        <v>OK</v>
      </c>
      <c r="M404" s="13">
        <f t="shared" si="24"/>
        <v>2380669.2000000002</v>
      </c>
      <c r="N404" s="8">
        <f>Table5[[#This Row],[Total Qty Sold]]*Table5[[#This Row],[Unit Price]]</f>
        <v>0</v>
      </c>
      <c r="O404" s="9"/>
      <c r="P404" s="40" t="str">
        <f ca="1">IF(Table5[[#This Row],[Last sale Date]]="","Never Sold",TODAY()-Table5[[#This Row],[Last sale Date]])</f>
        <v>Never Sold</v>
      </c>
      <c r="Q404" s="6" t="str">
        <f>IF(Table5[[#This Row],[Re order Level]]&lt;=Table5[[#This Row],[Current stock]],"ORDERASAP","OK BUT BE CHECKING")</f>
        <v>OK BUT BE CHECKING</v>
      </c>
      <c r="R404" s="6" t="str">
        <f t="shared" si="25"/>
        <v>ACTIVE</v>
      </c>
      <c r="S404" s="8">
        <f>IF(Table5[[#This Row],[DEADSTOCK FLAG]]="DEAD",Table5[[#This Row],[Inventory Value]],0)</f>
        <v>0</v>
      </c>
    </row>
    <row r="405" spans="1:19" x14ac:dyDescent="0.25">
      <c r="A405" s="24" t="str">
        <f>'Inventory master'!A405</f>
        <v>ITEM404-A</v>
      </c>
      <c r="B405" s="6" t="str">
        <f>'Inventory master'!B405</f>
        <v>Dome Enclosure</v>
      </c>
      <c r="C405" s="6" t="str">
        <f>'Inventory master'!C405</f>
        <v>Enclosures</v>
      </c>
      <c r="D405" s="6" t="str">
        <f>'Inventory master'!D405</f>
        <v>TE Connectivity</v>
      </c>
      <c r="E405" s="10" t="str">
        <f>'Inventory master'!E405</f>
        <v>397.39</v>
      </c>
      <c r="F405" s="10" t="str">
        <f>'Inventory master'!F405</f>
        <v>761.49</v>
      </c>
      <c r="G405" s="10" t="str">
        <f>'Inventory master'!G405</f>
        <v>96</v>
      </c>
      <c r="H405" s="8">
        <f>IFERROR(_xlfn.XLOOKUP(A405, 'Opening stock'!A405:A1004, 'Opening stock'!E405:E1004), "")</f>
        <v>1440</v>
      </c>
      <c r="I405" s="8">
        <f>IFERROR(SUMIF(Table3[Item ID],'Inventory calculations'!A405,Table3[Quantity]),0)</f>
        <v>0</v>
      </c>
      <c r="J405" s="8">
        <f>IFERROR(SUMIF(Table4[Item ID],'Inventory calculations'!A405,Table4[Quantity Purchased]),0)</f>
        <v>0</v>
      </c>
      <c r="K405" s="10">
        <f t="shared" si="26"/>
        <v>1440</v>
      </c>
      <c r="L405" s="6" t="str">
        <f t="shared" si="27"/>
        <v>OK</v>
      </c>
      <c r="M405" s="13">
        <f t="shared" si="24"/>
        <v>572241.6</v>
      </c>
      <c r="N405" s="8">
        <f>Table5[[#This Row],[Total Qty Sold]]*Table5[[#This Row],[Unit Price]]</f>
        <v>0</v>
      </c>
      <c r="O405" s="9"/>
      <c r="P405" s="40" t="str">
        <f ca="1">IF(Table5[[#This Row],[Last sale Date]]="","Never Sold",TODAY()-Table5[[#This Row],[Last sale Date]])</f>
        <v>Never Sold</v>
      </c>
      <c r="Q405" s="6" t="str">
        <f>IF(Table5[[#This Row],[Re order Level]]&lt;=Table5[[#This Row],[Current stock]],"ORDERASAP","OK BUT BE CHECKING")</f>
        <v>OK BUT BE CHECKING</v>
      </c>
      <c r="R405" s="6" t="str">
        <f t="shared" si="25"/>
        <v>ACTIVE</v>
      </c>
      <c r="S405" s="8">
        <f>IF(Table5[[#This Row],[DEADSTOCK FLAG]]="DEAD",Table5[[#This Row],[Inventory Value]],0)</f>
        <v>0</v>
      </c>
    </row>
    <row r="406" spans="1:19" x14ac:dyDescent="0.25">
      <c r="A406" s="24" t="str">
        <f>'Inventory master'!A406</f>
        <v>ITEM405-A</v>
      </c>
      <c r="B406" s="6" t="str">
        <f>'Inventory master'!B406</f>
        <v>Mechanical Splicer</v>
      </c>
      <c r="C406" s="6" t="str">
        <f>'Inventory master'!C406</f>
        <v>Splicers</v>
      </c>
      <c r="D406" s="6" t="str">
        <f>'Inventory master'!D406</f>
        <v>Belden</v>
      </c>
      <c r="E406" s="10" t="str">
        <f>'Inventory master'!E406</f>
        <v>1685.79</v>
      </c>
      <c r="F406" s="10" t="str">
        <f>'Inventory master'!F406</f>
        <v>2492.34</v>
      </c>
      <c r="G406" s="10" t="str">
        <f>'Inventory master'!G406</f>
        <v>43</v>
      </c>
      <c r="H406" s="8">
        <f>IFERROR(_xlfn.XLOOKUP(A406, 'Opening stock'!A406:A1005, 'Opening stock'!E406:E1005), "")</f>
        <v>645</v>
      </c>
      <c r="I406" s="8">
        <f>IFERROR(SUMIF(Table3[Item ID],'Inventory calculations'!A406,Table3[Quantity]),0)</f>
        <v>0</v>
      </c>
      <c r="J406" s="8">
        <f>IFERROR(SUMIF(Table4[Item ID],'Inventory calculations'!A406,Table4[Quantity Purchased]),0)</f>
        <v>0</v>
      </c>
      <c r="K406" s="10">
        <f t="shared" si="26"/>
        <v>645</v>
      </c>
      <c r="L406" s="6" t="str">
        <f t="shared" si="27"/>
        <v>OK</v>
      </c>
      <c r="M406" s="13">
        <f t="shared" si="24"/>
        <v>1087334.55</v>
      </c>
      <c r="N406" s="8">
        <f>Table5[[#This Row],[Total Qty Sold]]*Table5[[#This Row],[Unit Price]]</f>
        <v>0</v>
      </c>
      <c r="O406" s="9"/>
      <c r="P406" s="40" t="str">
        <f ca="1">IF(Table5[[#This Row],[Last sale Date]]="","Never Sold",TODAY()-Table5[[#This Row],[Last sale Date]])</f>
        <v>Never Sold</v>
      </c>
      <c r="Q406" s="6" t="str">
        <f>IF(Table5[[#This Row],[Re order Level]]&lt;=Table5[[#This Row],[Current stock]],"ORDERASAP","OK BUT BE CHECKING")</f>
        <v>OK BUT BE CHECKING</v>
      </c>
      <c r="R406" s="6" t="str">
        <f t="shared" si="25"/>
        <v>ACTIVE</v>
      </c>
      <c r="S406" s="8">
        <f>IF(Table5[[#This Row],[DEADSTOCK FLAG]]="DEAD",Table5[[#This Row],[Inventory Value]],0)</f>
        <v>0</v>
      </c>
    </row>
    <row r="407" spans="1:19" x14ac:dyDescent="0.25">
      <c r="A407" s="24" t="str">
        <f>'Inventory master'!A407</f>
        <v>ITEM406-A</v>
      </c>
      <c r="B407" s="6" t="str">
        <f>'Inventory master'!B407</f>
        <v>1x8 PLC Splitter</v>
      </c>
      <c r="C407" s="6" t="str">
        <f>'Inventory master'!C407</f>
        <v>Splitters</v>
      </c>
      <c r="D407" s="6" t="str">
        <f>'Inventory master'!D407</f>
        <v>Siemon</v>
      </c>
      <c r="E407" s="10" t="str">
        <f>'Inventory master'!E407</f>
        <v>1855.05</v>
      </c>
      <c r="F407" s="10" t="str">
        <f>'Inventory master'!F407</f>
        <v>3590.05</v>
      </c>
      <c r="G407" s="10" t="str">
        <f>'Inventory master'!G407</f>
        <v>18</v>
      </c>
      <c r="H407" s="8">
        <f>IFERROR(_xlfn.XLOOKUP(A407, 'Opening stock'!A407:A1006, 'Opening stock'!E407:E1006), "")</f>
        <v>270</v>
      </c>
      <c r="I407" s="8">
        <f>IFERROR(SUMIF(Table3[Item ID],'Inventory calculations'!A407,Table3[Quantity]),0)</f>
        <v>7</v>
      </c>
      <c r="J407" s="8">
        <f>IFERROR(SUMIF(Table4[Item ID],'Inventory calculations'!A407,Table4[Quantity Purchased]),0)</f>
        <v>18</v>
      </c>
      <c r="K407" s="10">
        <f t="shared" si="26"/>
        <v>281</v>
      </c>
      <c r="L407" s="6" t="str">
        <f t="shared" si="27"/>
        <v>OK</v>
      </c>
      <c r="M407" s="13">
        <f t="shared" si="24"/>
        <v>521269.05</v>
      </c>
      <c r="N407" s="8">
        <f>Table5[[#This Row],[Total Qty Sold]]*Table5[[#This Row],[Unit Price]]</f>
        <v>25130.350000000002</v>
      </c>
      <c r="O407" s="9">
        <f>IFERROR(_xlfn.MAXIFS(Table3[Date],Table3[Item ID],Table5[[#This Row],[Item ID]]),"")</f>
        <v>45512</v>
      </c>
      <c r="P407" s="40">
        <f ca="1">IF(Table5[[#This Row],[Last sale Date]]="","Never Sold",TODAY()-Table5[[#This Row],[Last sale Date]])</f>
        <v>540</v>
      </c>
      <c r="Q407" s="6" t="str">
        <f>IF(Table5[[#This Row],[Re order Level]]&lt;=Table5[[#This Row],[Current stock]],"ORDERASAP","OK BUT BE CHECKING")</f>
        <v>OK BUT BE CHECKING</v>
      </c>
      <c r="R407" s="6" t="str">
        <f t="shared" si="25"/>
        <v>ACTIVE</v>
      </c>
      <c r="S407" s="8">
        <f>IF(Table5[[#This Row],[DEADSTOCK FLAG]]="DEAD",Table5[[#This Row],[Inventory Value]],0)</f>
        <v>0</v>
      </c>
    </row>
    <row r="408" spans="1:19" x14ac:dyDescent="0.25">
      <c r="A408" s="24" t="str">
        <f>'Inventory master'!A408</f>
        <v>ITEM407-A</v>
      </c>
      <c r="B408" s="6" t="str">
        <f>'Inventory master'!B408</f>
        <v>FC APC Connector</v>
      </c>
      <c r="C408" s="6" t="str">
        <f>'Inventory master'!C408</f>
        <v>Connectors</v>
      </c>
      <c r="D408" s="6" t="str">
        <f>'Inventory master'!D408</f>
        <v>Panduit</v>
      </c>
      <c r="E408" s="10" t="str">
        <f>'Inventory master'!E408</f>
        <v>1797.64</v>
      </c>
      <c r="F408" s="10" t="str">
        <f>'Inventory master'!F408</f>
        <v>3445.78</v>
      </c>
      <c r="G408" s="10" t="str">
        <f>'Inventory master'!G408</f>
        <v>63</v>
      </c>
      <c r="H408" s="8">
        <f>IFERROR(_xlfn.XLOOKUP(A408, 'Opening stock'!A408:A1007, 'Opening stock'!E408:E1007), "")</f>
        <v>945</v>
      </c>
      <c r="I408" s="8">
        <f>IFERROR(SUMIF(Table3[Item ID],'Inventory calculations'!A408,Table3[Quantity]),0)</f>
        <v>0</v>
      </c>
      <c r="J408" s="8">
        <f>IFERROR(SUMIF(Table4[Item ID],'Inventory calculations'!A408,Table4[Quantity Purchased]),0)</f>
        <v>38</v>
      </c>
      <c r="K408" s="10">
        <f t="shared" si="26"/>
        <v>983</v>
      </c>
      <c r="L408" s="6" t="str">
        <f t="shared" si="27"/>
        <v>OK</v>
      </c>
      <c r="M408" s="13">
        <f t="shared" si="24"/>
        <v>1767080.12</v>
      </c>
      <c r="N408" s="8">
        <f>Table5[[#This Row],[Total Qty Sold]]*Table5[[#This Row],[Unit Price]]</f>
        <v>0</v>
      </c>
      <c r="O408" s="9"/>
      <c r="P408" s="40" t="str">
        <f ca="1">IF(Table5[[#This Row],[Last sale Date]]="","Never Sold",TODAY()-Table5[[#This Row],[Last sale Date]])</f>
        <v>Never Sold</v>
      </c>
      <c r="Q408" s="6" t="str">
        <f>IF(Table5[[#This Row],[Re order Level]]&lt;=Table5[[#This Row],[Current stock]],"ORDERASAP","OK BUT BE CHECKING")</f>
        <v>OK BUT BE CHECKING</v>
      </c>
      <c r="R408" s="6" t="str">
        <f t="shared" si="25"/>
        <v>ACTIVE</v>
      </c>
      <c r="S408" s="8">
        <f>IF(Table5[[#This Row],[DEADSTOCK FLAG]]="DEAD",Table5[[#This Row],[Inventory Value]],0)</f>
        <v>0</v>
      </c>
    </row>
    <row r="409" spans="1:19" x14ac:dyDescent="0.25">
      <c r="A409" s="24" t="str">
        <f>'Inventory master'!A409</f>
        <v>ITEM408-A</v>
      </c>
      <c r="B409" s="6" t="str">
        <f>'Inventory master'!B409</f>
        <v>Fixed Attenuator 2dB</v>
      </c>
      <c r="C409" s="6" t="str">
        <f>'Inventory master'!C409</f>
        <v>Attenuators</v>
      </c>
      <c r="D409" s="6" t="str">
        <f>'Inventory master'!D409</f>
        <v>AFL</v>
      </c>
      <c r="E409" s="10" t="str">
        <f>'Inventory master'!E409</f>
        <v>953.81</v>
      </c>
      <c r="F409" s="10" t="str">
        <f>'Inventory master'!F409</f>
        <v>1555.8</v>
      </c>
      <c r="G409" s="10" t="str">
        <f>'Inventory master'!G409</f>
        <v>57</v>
      </c>
      <c r="H409" s="8">
        <f>IFERROR(_xlfn.XLOOKUP(A409, 'Opening stock'!A409:A1008, 'Opening stock'!E409:E1008), "")</f>
        <v>855</v>
      </c>
      <c r="I409" s="8">
        <f>IFERROR(SUMIF(Table3[Item ID],'Inventory calculations'!A409,Table3[Quantity]),0)</f>
        <v>15</v>
      </c>
      <c r="J409" s="8">
        <f>IFERROR(SUMIF(Table4[Item ID],'Inventory calculations'!A409,Table4[Quantity Purchased]),0)</f>
        <v>48</v>
      </c>
      <c r="K409" s="10">
        <f t="shared" si="26"/>
        <v>888</v>
      </c>
      <c r="L409" s="6" t="str">
        <f t="shared" si="27"/>
        <v>OK</v>
      </c>
      <c r="M409" s="13">
        <f t="shared" si="24"/>
        <v>846983.27999999991</v>
      </c>
      <c r="N409" s="8">
        <f>Table5[[#This Row],[Total Qty Sold]]*Table5[[#This Row],[Unit Price]]</f>
        <v>23337</v>
      </c>
      <c r="O409" s="9">
        <f>IFERROR(_xlfn.MAXIFS(Table3[Date],Table3[Item ID],Table5[[#This Row],[Item ID]]),"")</f>
        <v>45868</v>
      </c>
      <c r="P409" s="40">
        <f ca="1">IF(Table5[[#This Row],[Last sale Date]]="","Never Sold",TODAY()-Table5[[#This Row],[Last sale Date]])</f>
        <v>184</v>
      </c>
      <c r="Q409" s="6" t="str">
        <f>IF(Table5[[#This Row],[Re order Level]]&lt;=Table5[[#This Row],[Current stock]],"ORDERASAP","OK BUT BE CHECKING")</f>
        <v>OK BUT BE CHECKING</v>
      </c>
      <c r="R409" s="6" t="str">
        <f t="shared" si="25"/>
        <v>ACTIVE</v>
      </c>
      <c r="S409" s="8">
        <f>IF(Table5[[#This Row],[DEADSTOCK FLAG]]="DEAD",Table5[[#This Row],[Inventory Value]],0)</f>
        <v>0</v>
      </c>
    </row>
    <row r="410" spans="1:19" x14ac:dyDescent="0.25">
      <c r="A410" s="24" t="str">
        <f>'Inventory master'!A410</f>
        <v>ITEM409-A</v>
      </c>
      <c r="B410" s="6" t="str">
        <f>'Inventory master'!B410</f>
        <v>Fusion Splicer</v>
      </c>
      <c r="C410" s="6" t="str">
        <f>'Inventory master'!C410</f>
        <v>Splicers</v>
      </c>
      <c r="D410" s="6" t="str">
        <f>'Inventory master'!D410</f>
        <v>Belden</v>
      </c>
      <c r="E410" s="10" t="str">
        <f>'Inventory master'!E410</f>
        <v>653.88</v>
      </c>
      <c r="F410" s="10" t="str">
        <f>'Inventory master'!F410</f>
        <v>1186.68</v>
      </c>
      <c r="G410" s="10" t="str">
        <f>'Inventory master'!G410</f>
        <v>87</v>
      </c>
      <c r="H410" s="8">
        <f>IFERROR(_xlfn.XLOOKUP(A410, 'Opening stock'!A410:A1009, 'Opening stock'!E410:E1009), "")</f>
        <v>1305</v>
      </c>
      <c r="I410" s="8">
        <f>IFERROR(SUMIF(Table3[Item ID],'Inventory calculations'!A410,Table3[Quantity]),0)</f>
        <v>0</v>
      </c>
      <c r="J410" s="8">
        <f>IFERROR(SUMIF(Table4[Item ID],'Inventory calculations'!A410,Table4[Quantity Purchased]),0)</f>
        <v>4</v>
      </c>
      <c r="K410" s="10">
        <f t="shared" si="26"/>
        <v>1309</v>
      </c>
      <c r="L410" s="6" t="str">
        <f t="shared" si="27"/>
        <v>OK</v>
      </c>
      <c r="M410" s="13">
        <f t="shared" si="24"/>
        <v>855928.92</v>
      </c>
      <c r="N410" s="8">
        <f>Table5[[#This Row],[Total Qty Sold]]*Table5[[#This Row],[Unit Price]]</f>
        <v>0</v>
      </c>
      <c r="O410" s="9"/>
      <c r="P410" s="40" t="str">
        <f ca="1">IF(Table5[[#This Row],[Last sale Date]]="","Never Sold",TODAY()-Table5[[#This Row],[Last sale Date]])</f>
        <v>Never Sold</v>
      </c>
      <c r="Q410" s="6" t="str">
        <f>IF(Table5[[#This Row],[Re order Level]]&lt;=Table5[[#This Row],[Current stock]],"ORDERASAP","OK BUT BE CHECKING")</f>
        <v>OK BUT BE CHECKING</v>
      </c>
      <c r="R410" s="6" t="str">
        <f t="shared" si="25"/>
        <v>ACTIVE</v>
      </c>
      <c r="S410" s="8">
        <f>IF(Table5[[#This Row],[DEADSTOCK FLAG]]="DEAD",Table5[[#This Row],[Inventory Value]],0)</f>
        <v>0</v>
      </c>
    </row>
    <row r="411" spans="1:19" x14ac:dyDescent="0.25">
      <c r="A411" s="24" t="str">
        <f>'Inventory master'!A411</f>
        <v>ITEM410-A</v>
      </c>
      <c r="B411" s="6" t="str">
        <f>'Inventory master'!B411</f>
        <v>1x8 PLC Splitter</v>
      </c>
      <c r="C411" s="6" t="str">
        <f>'Inventory master'!C411</f>
        <v>Splitters</v>
      </c>
      <c r="D411" s="6" t="str">
        <f>'Inventory master'!D411</f>
        <v>Prysmian Group</v>
      </c>
      <c r="E411" s="10" t="str">
        <f>'Inventory master'!E411</f>
        <v>1367.55</v>
      </c>
      <c r="F411" s="10" t="str">
        <f>'Inventory master'!F411</f>
        <v>1760.28</v>
      </c>
      <c r="G411" s="10" t="str">
        <f>'Inventory master'!G411</f>
        <v>25</v>
      </c>
      <c r="H411" s="8">
        <f>IFERROR(_xlfn.XLOOKUP(A411, 'Opening stock'!A411:A1010, 'Opening stock'!E411:E1010), "")</f>
        <v>375</v>
      </c>
      <c r="I411" s="8">
        <f>IFERROR(SUMIF(Table3[Item ID],'Inventory calculations'!A411,Table3[Quantity]),0)</f>
        <v>7</v>
      </c>
      <c r="J411" s="8">
        <f>IFERROR(SUMIF(Table4[Item ID],'Inventory calculations'!A411,Table4[Quantity Purchased]),0)</f>
        <v>0</v>
      </c>
      <c r="K411" s="10">
        <f t="shared" si="26"/>
        <v>368</v>
      </c>
      <c r="L411" s="6" t="str">
        <f t="shared" si="27"/>
        <v>OK</v>
      </c>
      <c r="M411" s="13">
        <f t="shared" si="24"/>
        <v>503258.39999999997</v>
      </c>
      <c r="N411" s="8">
        <f>Table5[[#This Row],[Total Qty Sold]]*Table5[[#This Row],[Unit Price]]</f>
        <v>12321.96</v>
      </c>
      <c r="O411" s="9">
        <f>IFERROR(_xlfn.MAXIFS(Table3[Date],Table3[Item ID],Table5[[#This Row],[Item ID]]),"")</f>
        <v>45587</v>
      </c>
      <c r="P411" s="40">
        <f ca="1">IF(Table5[[#This Row],[Last sale Date]]="","Never Sold",TODAY()-Table5[[#This Row],[Last sale Date]])</f>
        <v>465</v>
      </c>
      <c r="Q411" s="6" t="str">
        <f>IF(Table5[[#This Row],[Re order Level]]&lt;=Table5[[#This Row],[Current stock]],"ORDERASAP","OK BUT BE CHECKING")</f>
        <v>OK BUT BE CHECKING</v>
      </c>
      <c r="R411" s="6" t="str">
        <f t="shared" si="25"/>
        <v>ACTIVE</v>
      </c>
      <c r="S411" s="8">
        <f>IF(Table5[[#This Row],[DEADSTOCK FLAG]]="DEAD",Table5[[#This Row],[Inventory Value]],0)</f>
        <v>0</v>
      </c>
    </row>
    <row r="412" spans="1:19" x14ac:dyDescent="0.25">
      <c r="A412" s="24" t="str">
        <f>'Inventory master'!A412</f>
        <v>ITEM411-A</v>
      </c>
      <c r="B412" s="6" t="str">
        <f>'Inventory master'!B412</f>
        <v>12-Port Fiber Patch Panel</v>
      </c>
      <c r="C412" s="6" t="str">
        <f>'Inventory master'!C412</f>
        <v>Patch Panels</v>
      </c>
      <c r="D412" s="6" t="str">
        <f>'Inventory master'!D412</f>
        <v>HellermannTyton</v>
      </c>
      <c r="E412" s="10" t="str">
        <f>'Inventory master'!E412</f>
        <v>698.18</v>
      </c>
      <c r="F412" s="10" t="str">
        <f>'Inventory master'!F412</f>
        <v>1141.16</v>
      </c>
      <c r="G412" s="10" t="str">
        <f>'Inventory master'!G412</f>
        <v>17</v>
      </c>
      <c r="H412" s="8">
        <f>IFERROR(_xlfn.XLOOKUP(A412, 'Opening stock'!A412:A1011, 'Opening stock'!E412:E1011), "")</f>
        <v>255</v>
      </c>
      <c r="I412" s="8">
        <f>IFERROR(SUMIF(Table3[Item ID],'Inventory calculations'!A412,Table3[Quantity]),0)</f>
        <v>0</v>
      </c>
      <c r="J412" s="8">
        <f>IFERROR(SUMIF(Table4[Item ID],'Inventory calculations'!A412,Table4[Quantity Purchased]),0)</f>
        <v>0</v>
      </c>
      <c r="K412" s="10">
        <f t="shared" si="26"/>
        <v>255</v>
      </c>
      <c r="L412" s="6" t="str">
        <f t="shared" si="27"/>
        <v>OK</v>
      </c>
      <c r="M412" s="13">
        <f t="shared" si="24"/>
        <v>178035.9</v>
      </c>
      <c r="N412" s="8">
        <f>Table5[[#This Row],[Total Qty Sold]]*Table5[[#This Row],[Unit Price]]</f>
        <v>0</v>
      </c>
      <c r="O412" s="9"/>
      <c r="P412" s="40" t="str">
        <f ca="1">IF(Table5[[#This Row],[Last sale Date]]="","Never Sold",TODAY()-Table5[[#This Row],[Last sale Date]])</f>
        <v>Never Sold</v>
      </c>
      <c r="Q412" s="6" t="str">
        <f>IF(Table5[[#This Row],[Re order Level]]&lt;=Table5[[#This Row],[Current stock]],"ORDERASAP","OK BUT BE CHECKING")</f>
        <v>OK BUT BE CHECKING</v>
      </c>
      <c r="R412" s="6" t="str">
        <f t="shared" si="25"/>
        <v>ACTIVE</v>
      </c>
      <c r="S412" s="8">
        <f>IF(Table5[[#This Row],[DEADSTOCK FLAG]]="DEAD",Table5[[#This Row],[Inventory Value]],0)</f>
        <v>0</v>
      </c>
    </row>
    <row r="413" spans="1:19" x14ac:dyDescent="0.25">
      <c r="A413" s="24" t="str">
        <f>'Inventory master'!A413</f>
        <v>ITEM412-A</v>
      </c>
      <c r="B413" s="6" t="str">
        <f>'Inventory master'!B413</f>
        <v>Mechanical Splicer</v>
      </c>
      <c r="C413" s="6" t="str">
        <f>'Inventory master'!C413</f>
        <v>Splicers</v>
      </c>
      <c r="D413" s="6" t="str">
        <f>'Inventory master'!D413</f>
        <v>Huber+Suhner</v>
      </c>
      <c r="E413" s="10" t="str">
        <f>'Inventory master'!E413</f>
        <v>1939.48</v>
      </c>
      <c r="F413" s="10" t="str">
        <f>'Inventory master'!F413</f>
        <v>2980.1</v>
      </c>
      <c r="G413" s="10" t="str">
        <f>'Inventory master'!G413</f>
        <v>89</v>
      </c>
      <c r="H413" s="8">
        <f>IFERROR(_xlfn.XLOOKUP(A413, 'Opening stock'!A413:A1012, 'Opening stock'!E413:E1012), "")</f>
        <v>1335</v>
      </c>
      <c r="I413" s="8">
        <f>IFERROR(SUMIF(Table3[Item ID],'Inventory calculations'!A413,Table3[Quantity]),0)</f>
        <v>0</v>
      </c>
      <c r="J413" s="8">
        <f>IFERROR(SUMIF(Table4[Item ID],'Inventory calculations'!A413,Table4[Quantity Purchased]),0)</f>
        <v>4</v>
      </c>
      <c r="K413" s="10">
        <f t="shared" si="26"/>
        <v>1339</v>
      </c>
      <c r="L413" s="6" t="str">
        <f t="shared" si="27"/>
        <v>OK</v>
      </c>
      <c r="M413" s="13">
        <f t="shared" si="24"/>
        <v>2596963.7200000002</v>
      </c>
      <c r="N413" s="8">
        <f>Table5[[#This Row],[Total Qty Sold]]*Table5[[#This Row],[Unit Price]]</f>
        <v>0</v>
      </c>
      <c r="O413" s="9"/>
      <c r="P413" s="40" t="str">
        <f ca="1">IF(Table5[[#This Row],[Last sale Date]]="","Never Sold",TODAY()-Table5[[#This Row],[Last sale Date]])</f>
        <v>Never Sold</v>
      </c>
      <c r="Q413" s="6" t="str">
        <f>IF(Table5[[#This Row],[Re order Level]]&lt;=Table5[[#This Row],[Current stock]],"ORDERASAP","OK BUT BE CHECKING")</f>
        <v>OK BUT BE CHECKING</v>
      </c>
      <c r="R413" s="6" t="str">
        <f t="shared" si="25"/>
        <v>ACTIVE</v>
      </c>
      <c r="S413" s="8">
        <f>IF(Table5[[#This Row],[DEADSTOCK FLAG]]="DEAD",Table5[[#This Row],[Inventory Value]],0)</f>
        <v>0</v>
      </c>
    </row>
    <row r="414" spans="1:19" x14ac:dyDescent="0.25">
      <c r="A414" s="24" t="str">
        <f>'Inventory master'!A414</f>
        <v>ITEM413-A</v>
      </c>
      <c r="B414" s="6" t="str">
        <f>'Inventory master'!B414</f>
        <v>Fiber Adapter</v>
      </c>
      <c r="C414" s="6" t="str">
        <f>'Inventory master'!C414</f>
        <v>Accessories</v>
      </c>
      <c r="D414" s="6" t="str">
        <f>'Inventory master'!D414</f>
        <v>Belden</v>
      </c>
      <c r="E414" s="10" t="str">
        <f>'Inventory master'!E414</f>
        <v>1739.15</v>
      </c>
      <c r="F414" s="10" t="str">
        <f>'Inventory master'!F414</f>
        <v>2802.56</v>
      </c>
      <c r="G414" s="10" t="str">
        <f>'Inventory master'!G414</f>
        <v>88</v>
      </c>
      <c r="H414" s="8">
        <f>IFERROR(_xlfn.XLOOKUP(A414, 'Opening stock'!A414:A1013, 'Opening stock'!E414:E1013), "")</f>
        <v>1320</v>
      </c>
      <c r="I414" s="8">
        <f>IFERROR(SUMIF(Table3[Item ID],'Inventory calculations'!A414,Table3[Quantity]),0)</f>
        <v>0</v>
      </c>
      <c r="J414" s="8">
        <f>IFERROR(SUMIF(Table4[Item ID],'Inventory calculations'!A414,Table4[Quantity Purchased]),0)</f>
        <v>0</v>
      </c>
      <c r="K414" s="10">
        <f t="shared" si="26"/>
        <v>1320</v>
      </c>
      <c r="L414" s="6" t="str">
        <f t="shared" si="27"/>
        <v>OK</v>
      </c>
      <c r="M414" s="13">
        <f t="shared" si="24"/>
        <v>2295678</v>
      </c>
      <c r="N414" s="8">
        <f>Table5[[#This Row],[Total Qty Sold]]*Table5[[#This Row],[Unit Price]]</f>
        <v>0</v>
      </c>
      <c r="O414" s="9"/>
      <c r="P414" s="40" t="str">
        <f ca="1">IF(Table5[[#This Row],[Last sale Date]]="","Never Sold",TODAY()-Table5[[#This Row],[Last sale Date]])</f>
        <v>Never Sold</v>
      </c>
      <c r="Q414" s="6" t="str">
        <f>IF(Table5[[#This Row],[Re order Level]]&lt;=Table5[[#This Row],[Current stock]],"ORDERASAP","OK BUT BE CHECKING")</f>
        <v>OK BUT BE CHECKING</v>
      </c>
      <c r="R414" s="6" t="str">
        <f t="shared" si="25"/>
        <v>ACTIVE</v>
      </c>
      <c r="S414" s="8">
        <f>IF(Table5[[#This Row],[DEADSTOCK FLAG]]="DEAD",Table5[[#This Row],[Inventory Value]],0)</f>
        <v>0</v>
      </c>
    </row>
    <row r="415" spans="1:19" x14ac:dyDescent="0.25">
      <c r="A415" s="24" t="str">
        <f>'Inventory master'!A415</f>
        <v>ITEM414-A</v>
      </c>
      <c r="B415" s="6" t="str">
        <f>'Inventory master'!B415</f>
        <v>Dome Enclosure</v>
      </c>
      <c r="C415" s="6" t="str">
        <f>'Inventory master'!C415</f>
        <v>Enclosures</v>
      </c>
      <c r="D415" s="6" t="str">
        <f>'Inventory master'!D415</f>
        <v>CommScope</v>
      </c>
      <c r="E415" s="10" t="str">
        <f>'Inventory master'!E415</f>
        <v>695.01</v>
      </c>
      <c r="F415" s="10" t="str">
        <f>'Inventory master'!F415</f>
        <v>1343.15</v>
      </c>
      <c r="G415" s="10" t="str">
        <f>'Inventory master'!G415</f>
        <v>27</v>
      </c>
      <c r="H415" s="8">
        <f>IFERROR(_xlfn.XLOOKUP(A415, 'Opening stock'!A415:A1014, 'Opening stock'!E415:E1014), "")</f>
        <v>405</v>
      </c>
      <c r="I415" s="8">
        <f>IFERROR(SUMIF(Table3[Item ID],'Inventory calculations'!A415,Table3[Quantity]),0)</f>
        <v>0</v>
      </c>
      <c r="J415" s="8">
        <f>IFERROR(SUMIF(Table4[Item ID],'Inventory calculations'!A415,Table4[Quantity Purchased]),0)</f>
        <v>15</v>
      </c>
      <c r="K415" s="10">
        <f t="shared" si="26"/>
        <v>420</v>
      </c>
      <c r="L415" s="6" t="str">
        <f t="shared" si="27"/>
        <v>OK</v>
      </c>
      <c r="M415" s="13">
        <f t="shared" si="24"/>
        <v>291904.2</v>
      </c>
      <c r="N415" s="8">
        <f>Table5[[#This Row],[Total Qty Sold]]*Table5[[#This Row],[Unit Price]]</f>
        <v>0</v>
      </c>
      <c r="O415" s="9"/>
      <c r="P415" s="40" t="str">
        <f ca="1">IF(Table5[[#This Row],[Last sale Date]]="","Never Sold",TODAY()-Table5[[#This Row],[Last sale Date]])</f>
        <v>Never Sold</v>
      </c>
      <c r="Q415" s="6" t="str">
        <f>IF(Table5[[#This Row],[Re order Level]]&lt;=Table5[[#This Row],[Current stock]],"ORDERASAP","OK BUT BE CHECKING")</f>
        <v>OK BUT BE CHECKING</v>
      </c>
      <c r="R415" s="6" t="str">
        <f t="shared" si="25"/>
        <v>ACTIVE</v>
      </c>
      <c r="S415" s="8">
        <f>IF(Table5[[#This Row],[DEADSTOCK FLAG]]="DEAD",Table5[[#This Row],[Inventory Value]],0)</f>
        <v>0</v>
      </c>
    </row>
    <row r="416" spans="1:19" x14ac:dyDescent="0.25">
      <c r="A416" s="24" t="str">
        <f>'Inventory master'!A416</f>
        <v>ITEM415-A</v>
      </c>
      <c r="B416" s="6" t="str">
        <f>'Inventory master'!B416</f>
        <v>Fusion Splicer</v>
      </c>
      <c r="C416" s="6" t="str">
        <f>'Inventory master'!C416</f>
        <v>Splicers</v>
      </c>
      <c r="D416" s="6" t="str">
        <f>'Inventory master'!D416</f>
        <v>CommScope</v>
      </c>
      <c r="E416" s="10" t="str">
        <f>'Inventory master'!E416</f>
        <v>402.13</v>
      </c>
      <c r="F416" s="10" t="str">
        <f>'Inventory master'!F416</f>
        <v>513.96</v>
      </c>
      <c r="G416" s="10" t="str">
        <f>'Inventory master'!G416</f>
        <v>47</v>
      </c>
      <c r="H416" s="8">
        <f>IFERROR(_xlfn.XLOOKUP(A416, 'Opening stock'!A416:A1015, 'Opening stock'!E416:E1015), "")</f>
        <v>705</v>
      </c>
      <c r="I416" s="8">
        <f>IFERROR(SUMIF(Table3[Item ID],'Inventory calculations'!A416,Table3[Quantity]),0)</f>
        <v>162</v>
      </c>
      <c r="J416" s="8">
        <f>IFERROR(SUMIF(Table4[Item ID],'Inventory calculations'!A416,Table4[Quantity Purchased]),0)</f>
        <v>9</v>
      </c>
      <c r="K416" s="10">
        <f t="shared" si="26"/>
        <v>552</v>
      </c>
      <c r="L416" s="6" t="str">
        <f t="shared" si="27"/>
        <v>OK</v>
      </c>
      <c r="M416" s="13">
        <f t="shared" si="24"/>
        <v>221975.76</v>
      </c>
      <c r="N416" s="8">
        <f>Table5[[#This Row],[Total Qty Sold]]*Table5[[#This Row],[Unit Price]]</f>
        <v>83261.52</v>
      </c>
      <c r="O416" s="9">
        <f>IFERROR(_xlfn.MAXIFS(Table3[Date],Table3[Item ID],Table5[[#This Row],[Item ID]]),"")</f>
        <v>46008</v>
      </c>
      <c r="P416" s="40">
        <f ca="1">IF(Table5[[#This Row],[Last sale Date]]="","Never Sold",TODAY()-Table5[[#This Row],[Last sale Date]])</f>
        <v>44</v>
      </c>
      <c r="Q416" s="6" t="str">
        <f>IF(Table5[[#This Row],[Re order Level]]&lt;=Table5[[#This Row],[Current stock]],"ORDERASAP","OK BUT BE CHECKING")</f>
        <v>OK BUT BE CHECKING</v>
      </c>
      <c r="R416" s="6" t="str">
        <f t="shared" si="25"/>
        <v>ACTIVE</v>
      </c>
      <c r="S416" s="8">
        <f>IF(Table5[[#This Row],[DEADSTOCK FLAG]]="DEAD",Table5[[#This Row],[Inventory Value]],0)</f>
        <v>0</v>
      </c>
    </row>
    <row r="417" spans="1:19" x14ac:dyDescent="0.25">
      <c r="A417" s="24" t="str">
        <f>'Inventory master'!A417</f>
        <v>ITEM416-A</v>
      </c>
      <c r="B417" s="6" t="str">
        <f>'Inventory master'!B417</f>
        <v>Rack-Mount Enclosure</v>
      </c>
      <c r="C417" s="6" t="str">
        <f>'Inventory master'!C417</f>
        <v>Enclosures</v>
      </c>
      <c r="D417" s="6" t="str">
        <f>'Inventory master'!D417</f>
        <v>Belden</v>
      </c>
      <c r="E417" s="10" t="str">
        <f>'Inventory master'!E417</f>
        <v>362.38</v>
      </c>
      <c r="F417" s="10" t="str">
        <f>'Inventory master'!F417</f>
        <v>423.61</v>
      </c>
      <c r="G417" s="10" t="str">
        <f>'Inventory master'!G417</f>
        <v>58</v>
      </c>
      <c r="H417" s="8">
        <f>IFERROR(_xlfn.XLOOKUP(A417, 'Opening stock'!A417:A1016, 'Opening stock'!E417:E1016), "")</f>
        <v>870</v>
      </c>
      <c r="I417" s="8">
        <f>IFERROR(SUMIF(Table3[Item ID],'Inventory calculations'!A417,Table3[Quantity]),0)</f>
        <v>12</v>
      </c>
      <c r="J417" s="8">
        <f>IFERROR(SUMIF(Table4[Item ID],'Inventory calculations'!A417,Table4[Quantity Purchased]),0)</f>
        <v>0</v>
      </c>
      <c r="K417" s="10">
        <f t="shared" si="26"/>
        <v>858</v>
      </c>
      <c r="L417" s="6" t="str">
        <f t="shared" si="27"/>
        <v>OK</v>
      </c>
      <c r="M417" s="13">
        <f t="shared" si="24"/>
        <v>310922.03999999998</v>
      </c>
      <c r="N417" s="8">
        <f>Table5[[#This Row],[Total Qty Sold]]*Table5[[#This Row],[Unit Price]]</f>
        <v>5083.32</v>
      </c>
      <c r="O417" s="9">
        <f>IFERROR(_xlfn.MAXIFS(Table3[Date],Table3[Item ID],Table5[[#This Row],[Item ID]]),"")</f>
        <v>45948</v>
      </c>
      <c r="P417" s="40">
        <f ca="1">IF(Table5[[#This Row],[Last sale Date]]="","Never Sold",TODAY()-Table5[[#This Row],[Last sale Date]])</f>
        <v>104</v>
      </c>
      <c r="Q417" s="6" t="str">
        <f>IF(Table5[[#This Row],[Re order Level]]&lt;=Table5[[#This Row],[Current stock]],"ORDERASAP","OK BUT BE CHECKING")</f>
        <v>OK BUT BE CHECKING</v>
      </c>
      <c r="R417" s="6" t="str">
        <f t="shared" si="25"/>
        <v>ACTIVE</v>
      </c>
      <c r="S417" s="8">
        <f>IF(Table5[[#This Row],[DEADSTOCK FLAG]]="DEAD",Table5[[#This Row],[Inventory Value]],0)</f>
        <v>0</v>
      </c>
    </row>
    <row r="418" spans="1:19" x14ac:dyDescent="0.25">
      <c r="A418" s="24" t="str">
        <f>'Inventory master'!A418</f>
        <v>ITEM417-A</v>
      </c>
      <c r="B418" s="6" t="str">
        <f>'Inventory master'!B418</f>
        <v>Fiber Jumper</v>
      </c>
      <c r="C418" s="6" t="str">
        <f>'Inventory master'!C418</f>
        <v>Accessories</v>
      </c>
      <c r="D418" s="6" t="str">
        <f>'Inventory master'!D418</f>
        <v>Amphenol</v>
      </c>
      <c r="E418" s="10" t="str">
        <f>'Inventory master'!E418</f>
        <v>1978.9</v>
      </c>
      <c r="F418" s="10" t="str">
        <f>'Inventory master'!F418</f>
        <v>2284.0</v>
      </c>
      <c r="G418" s="10" t="str">
        <f>'Inventory master'!G418</f>
        <v>47</v>
      </c>
      <c r="H418" s="8">
        <f>IFERROR(_xlfn.XLOOKUP(A418, 'Opening stock'!A418:A1017, 'Opening stock'!E418:E1017), "")</f>
        <v>705</v>
      </c>
      <c r="I418" s="8">
        <f>IFERROR(SUMIF(Table3[Item ID],'Inventory calculations'!A418,Table3[Quantity]),0)</f>
        <v>0</v>
      </c>
      <c r="J418" s="8">
        <f>IFERROR(SUMIF(Table4[Item ID],'Inventory calculations'!A418,Table4[Quantity Purchased]),0)</f>
        <v>5</v>
      </c>
      <c r="K418" s="10">
        <f t="shared" si="26"/>
        <v>710</v>
      </c>
      <c r="L418" s="6" t="str">
        <f t="shared" si="27"/>
        <v>OK</v>
      </c>
      <c r="M418" s="13">
        <f t="shared" si="24"/>
        <v>1405019</v>
      </c>
      <c r="N418" s="8">
        <f>Table5[[#This Row],[Total Qty Sold]]*Table5[[#This Row],[Unit Price]]</f>
        <v>0</v>
      </c>
      <c r="O418" s="9"/>
      <c r="P418" s="40" t="str">
        <f ca="1">IF(Table5[[#This Row],[Last sale Date]]="","Never Sold",TODAY()-Table5[[#This Row],[Last sale Date]])</f>
        <v>Never Sold</v>
      </c>
      <c r="Q418" s="6" t="str">
        <f>IF(Table5[[#This Row],[Re order Level]]&lt;=Table5[[#This Row],[Current stock]],"ORDERASAP","OK BUT BE CHECKING")</f>
        <v>OK BUT BE CHECKING</v>
      </c>
      <c r="R418" s="6" t="str">
        <f t="shared" si="25"/>
        <v>ACTIVE</v>
      </c>
      <c r="S418" s="8">
        <f>IF(Table5[[#This Row],[DEADSTOCK FLAG]]="DEAD",Table5[[#This Row],[Inventory Value]],0)</f>
        <v>0</v>
      </c>
    </row>
    <row r="419" spans="1:19" x14ac:dyDescent="0.25">
      <c r="A419" s="24" t="str">
        <f>'Inventory master'!A419</f>
        <v>ITEM418-A</v>
      </c>
      <c r="B419" s="6" t="str">
        <f>'Inventory master'!B419</f>
        <v>FC UPC Connector</v>
      </c>
      <c r="C419" s="6" t="str">
        <f>'Inventory master'!C419</f>
        <v>Connectors</v>
      </c>
      <c r="D419" s="6" t="str">
        <f>'Inventory master'!D419</f>
        <v>Prysmian Group</v>
      </c>
      <c r="E419" s="10" t="str">
        <f>'Inventory master'!E419</f>
        <v>941.59</v>
      </c>
      <c r="F419" s="10" t="str">
        <f>'Inventory master'!F419</f>
        <v>1691.22</v>
      </c>
      <c r="G419" s="10" t="str">
        <f>'Inventory master'!G419</f>
        <v>16</v>
      </c>
      <c r="H419" s="8">
        <f>IFERROR(_xlfn.XLOOKUP(A419, 'Opening stock'!A419:A1018, 'Opening stock'!E419:E1018), "")</f>
        <v>240</v>
      </c>
      <c r="I419" s="8">
        <f>IFERROR(SUMIF(Table3[Item ID],'Inventory calculations'!A419,Table3[Quantity]),0)</f>
        <v>0</v>
      </c>
      <c r="J419" s="8">
        <f>IFERROR(SUMIF(Table4[Item ID],'Inventory calculations'!A419,Table4[Quantity Purchased]),0)</f>
        <v>18</v>
      </c>
      <c r="K419" s="10">
        <f t="shared" si="26"/>
        <v>258</v>
      </c>
      <c r="L419" s="6" t="str">
        <f t="shared" si="27"/>
        <v>OK</v>
      </c>
      <c r="M419" s="13">
        <f t="shared" si="24"/>
        <v>242930.22</v>
      </c>
      <c r="N419" s="8">
        <f>Table5[[#This Row],[Total Qty Sold]]*Table5[[#This Row],[Unit Price]]</f>
        <v>0</v>
      </c>
      <c r="O419" s="9"/>
      <c r="P419" s="40" t="str">
        <f ca="1">IF(Table5[[#This Row],[Last sale Date]]="","Never Sold",TODAY()-Table5[[#This Row],[Last sale Date]])</f>
        <v>Never Sold</v>
      </c>
      <c r="Q419" s="6" t="str">
        <f>IF(Table5[[#This Row],[Re order Level]]&lt;=Table5[[#This Row],[Current stock]],"ORDERASAP","OK BUT BE CHECKING")</f>
        <v>OK BUT BE CHECKING</v>
      </c>
      <c r="R419" s="6" t="str">
        <f t="shared" si="25"/>
        <v>ACTIVE</v>
      </c>
      <c r="S419" s="8">
        <f>IF(Table5[[#This Row],[DEADSTOCK FLAG]]="DEAD",Table5[[#This Row],[Inventory Value]],0)</f>
        <v>0</v>
      </c>
    </row>
    <row r="420" spans="1:19" x14ac:dyDescent="0.25">
      <c r="A420" s="24" t="str">
        <f>'Inventory master'!A420</f>
        <v>ITEM419-A</v>
      </c>
      <c r="B420" s="6" t="str">
        <f>'Inventory master'!B420</f>
        <v>QSFP28 Transceiver</v>
      </c>
      <c r="C420" s="6" t="str">
        <f>'Inventory master'!C420</f>
        <v>Transceivers</v>
      </c>
      <c r="D420" s="6" t="str">
        <f>'Inventory master'!D420</f>
        <v>Panduit</v>
      </c>
      <c r="E420" s="10" t="str">
        <f>'Inventory master'!E420</f>
        <v>1202.61</v>
      </c>
      <c r="F420" s="10" t="str">
        <f>'Inventory master'!F420</f>
        <v>2386.6</v>
      </c>
      <c r="G420" s="10" t="str">
        <f>'Inventory master'!G420</f>
        <v>81</v>
      </c>
      <c r="H420" s="8">
        <f>IFERROR(_xlfn.XLOOKUP(A420, 'Opening stock'!A420:A1019, 'Opening stock'!E420:E1019), "")</f>
        <v>1215</v>
      </c>
      <c r="I420" s="8">
        <f>IFERROR(SUMIF(Table3[Item ID],'Inventory calculations'!A420,Table3[Quantity]),0)</f>
        <v>0</v>
      </c>
      <c r="J420" s="8">
        <f>IFERROR(SUMIF(Table4[Item ID],'Inventory calculations'!A420,Table4[Quantity Purchased]),0)</f>
        <v>0</v>
      </c>
      <c r="K420" s="10">
        <f t="shared" si="26"/>
        <v>1215</v>
      </c>
      <c r="L420" s="6" t="str">
        <f t="shared" si="27"/>
        <v>OK</v>
      </c>
      <c r="M420" s="13">
        <f t="shared" si="24"/>
        <v>1461171.15</v>
      </c>
      <c r="N420" s="8">
        <f>Table5[[#This Row],[Total Qty Sold]]*Table5[[#This Row],[Unit Price]]</f>
        <v>0</v>
      </c>
      <c r="O420" s="9"/>
      <c r="P420" s="40" t="str">
        <f ca="1">IF(Table5[[#This Row],[Last sale Date]]="","Never Sold",TODAY()-Table5[[#This Row],[Last sale Date]])</f>
        <v>Never Sold</v>
      </c>
      <c r="Q420" s="6" t="str">
        <f>IF(Table5[[#This Row],[Re order Level]]&lt;=Table5[[#This Row],[Current stock]],"ORDERASAP","OK BUT BE CHECKING")</f>
        <v>OK BUT BE CHECKING</v>
      </c>
      <c r="R420" s="6" t="str">
        <f t="shared" si="25"/>
        <v>ACTIVE</v>
      </c>
      <c r="S420" s="8">
        <f>IF(Table5[[#This Row],[DEADSTOCK FLAG]]="DEAD",Table5[[#This Row],[Inventory Value]],0)</f>
        <v>0</v>
      </c>
    </row>
    <row r="421" spans="1:19" x14ac:dyDescent="0.25">
      <c r="A421" s="24" t="str">
        <f>'Inventory master'!A421</f>
        <v>ITEM420-A</v>
      </c>
      <c r="B421" s="6" t="str">
        <f>'Inventory master'!B421</f>
        <v>Fiber Adapter</v>
      </c>
      <c r="C421" s="6" t="str">
        <f>'Inventory master'!C421</f>
        <v>Accessories</v>
      </c>
      <c r="D421" s="6" t="str">
        <f>'Inventory master'!D421</f>
        <v>Prysmian Group</v>
      </c>
      <c r="E421" s="10" t="str">
        <f>'Inventory master'!E421</f>
        <v>672.61</v>
      </c>
      <c r="F421" s="10" t="str">
        <f>'Inventory master'!F421</f>
        <v>975.21</v>
      </c>
      <c r="G421" s="10" t="str">
        <f>'Inventory master'!G421</f>
        <v>19</v>
      </c>
      <c r="H421" s="8">
        <f>IFERROR(_xlfn.XLOOKUP(A421, 'Opening stock'!A421:A1020, 'Opening stock'!E421:E1020), "")</f>
        <v>285</v>
      </c>
      <c r="I421" s="8">
        <f>IFERROR(SUMIF(Table3[Item ID],'Inventory calculations'!A421,Table3[Quantity]),0)</f>
        <v>0</v>
      </c>
      <c r="J421" s="8">
        <f>IFERROR(SUMIF(Table4[Item ID],'Inventory calculations'!A421,Table4[Quantity Purchased]),0)</f>
        <v>0</v>
      </c>
      <c r="K421" s="10">
        <f t="shared" si="26"/>
        <v>285</v>
      </c>
      <c r="L421" s="6" t="str">
        <f t="shared" si="27"/>
        <v>OK</v>
      </c>
      <c r="M421" s="13">
        <f t="shared" si="24"/>
        <v>191693.85</v>
      </c>
      <c r="N421" s="8">
        <f>Table5[[#This Row],[Total Qty Sold]]*Table5[[#This Row],[Unit Price]]</f>
        <v>0</v>
      </c>
      <c r="O421" s="9"/>
      <c r="P421" s="40" t="str">
        <f ca="1">IF(Table5[[#This Row],[Last sale Date]]="","Never Sold",TODAY()-Table5[[#This Row],[Last sale Date]])</f>
        <v>Never Sold</v>
      </c>
      <c r="Q421" s="6" t="str">
        <f>IF(Table5[[#This Row],[Re order Level]]&lt;=Table5[[#This Row],[Current stock]],"ORDERASAP","OK BUT BE CHECKING")</f>
        <v>OK BUT BE CHECKING</v>
      </c>
      <c r="R421" s="6" t="str">
        <f t="shared" si="25"/>
        <v>ACTIVE</v>
      </c>
      <c r="S421" s="8">
        <f>IF(Table5[[#This Row],[DEADSTOCK FLAG]]="DEAD",Table5[[#This Row],[Inventory Value]],0)</f>
        <v>0</v>
      </c>
    </row>
    <row r="422" spans="1:19" x14ac:dyDescent="0.25">
      <c r="A422" s="24" t="str">
        <f>'Inventory master'!A422</f>
        <v>ITEM421-A</v>
      </c>
      <c r="B422" s="6" t="str">
        <f>'Inventory master'!B422</f>
        <v>Mechanical Splicer</v>
      </c>
      <c r="C422" s="6" t="str">
        <f>'Inventory master'!C422</f>
        <v>Splicers</v>
      </c>
      <c r="D422" s="6" t="str">
        <f>'Inventory master'!D422</f>
        <v>Siemon</v>
      </c>
      <c r="E422" s="10" t="str">
        <f>'Inventory master'!E422</f>
        <v>93.98</v>
      </c>
      <c r="F422" s="10" t="str">
        <f>'Inventory master'!F422</f>
        <v>152.32</v>
      </c>
      <c r="G422" s="10" t="str">
        <f>'Inventory master'!G422</f>
        <v>19</v>
      </c>
      <c r="H422" s="8">
        <f>IFERROR(_xlfn.XLOOKUP(A422, 'Opening stock'!A422:A1021, 'Opening stock'!E422:E1021), "")</f>
        <v>285</v>
      </c>
      <c r="I422" s="8">
        <f>IFERROR(SUMIF(Table3[Item ID],'Inventory calculations'!A422,Table3[Quantity]),0)</f>
        <v>0</v>
      </c>
      <c r="J422" s="8">
        <f>IFERROR(SUMIF(Table4[Item ID],'Inventory calculations'!A422,Table4[Quantity Purchased]),0)</f>
        <v>9</v>
      </c>
      <c r="K422" s="10">
        <f t="shared" si="26"/>
        <v>294</v>
      </c>
      <c r="L422" s="6" t="str">
        <f t="shared" si="27"/>
        <v>OK</v>
      </c>
      <c r="M422" s="13">
        <f t="shared" si="24"/>
        <v>27630.120000000003</v>
      </c>
      <c r="N422" s="8">
        <f>Table5[[#This Row],[Total Qty Sold]]*Table5[[#This Row],[Unit Price]]</f>
        <v>0</v>
      </c>
      <c r="O422" s="9"/>
      <c r="P422" s="40" t="str">
        <f ca="1">IF(Table5[[#This Row],[Last sale Date]]="","Never Sold",TODAY()-Table5[[#This Row],[Last sale Date]])</f>
        <v>Never Sold</v>
      </c>
      <c r="Q422" s="6" t="str">
        <f>IF(Table5[[#This Row],[Re order Level]]&lt;=Table5[[#This Row],[Current stock]],"ORDERASAP","OK BUT BE CHECKING")</f>
        <v>OK BUT BE CHECKING</v>
      </c>
      <c r="R422" s="6" t="str">
        <f t="shared" si="25"/>
        <v>ACTIVE</v>
      </c>
      <c r="S422" s="8">
        <f>IF(Table5[[#This Row],[DEADSTOCK FLAG]]="DEAD",Table5[[#This Row],[Inventory Value]],0)</f>
        <v>0</v>
      </c>
    </row>
    <row r="423" spans="1:19" x14ac:dyDescent="0.25">
      <c r="A423" s="24" t="str">
        <f>'Inventory master'!A423</f>
        <v>ITEM422-A</v>
      </c>
      <c r="B423" s="6" t="str">
        <f>'Inventory master'!B423</f>
        <v>Fusion Splicer</v>
      </c>
      <c r="C423" s="6" t="str">
        <f>'Inventory master'!C423</f>
        <v>Splicers</v>
      </c>
      <c r="D423" s="6" t="str">
        <f>'Inventory master'!D423</f>
        <v>Amphenol</v>
      </c>
      <c r="E423" s="10" t="str">
        <f>'Inventory master'!E423</f>
        <v>658.49</v>
      </c>
      <c r="F423" s="10" t="str">
        <f>'Inventory master'!F423</f>
        <v>862.33</v>
      </c>
      <c r="G423" s="10" t="str">
        <f>'Inventory master'!G423</f>
        <v>56</v>
      </c>
      <c r="H423" s="8">
        <f>IFERROR(_xlfn.XLOOKUP(A423, 'Opening stock'!A423:A1022, 'Opening stock'!E423:E1022), "")</f>
        <v>840</v>
      </c>
      <c r="I423" s="8">
        <f>IFERROR(SUMIF(Table3[Item ID],'Inventory calculations'!A423,Table3[Quantity]),0)</f>
        <v>3</v>
      </c>
      <c r="J423" s="8">
        <f>IFERROR(SUMIF(Table4[Item ID],'Inventory calculations'!A423,Table4[Quantity Purchased]),0)</f>
        <v>0</v>
      </c>
      <c r="K423" s="10">
        <f t="shared" si="26"/>
        <v>837</v>
      </c>
      <c r="L423" s="6" t="str">
        <f t="shared" si="27"/>
        <v>OK</v>
      </c>
      <c r="M423" s="13">
        <f t="shared" si="24"/>
        <v>551156.13</v>
      </c>
      <c r="N423" s="8">
        <f>Table5[[#This Row],[Total Qty Sold]]*Table5[[#This Row],[Unit Price]]</f>
        <v>2586.9900000000002</v>
      </c>
      <c r="O423" s="9">
        <f>IFERROR(_xlfn.MAXIFS(Table3[Date],Table3[Item ID],Table5[[#This Row],[Item ID]]),"")</f>
        <v>45821</v>
      </c>
      <c r="P423" s="40">
        <f ca="1">IF(Table5[[#This Row],[Last sale Date]]="","Never Sold",TODAY()-Table5[[#This Row],[Last sale Date]])</f>
        <v>231</v>
      </c>
      <c r="Q423" s="6" t="str">
        <f>IF(Table5[[#This Row],[Re order Level]]&lt;=Table5[[#This Row],[Current stock]],"ORDERASAP","OK BUT BE CHECKING")</f>
        <v>OK BUT BE CHECKING</v>
      </c>
      <c r="R423" s="6" t="str">
        <f t="shared" si="25"/>
        <v>ACTIVE</v>
      </c>
      <c r="S423" s="8">
        <f>IF(Table5[[#This Row],[DEADSTOCK FLAG]]="DEAD",Table5[[#This Row],[Inventory Value]],0)</f>
        <v>0</v>
      </c>
    </row>
    <row r="424" spans="1:19" x14ac:dyDescent="0.25">
      <c r="A424" s="24" t="str">
        <f>'Inventory master'!A424</f>
        <v>ITEM423-A</v>
      </c>
      <c r="B424" s="6" t="str">
        <f>'Inventory master'!B424</f>
        <v>Fiber Optic Cutter</v>
      </c>
      <c r="C424" s="6" t="str">
        <f>'Inventory master'!C424</f>
        <v>Tools</v>
      </c>
      <c r="D424" s="6" t="str">
        <f>'Inventory master'!D424</f>
        <v>Amphenol</v>
      </c>
      <c r="E424" s="10" t="str">
        <f>'Inventory master'!E424</f>
        <v>1493.78</v>
      </c>
      <c r="F424" s="10" t="str">
        <f>'Inventory master'!F424</f>
        <v>1703.88</v>
      </c>
      <c r="G424" s="10" t="str">
        <f>'Inventory master'!G424</f>
        <v>28</v>
      </c>
      <c r="H424" s="8">
        <f>IFERROR(_xlfn.XLOOKUP(A424, 'Opening stock'!A424:A1023, 'Opening stock'!E424:E1023), "")</f>
        <v>420</v>
      </c>
      <c r="I424" s="8">
        <f>IFERROR(SUMIF(Table3[Item ID],'Inventory calculations'!A424,Table3[Quantity]),0)</f>
        <v>0</v>
      </c>
      <c r="J424" s="8">
        <f>IFERROR(SUMIF(Table4[Item ID],'Inventory calculations'!A424,Table4[Quantity Purchased]),0)</f>
        <v>1</v>
      </c>
      <c r="K424" s="10">
        <f t="shared" si="26"/>
        <v>421</v>
      </c>
      <c r="L424" s="6" t="str">
        <f t="shared" si="27"/>
        <v>OK</v>
      </c>
      <c r="M424" s="13">
        <f t="shared" si="24"/>
        <v>628881.38</v>
      </c>
      <c r="N424" s="8">
        <f>Table5[[#This Row],[Total Qty Sold]]*Table5[[#This Row],[Unit Price]]</f>
        <v>0</v>
      </c>
      <c r="O424" s="9"/>
      <c r="P424" s="40" t="str">
        <f ca="1">IF(Table5[[#This Row],[Last sale Date]]="","Never Sold",TODAY()-Table5[[#This Row],[Last sale Date]])</f>
        <v>Never Sold</v>
      </c>
      <c r="Q424" s="6" t="str">
        <f>IF(Table5[[#This Row],[Re order Level]]&lt;=Table5[[#This Row],[Current stock]],"ORDERASAP","OK BUT BE CHECKING")</f>
        <v>OK BUT BE CHECKING</v>
      </c>
      <c r="R424" s="6" t="str">
        <f t="shared" si="25"/>
        <v>ACTIVE</v>
      </c>
      <c r="S424" s="8">
        <f>IF(Table5[[#This Row],[DEADSTOCK FLAG]]="DEAD",Table5[[#This Row],[Inventory Value]],0)</f>
        <v>0</v>
      </c>
    </row>
    <row r="425" spans="1:19" x14ac:dyDescent="0.25">
      <c r="A425" s="24" t="str">
        <f>'Inventory master'!A425</f>
        <v>ITEM424-A</v>
      </c>
      <c r="B425" s="6" t="str">
        <f>'Inventory master'!B425</f>
        <v>QSFP Transceiver</v>
      </c>
      <c r="C425" s="6" t="str">
        <f>'Inventory master'!C425</f>
        <v>Transceivers</v>
      </c>
      <c r="D425" s="6" t="str">
        <f>'Inventory master'!D425</f>
        <v>AFL</v>
      </c>
      <c r="E425" s="10" t="str">
        <f>'Inventory master'!E425</f>
        <v>1786.2</v>
      </c>
      <c r="F425" s="10" t="str">
        <f>'Inventory master'!F425</f>
        <v>3317.57</v>
      </c>
      <c r="G425" s="10" t="str">
        <f>'Inventory master'!G425</f>
        <v>30</v>
      </c>
      <c r="H425" s="8">
        <f>IFERROR(_xlfn.XLOOKUP(A425, 'Opening stock'!A425:A1024, 'Opening stock'!E425:E1024), "")</f>
        <v>450</v>
      </c>
      <c r="I425" s="8">
        <f>IFERROR(SUMIF(Table3[Item ID],'Inventory calculations'!A425,Table3[Quantity]),0)</f>
        <v>0</v>
      </c>
      <c r="J425" s="8">
        <f>IFERROR(SUMIF(Table4[Item ID],'Inventory calculations'!A425,Table4[Quantity Purchased]),0)</f>
        <v>3</v>
      </c>
      <c r="K425" s="10">
        <f t="shared" si="26"/>
        <v>453</v>
      </c>
      <c r="L425" s="6" t="str">
        <f t="shared" si="27"/>
        <v>OK</v>
      </c>
      <c r="M425" s="13">
        <f t="shared" si="24"/>
        <v>809148.6</v>
      </c>
      <c r="N425" s="8">
        <f>Table5[[#This Row],[Total Qty Sold]]*Table5[[#This Row],[Unit Price]]</f>
        <v>0</v>
      </c>
      <c r="O425" s="9"/>
      <c r="P425" s="40" t="str">
        <f ca="1">IF(Table5[[#This Row],[Last sale Date]]="","Never Sold",TODAY()-Table5[[#This Row],[Last sale Date]])</f>
        <v>Never Sold</v>
      </c>
      <c r="Q425" s="6" t="str">
        <f>IF(Table5[[#This Row],[Re order Level]]&lt;=Table5[[#This Row],[Current stock]],"ORDERASAP","OK BUT BE CHECKING")</f>
        <v>OK BUT BE CHECKING</v>
      </c>
      <c r="R425" s="6" t="str">
        <f t="shared" si="25"/>
        <v>ACTIVE</v>
      </c>
      <c r="S425" s="8">
        <f>IF(Table5[[#This Row],[DEADSTOCK FLAG]]="DEAD",Table5[[#This Row],[Inventory Value]],0)</f>
        <v>0</v>
      </c>
    </row>
    <row r="426" spans="1:19" x14ac:dyDescent="0.25">
      <c r="A426" s="24" t="str">
        <f>'Inventory master'!A426</f>
        <v>ITEM425-A</v>
      </c>
      <c r="B426" s="6" t="str">
        <f>'Inventory master'!B426</f>
        <v>Fiber Adapter</v>
      </c>
      <c r="C426" s="6" t="str">
        <f>'Inventory master'!C426</f>
        <v>Accessories</v>
      </c>
      <c r="D426" s="6" t="str">
        <f>'Inventory master'!D426</f>
        <v>TE Connectivity</v>
      </c>
      <c r="E426" s="10" t="str">
        <f>'Inventory master'!E426</f>
        <v>754.71</v>
      </c>
      <c r="F426" s="10" t="str">
        <f>'Inventory master'!F426</f>
        <v>1392.84</v>
      </c>
      <c r="G426" s="10" t="str">
        <f>'Inventory master'!G426</f>
        <v>51</v>
      </c>
      <c r="H426" s="8">
        <f>IFERROR(_xlfn.XLOOKUP(A426, 'Opening stock'!A426:A1025, 'Opening stock'!E426:E1025), "")</f>
        <v>765</v>
      </c>
      <c r="I426" s="8">
        <f>IFERROR(SUMIF(Table3[Item ID],'Inventory calculations'!A426,Table3[Quantity]),0)</f>
        <v>13</v>
      </c>
      <c r="J426" s="8">
        <f>IFERROR(SUMIF(Table4[Item ID],'Inventory calculations'!A426,Table4[Quantity Purchased]),0)</f>
        <v>10</v>
      </c>
      <c r="K426" s="10">
        <f t="shared" si="26"/>
        <v>762</v>
      </c>
      <c r="L426" s="6" t="str">
        <f t="shared" si="27"/>
        <v>OK</v>
      </c>
      <c r="M426" s="13">
        <f t="shared" si="24"/>
        <v>575089.02</v>
      </c>
      <c r="N426" s="8">
        <f>Table5[[#This Row],[Total Qty Sold]]*Table5[[#This Row],[Unit Price]]</f>
        <v>18106.919999999998</v>
      </c>
      <c r="O426" s="9">
        <f>IFERROR(_xlfn.MAXIFS(Table3[Date],Table3[Item ID],Table5[[#This Row],[Item ID]]),"")</f>
        <v>45927</v>
      </c>
      <c r="P426" s="40">
        <f ca="1">IF(Table5[[#This Row],[Last sale Date]]="","Never Sold",TODAY()-Table5[[#This Row],[Last sale Date]])</f>
        <v>125</v>
      </c>
      <c r="Q426" s="6" t="str">
        <f>IF(Table5[[#This Row],[Re order Level]]&lt;=Table5[[#This Row],[Current stock]],"ORDERASAP","OK BUT BE CHECKING")</f>
        <v>OK BUT BE CHECKING</v>
      </c>
      <c r="R426" s="6" t="str">
        <f t="shared" si="25"/>
        <v>ACTIVE</v>
      </c>
      <c r="S426" s="8">
        <f>IF(Table5[[#This Row],[DEADSTOCK FLAG]]="DEAD",Table5[[#This Row],[Inventory Value]],0)</f>
        <v>0</v>
      </c>
    </row>
    <row r="427" spans="1:19" x14ac:dyDescent="0.25">
      <c r="A427" s="24" t="str">
        <f>'Inventory master'!A427</f>
        <v>ITEM426-A</v>
      </c>
      <c r="B427" s="6" t="str">
        <f>'Inventory master'!B427</f>
        <v>Mechanical Splicer</v>
      </c>
      <c r="C427" s="6" t="str">
        <f>'Inventory master'!C427</f>
        <v>Splicers</v>
      </c>
      <c r="D427" s="6" t="str">
        <f>'Inventory master'!D427</f>
        <v>HellermannTyton</v>
      </c>
      <c r="E427" s="10" t="str">
        <f>'Inventory master'!E427</f>
        <v>1050.14</v>
      </c>
      <c r="F427" s="10" t="str">
        <f>'Inventory master'!F427</f>
        <v>1714.51</v>
      </c>
      <c r="G427" s="10" t="str">
        <f>'Inventory master'!G427</f>
        <v>68</v>
      </c>
      <c r="H427" s="8">
        <f>IFERROR(_xlfn.XLOOKUP(A427, 'Opening stock'!A427:A1026, 'Opening stock'!E427:E1026), "")</f>
        <v>1020</v>
      </c>
      <c r="I427" s="8">
        <f>IFERROR(SUMIF(Table3[Item ID],'Inventory calculations'!A427,Table3[Quantity]),0)</f>
        <v>0</v>
      </c>
      <c r="J427" s="8">
        <f>IFERROR(SUMIF(Table4[Item ID],'Inventory calculations'!A427,Table4[Quantity Purchased]),0)</f>
        <v>12</v>
      </c>
      <c r="K427" s="10">
        <f t="shared" si="26"/>
        <v>1032</v>
      </c>
      <c r="L427" s="6" t="str">
        <f t="shared" si="27"/>
        <v>OK</v>
      </c>
      <c r="M427" s="13">
        <f t="shared" si="24"/>
        <v>1083744.4800000002</v>
      </c>
      <c r="N427" s="8">
        <f>Table5[[#This Row],[Total Qty Sold]]*Table5[[#This Row],[Unit Price]]</f>
        <v>0</v>
      </c>
      <c r="O427" s="9"/>
      <c r="P427" s="40" t="str">
        <f ca="1">IF(Table5[[#This Row],[Last sale Date]]="","Never Sold",TODAY()-Table5[[#This Row],[Last sale Date]])</f>
        <v>Never Sold</v>
      </c>
      <c r="Q427" s="6" t="str">
        <f>IF(Table5[[#This Row],[Re order Level]]&lt;=Table5[[#This Row],[Current stock]],"ORDERASAP","OK BUT BE CHECKING")</f>
        <v>OK BUT BE CHECKING</v>
      </c>
      <c r="R427" s="6" t="str">
        <f t="shared" si="25"/>
        <v>ACTIVE</v>
      </c>
      <c r="S427" s="8">
        <f>IF(Table5[[#This Row],[DEADSTOCK FLAG]]="DEAD",Table5[[#This Row],[Inventory Value]],0)</f>
        <v>0</v>
      </c>
    </row>
    <row r="428" spans="1:19" x14ac:dyDescent="0.25">
      <c r="A428" s="24" t="str">
        <f>'Inventory master'!A428</f>
        <v>ITEM427-A</v>
      </c>
      <c r="B428" s="6" t="str">
        <f>'Inventory master'!B428</f>
        <v>SC UPC Connector</v>
      </c>
      <c r="C428" s="6" t="str">
        <f>'Inventory master'!C428</f>
        <v>Connectors</v>
      </c>
      <c r="D428" s="6" t="str">
        <f>'Inventory master'!D428</f>
        <v>Leviton</v>
      </c>
      <c r="E428" s="10" t="str">
        <f>'Inventory master'!E428</f>
        <v>1219.17</v>
      </c>
      <c r="F428" s="10" t="str">
        <f>'Inventory master'!F428</f>
        <v>1812.01</v>
      </c>
      <c r="G428" s="10" t="str">
        <f>'Inventory master'!G428</f>
        <v>34</v>
      </c>
      <c r="H428" s="8">
        <f>IFERROR(_xlfn.XLOOKUP(A428, 'Opening stock'!A428:A1027, 'Opening stock'!E428:E1027), "")</f>
        <v>510</v>
      </c>
      <c r="I428" s="8">
        <f>IFERROR(SUMIF(Table3[Item ID],'Inventory calculations'!A428,Table3[Quantity]),0)</f>
        <v>0</v>
      </c>
      <c r="J428" s="8">
        <f>IFERROR(SUMIF(Table4[Item ID],'Inventory calculations'!A428,Table4[Quantity Purchased]),0)</f>
        <v>0</v>
      </c>
      <c r="K428" s="10">
        <f t="shared" si="26"/>
        <v>510</v>
      </c>
      <c r="L428" s="6" t="str">
        <f t="shared" si="27"/>
        <v>OK</v>
      </c>
      <c r="M428" s="13">
        <f t="shared" si="24"/>
        <v>621776.70000000007</v>
      </c>
      <c r="N428" s="8">
        <f>Table5[[#This Row],[Total Qty Sold]]*Table5[[#This Row],[Unit Price]]</f>
        <v>0</v>
      </c>
      <c r="O428" s="9"/>
      <c r="P428" s="40" t="str">
        <f ca="1">IF(Table5[[#This Row],[Last sale Date]]="","Never Sold",TODAY()-Table5[[#This Row],[Last sale Date]])</f>
        <v>Never Sold</v>
      </c>
      <c r="Q428" s="6" t="str">
        <f>IF(Table5[[#This Row],[Re order Level]]&lt;=Table5[[#This Row],[Current stock]],"ORDERASAP","OK BUT BE CHECKING")</f>
        <v>OK BUT BE CHECKING</v>
      </c>
      <c r="R428" s="6" t="str">
        <f t="shared" si="25"/>
        <v>ACTIVE</v>
      </c>
      <c r="S428" s="8">
        <f>IF(Table5[[#This Row],[DEADSTOCK FLAG]]="DEAD",Table5[[#This Row],[Inventory Value]],0)</f>
        <v>0</v>
      </c>
    </row>
    <row r="429" spans="1:19" x14ac:dyDescent="0.25">
      <c r="A429" s="24" t="str">
        <f>'Inventory master'!A429</f>
        <v>ITEM428-A</v>
      </c>
      <c r="B429" s="6" t="str">
        <f>'Inventory master'!B429</f>
        <v>Fiber Cleaner</v>
      </c>
      <c r="C429" s="6" t="str">
        <f>'Inventory master'!C429</f>
        <v>Accessories</v>
      </c>
      <c r="D429" s="6" t="str">
        <f>'Inventory master'!D429</f>
        <v>Prysmian Group</v>
      </c>
      <c r="E429" s="10" t="str">
        <f>'Inventory master'!E429</f>
        <v>1537.24</v>
      </c>
      <c r="F429" s="10" t="str">
        <f>'Inventory master'!F429</f>
        <v>1895.28</v>
      </c>
      <c r="G429" s="10" t="str">
        <f>'Inventory master'!G429</f>
        <v>33</v>
      </c>
      <c r="H429" s="8">
        <f>IFERROR(_xlfn.XLOOKUP(A429, 'Opening stock'!A429:A1028, 'Opening stock'!E429:E1028), "")</f>
        <v>495</v>
      </c>
      <c r="I429" s="8">
        <f>IFERROR(SUMIF(Table3[Item ID],'Inventory calculations'!A429,Table3[Quantity]),0)</f>
        <v>0</v>
      </c>
      <c r="J429" s="8">
        <f>IFERROR(SUMIF(Table4[Item ID],'Inventory calculations'!A429,Table4[Quantity Purchased]),0)</f>
        <v>3</v>
      </c>
      <c r="K429" s="10">
        <f t="shared" si="26"/>
        <v>498</v>
      </c>
      <c r="L429" s="6" t="str">
        <f t="shared" si="27"/>
        <v>OK</v>
      </c>
      <c r="M429" s="13">
        <f t="shared" si="24"/>
        <v>765545.52</v>
      </c>
      <c r="N429" s="8">
        <f>Table5[[#This Row],[Total Qty Sold]]*Table5[[#This Row],[Unit Price]]</f>
        <v>0</v>
      </c>
      <c r="O429" s="9"/>
      <c r="P429" s="40" t="str">
        <f ca="1">IF(Table5[[#This Row],[Last sale Date]]="","Never Sold",TODAY()-Table5[[#This Row],[Last sale Date]])</f>
        <v>Never Sold</v>
      </c>
      <c r="Q429" s="6" t="str">
        <f>IF(Table5[[#This Row],[Re order Level]]&lt;=Table5[[#This Row],[Current stock]],"ORDERASAP","OK BUT BE CHECKING")</f>
        <v>OK BUT BE CHECKING</v>
      </c>
      <c r="R429" s="6" t="str">
        <f t="shared" si="25"/>
        <v>ACTIVE</v>
      </c>
      <c r="S429" s="8">
        <f>IF(Table5[[#This Row],[DEADSTOCK FLAG]]="DEAD",Table5[[#This Row],[Inventory Value]],0)</f>
        <v>0</v>
      </c>
    </row>
    <row r="430" spans="1:19" x14ac:dyDescent="0.25">
      <c r="A430" s="24" t="str">
        <f>'Inventory master'!A430</f>
        <v>ITEM429-A</v>
      </c>
      <c r="B430" s="6" t="str">
        <f>'Inventory master'!B430</f>
        <v>Fiber Pigtail</v>
      </c>
      <c r="C430" s="6" t="str">
        <f>'Inventory master'!C430</f>
        <v>Accessories</v>
      </c>
      <c r="D430" s="6" t="str">
        <f>'Inventory master'!D430</f>
        <v>Corning Inc.</v>
      </c>
      <c r="E430" s="10" t="str">
        <f>'Inventory master'!E430</f>
        <v>923.14</v>
      </c>
      <c r="F430" s="10" t="str">
        <f>'Inventory master'!F430</f>
        <v>1814.89</v>
      </c>
      <c r="G430" s="10" t="str">
        <f>'Inventory master'!G430</f>
        <v>89</v>
      </c>
      <c r="H430" s="8">
        <f>IFERROR(_xlfn.XLOOKUP(A430, 'Opening stock'!A430:A1029, 'Opening stock'!E430:E1029), "")</f>
        <v>1335</v>
      </c>
      <c r="I430" s="8">
        <f>IFERROR(SUMIF(Table3[Item ID],'Inventory calculations'!A430,Table3[Quantity]),0)</f>
        <v>6</v>
      </c>
      <c r="J430" s="8">
        <f>IFERROR(SUMIF(Table4[Item ID],'Inventory calculations'!A430,Table4[Quantity Purchased]),0)</f>
        <v>0</v>
      </c>
      <c r="K430" s="10">
        <f t="shared" si="26"/>
        <v>1329</v>
      </c>
      <c r="L430" s="6" t="str">
        <f t="shared" si="27"/>
        <v>OK</v>
      </c>
      <c r="M430" s="13">
        <f t="shared" si="24"/>
        <v>1226853.06</v>
      </c>
      <c r="N430" s="8">
        <f>Table5[[#This Row],[Total Qty Sold]]*Table5[[#This Row],[Unit Price]]</f>
        <v>10889.34</v>
      </c>
      <c r="O430" s="9">
        <f>IFERROR(_xlfn.MAXIFS(Table3[Date],Table3[Item ID],Table5[[#This Row],[Item ID]]),"")</f>
        <v>45580</v>
      </c>
      <c r="P430" s="40">
        <f ca="1">IF(Table5[[#This Row],[Last sale Date]]="","Never Sold",TODAY()-Table5[[#This Row],[Last sale Date]])</f>
        <v>472</v>
      </c>
      <c r="Q430" s="6" t="str">
        <f>IF(Table5[[#This Row],[Re order Level]]&lt;=Table5[[#This Row],[Current stock]],"ORDERASAP","OK BUT BE CHECKING")</f>
        <v>OK BUT BE CHECKING</v>
      </c>
      <c r="R430" s="6" t="str">
        <f t="shared" si="25"/>
        <v>ACTIVE</v>
      </c>
      <c r="S430" s="8">
        <f>IF(Table5[[#This Row],[DEADSTOCK FLAG]]="DEAD",Table5[[#This Row],[Inventory Value]],0)</f>
        <v>0</v>
      </c>
    </row>
    <row r="431" spans="1:19" x14ac:dyDescent="0.25">
      <c r="A431" s="24" t="str">
        <f>'Inventory master'!A431</f>
        <v>ITEM430-A</v>
      </c>
      <c r="B431" s="6" t="str">
        <f>'Inventory master'!B431</f>
        <v>Fusion Splicer</v>
      </c>
      <c r="C431" s="6" t="str">
        <f>'Inventory master'!C431</f>
        <v>Splicers</v>
      </c>
      <c r="D431" s="6" t="str">
        <f>'Inventory master'!D431</f>
        <v>Leviton</v>
      </c>
      <c r="E431" s="10" t="str">
        <f>'Inventory master'!E431</f>
        <v>379.99</v>
      </c>
      <c r="F431" s="10" t="str">
        <f>'Inventory master'!F431</f>
        <v>729.75</v>
      </c>
      <c r="G431" s="10" t="str">
        <f>'Inventory master'!G431</f>
        <v>29</v>
      </c>
      <c r="H431" s="8">
        <f>IFERROR(_xlfn.XLOOKUP(A431, 'Opening stock'!A431:A1030, 'Opening stock'!E431:E1030), "")</f>
        <v>435</v>
      </c>
      <c r="I431" s="8">
        <f>IFERROR(SUMIF(Table3[Item ID],'Inventory calculations'!A431,Table3[Quantity]),0)</f>
        <v>0</v>
      </c>
      <c r="J431" s="8">
        <f>IFERROR(SUMIF(Table4[Item ID],'Inventory calculations'!A431,Table4[Quantity Purchased]),0)</f>
        <v>6</v>
      </c>
      <c r="K431" s="10">
        <f t="shared" si="26"/>
        <v>441</v>
      </c>
      <c r="L431" s="6" t="str">
        <f t="shared" si="27"/>
        <v>OK</v>
      </c>
      <c r="M431" s="13">
        <f t="shared" si="24"/>
        <v>167575.59</v>
      </c>
      <c r="N431" s="8">
        <f>Table5[[#This Row],[Total Qty Sold]]*Table5[[#This Row],[Unit Price]]</f>
        <v>0</v>
      </c>
      <c r="O431" s="9"/>
      <c r="P431" s="40" t="str">
        <f ca="1">IF(Table5[[#This Row],[Last sale Date]]="","Never Sold",TODAY()-Table5[[#This Row],[Last sale Date]])</f>
        <v>Never Sold</v>
      </c>
      <c r="Q431" s="6" t="str">
        <f>IF(Table5[[#This Row],[Re order Level]]&lt;=Table5[[#This Row],[Current stock]],"ORDERASAP","OK BUT BE CHECKING")</f>
        <v>OK BUT BE CHECKING</v>
      </c>
      <c r="R431" s="6" t="str">
        <f t="shared" si="25"/>
        <v>ACTIVE</v>
      </c>
      <c r="S431" s="8">
        <f>IF(Table5[[#This Row],[DEADSTOCK FLAG]]="DEAD",Table5[[#This Row],[Inventory Value]],0)</f>
        <v>0</v>
      </c>
    </row>
    <row r="432" spans="1:19" x14ac:dyDescent="0.25">
      <c r="A432" s="24" t="str">
        <f>'Inventory master'!A432</f>
        <v>ITEM431-A</v>
      </c>
      <c r="B432" s="6" t="str">
        <f>'Inventory master'!B432</f>
        <v>Fusion Splicer</v>
      </c>
      <c r="C432" s="6" t="str">
        <f>'Inventory master'!C432</f>
        <v>Splicers</v>
      </c>
      <c r="D432" s="6" t="str">
        <f>'Inventory master'!D432</f>
        <v>Huber+Suhner</v>
      </c>
      <c r="E432" s="10" t="str">
        <f>'Inventory master'!E432</f>
        <v>720.33</v>
      </c>
      <c r="F432" s="10" t="str">
        <f>'Inventory master'!F432</f>
        <v>905.76</v>
      </c>
      <c r="G432" s="10" t="str">
        <f>'Inventory master'!G432</f>
        <v>41</v>
      </c>
      <c r="H432" s="8">
        <f>IFERROR(_xlfn.XLOOKUP(A432, 'Opening stock'!A432:A1031, 'Opening stock'!E432:E1031), "")</f>
        <v>615</v>
      </c>
      <c r="I432" s="8">
        <f>IFERROR(SUMIF(Table3[Item ID],'Inventory calculations'!A432,Table3[Quantity]),0)</f>
        <v>0</v>
      </c>
      <c r="J432" s="8">
        <f>IFERROR(SUMIF(Table4[Item ID],'Inventory calculations'!A432,Table4[Quantity Purchased]),0)</f>
        <v>4</v>
      </c>
      <c r="K432" s="10">
        <f t="shared" si="26"/>
        <v>619</v>
      </c>
      <c r="L432" s="6" t="str">
        <f t="shared" si="27"/>
        <v>OK</v>
      </c>
      <c r="M432" s="13">
        <f t="shared" si="24"/>
        <v>445884.27</v>
      </c>
      <c r="N432" s="8">
        <f>Table5[[#This Row],[Total Qty Sold]]*Table5[[#This Row],[Unit Price]]</f>
        <v>0</v>
      </c>
      <c r="O432" s="9"/>
      <c r="P432" s="40" t="str">
        <f ca="1">IF(Table5[[#This Row],[Last sale Date]]="","Never Sold",TODAY()-Table5[[#This Row],[Last sale Date]])</f>
        <v>Never Sold</v>
      </c>
      <c r="Q432" s="6" t="str">
        <f>IF(Table5[[#This Row],[Re order Level]]&lt;=Table5[[#This Row],[Current stock]],"ORDERASAP","OK BUT BE CHECKING")</f>
        <v>OK BUT BE CHECKING</v>
      </c>
      <c r="R432" s="6" t="str">
        <f t="shared" si="25"/>
        <v>ACTIVE</v>
      </c>
      <c r="S432" s="8">
        <f>IF(Table5[[#This Row],[DEADSTOCK FLAG]]="DEAD",Table5[[#This Row],[Inventory Value]],0)</f>
        <v>0</v>
      </c>
    </row>
    <row r="433" spans="1:19" x14ac:dyDescent="0.25">
      <c r="A433" s="24" t="str">
        <f>'Inventory master'!A433</f>
        <v>ITEM432-A</v>
      </c>
      <c r="B433" s="6" t="str">
        <f>'Inventory master'!B433</f>
        <v>Multi-Mode Fiber Cable 50m</v>
      </c>
      <c r="C433" s="6" t="str">
        <f>'Inventory master'!C433</f>
        <v>Fiber Optic Cables</v>
      </c>
      <c r="D433" s="6" t="str">
        <f>'Inventory master'!D433</f>
        <v>HellermannTyton</v>
      </c>
      <c r="E433" s="10" t="str">
        <f>'Inventory master'!E433</f>
        <v>1312.99</v>
      </c>
      <c r="F433" s="10" t="str">
        <f>'Inventory master'!F433</f>
        <v>1451.33</v>
      </c>
      <c r="G433" s="10" t="str">
        <f>'Inventory master'!G433</f>
        <v>50</v>
      </c>
      <c r="H433" s="8">
        <f>IFERROR(_xlfn.XLOOKUP(A433, 'Opening stock'!A433:A1032, 'Opening stock'!E433:E1032), "")</f>
        <v>750</v>
      </c>
      <c r="I433" s="8">
        <f>IFERROR(SUMIF(Table3[Item ID],'Inventory calculations'!A433,Table3[Quantity]),0)</f>
        <v>11</v>
      </c>
      <c r="J433" s="8">
        <f>IFERROR(SUMIF(Table4[Item ID],'Inventory calculations'!A433,Table4[Quantity Purchased]),0)</f>
        <v>6</v>
      </c>
      <c r="K433" s="10">
        <f t="shared" si="26"/>
        <v>745</v>
      </c>
      <c r="L433" s="6" t="str">
        <f t="shared" si="27"/>
        <v>OK</v>
      </c>
      <c r="M433" s="13">
        <f t="shared" si="24"/>
        <v>978177.55</v>
      </c>
      <c r="N433" s="8">
        <f>Table5[[#This Row],[Total Qty Sold]]*Table5[[#This Row],[Unit Price]]</f>
        <v>15964.63</v>
      </c>
      <c r="O433" s="9">
        <f>IFERROR(_xlfn.MAXIFS(Table3[Date],Table3[Item ID],Table5[[#This Row],[Item ID]]),"")</f>
        <v>45874</v>
      </c>
      <c r="P433" s="40">
        <f ca="1">IF(Table5[[#This Row],[Last sale Date]]="","Never Sold",TODAY()-Table5[[#This Row],[Last sale Date]])</f>
        <v>178</v>
      </c>
      <c r="Q433" s="6" t="str">
        <f>IF(Table5[[#This Row],[Re order Level]]&lt;=Table5[[#This Row],[Current stock]],"ORDERASAP","OK BUT BE CHECKING")</f>
        <v>OK BUT BE CHECKING</v>
      </c>
      <c r="R433" s="6" t="str">
        <f t="shared" si="25"/>
        <v>ACTIVE</v>
      </c>
      <c r="S433" s="8">
        <f>IF(Table5[[#This Row],[DEADSTOCK FLAG]]="DEAD",Table5[[#This Row],[Inventory Value]],0)</f>
        <v>0</v>
      </c>
    </row>
    <row r="434" spans="1:19" x14ac:dyDescent="0.25">
      <c r="A434" s="24" t="str">
        <f>'Inventory master'!A434</f>
        <v>ITEM433-A</v>
      </c>
      <c r="B434" s="6" t="str">
        <f>'Inventory master'!B434</f>
        <v>Armored Fiber Cable 50m</v>
      </c>
      <c r="C434" s="6" t="str">
        <f>'Inventory master'!C434</f>
        <v>Fiber Optic Cables</v>
      </c>
      <c r="D434" s="6" t="str">
        <f>'Inventory master'!D434</f>
        <v>Leviton</v>
      </c>
      <c r="E434" s="10" t="str">
        <f>'Inventory master'!E434</f>
        <v>581.54</v>
      </c>
      <c r="F434" s="10" t="str">
        <f>'Inventory master'!F434</f>
        <v>878.52</v>
      </c>
      <c r="G434" s="10" t="str">
        <f>'Inventory master'!G434</f>
        <v>25</v>
      </c>
      <c r="H434" s="8">
        <f>IFERROR(_xlfn.XLOOKUP(A434, 'Opening stock'!A434:A1033, 'Opening stock'!E434:E1033), "")</f>
        <v>375</v>
      </c>
      <c r="I434" s="8">
        <f>IFERROR(SUMIF(Table3[Item ID],'Inventory calculations'!A434,Table3[Quantity]),0)</f>
        <v>0</v>
      </c>
      <c r="J434" s="8">
        <f>IFERROR(SUMIF(Table4[Item ID],'Inventory calculations'!A434,Table4[Quantity Purchased]),0)</f>
        <v>0</v>
      </c>
      <c r="K434" s="10">
        <f t="shared" si="26"/>
        <v>375</v>
      </c>
      <c r="L434" s="6" t="str">
        <f t="shared" si="27"/>
        <v>OK</v>
      </c>
      <c r="M434" s="13">
        <f t="shared" si="24"/>
        <v>218077.5</v>
      </c>
      <c r="N434" s="8">
        <f>Table5[[#This Row],[Total Qty Sold]]*Table5[[#This Row],[Unit Price]]</f>
        <v>0</v>
      </c>
      <c r="O434" s="9"/>
      <c r="P434" s="40" t="str">
        <f ca="1">IF(Table5[[#This Row],[Last sale Date]]="","Never Sold",TODAY()-Table5[[#This Row],[Last sale Date]])</f>
        <v>Never Sold</v>
      </c>
      <c r="Q434" s="6" t="str">
        <f>IF(Table5[[#This Row],[Re order Level]]&lt;=Table5[[#This Row],[Current stock]],"ORDERASAP","OK BUT BE CHECKING")</f>
        <v>OK BUT BE CHECKING</v>
      </c>
      <c r="R434" s="6" t="str">
        <f t="shared" si="25"/>
        <v>ACTIVE</v>
      </c>
      <c r="S434" s="8">
        <f>IF(Table5[[#This Row],[DEADSTOCK FLAG]]="DEAD",Table5[[#This Row],[Inventory Value]],0)</f>
        <v>0</v>
      </c>
    </row>
    <row r="435" spans="1:19" x14ac:dyDescent="0.25">
      <c r="A435" s="24" t="str">
        <f>'Inventory master'!A435</f>
        <v>ITEM434-A</v>
      </c>
      <c r="B435" s="6" t="str">
        <f>'Inventory master'!B435</f>
        <v>1x2 PLC Splitter</v>
      </c>
      <c r="C435" s="6" t="str">
        <f>'Inventory master'!C435</f>
        <v>Splitters</v>
      </c>
      <c r="D435" s="6" t="str">
        <f>'Inventory master'!D435</f>
        <v>Corning Inc.</v>
      </c>
      <c r="E435" s="10" t="str">
        <f>'Inventory master'!E435</f>
        <v>363.35</v>
      </c>
      <c r="F435" s="10" t="str">
        <f>'Inventory master'!F435</f>
        <v>703.74</v>
      </c>
      <c r="G435" s="10" t="str">
        <f>'Inventory master'!G435</f>
        <v>91</v>
      </c>
      <c r="H435" s="8">
        <f>IFERROR(_xlfn.XLOOKUP(A435, 'Opening stock'!A435:A1034, 'Opening stock'!E435:E1034), "")</f>
        <v>1365</v>
      </c>
      <c r="I435" s="8">
        <f>IFERROR(SUMIF(Table3[Item ID],'Inventory calculations'!A435,Table3[Quantity]),0)</f>
        <v>0</v>
      </c>
      <c r="J435" s="8">
        <f>IFERROR(SUMIF(Table4[Item ID],'Inventory calculations'!A435,Table4[Quantity Purchased]),0)</f>
        <v>39</v>
      </c>
      <c r="K435" s="10">
        <f t="shared" si="26"/>
        <v>1404</v>
      </c>
      <c r="L435" s="6" t="str">
        <f t="shared" si="27"/>
        <v>OK</v>
      </c>
      <c r="M435" s="13">
        <f t="shared" si="24"/>
        <v>510143.4</v>
      </c>
      <c r="N435" s="8">
        <f>Table5[[#This Row],[Total Qty Sold]]*Table5[[#This Row],[Unit Price]]</f>
        <v>0</v>
      </c>
      <c r="O435" s="9"/>
      <c r="P435" s="40" t="str">
        <f ca="1">IF(Table5[[#This Row],[Last sale Date]]="","Never Sold",TODAY()-Table5[[#This Row],[Last sale Date]])</f>
        <v>Never Sold</v>
      </c>
      <c r="Q435" s="6" t="str">
        <f>IF(Table5[[#This Row],[Re order Level]]&lt;=Table5[[#This Row],[Current stock]],"ORDERASAP","OK BUT BE CHECKING")</f>
        <v>OK BUT BE CHECKING</v>
      </c>
      <c r="R435" s="6" t="str">
        <f t="shared" si="25"/>
        <v>ACTIVE</v>
      </c>
      <c r="S435" s="8">
        <f>IF(Table5[[#This Row],[DEADSTOCK FLAG]]="DEAD",Table5[[#This Row],[Inventory Value]],0)</f>
        <v>0</v>
      </c>
    </row>
    <row r="436" spans="1:19" x14ac:dyDescent="0.25">
      <c r="A436" s="24" t="str">
        <f>'Inventory master'!A436</f>
        <v>ITEM435-A</v>
      </c>
      <c r="B436" s="6" t="str">
        <f>'Inventory master'!B436</f>
        <v>Rack-Mount Enclosure</v>
      </c>
      <c r="C436" s="6" t="str">
        <f>'Inventory master'!C436</f>
        <v>Enclosures</v>
      </c>
      <c r="D436" s="6" t="str">
        <f>'Inventory master'!D436</f>
        <v>Corning Inc.</v>
      </c>
      <c r="E436" s="10" t="str">
        <f>'Inventory master'!E436</f>
        <v>542.86</v>
      </c>
      <c r="F436" s="10" t="str">
        <f>'Inventory master'!F436</f>
        <v>1018.45</v>
      </c>
      <c r="G436" s="10" t="str">
        <f>'Inventory master'!G436</f>
        <v>25</v>
      </c>
      <c r="H436" s="8">
        <f>IFERROR(_xlfn.XLOOKUP(A436, 'Opening stock'!A436:A1035, 'Opening stock'!E436:E1035), "")</f>
        <v>375</v>
      </c>
      <c r="I436" s="8">
        <f>IFERROR(SUMIF(Table3[Item ID],'Inventory calculations'!A436,Table3[Quantity]),0)</f>
        <v>0</v>
      </c>
      <c r="J436" s="8">
        <f>IFERROR(SUMIF(Table4[Item ID],'Inventory calculations'!A436,Table4[Quantity Purchased]),0)</f>
        <v>14</v>
      </c>
      <c r="K436" s="10">
        <f t="shared" si="26"/>
        <v>389</v>
      </c>
      <c r="L436" s="6" t="str">
        <f t="shared" si="27"/>
        <v>OK</v>
      </c>
      <c r="M436" s="13">
        <f t="shared" si="24"/>
        <v>211172.54</v>
      </c>
      <c r="N436" s="8">
        <f>Table5[[#This Row],[Total Qty Sold]]*Table5[[#This Row],[Unit Price]]</f>
        <v>0</v>
      </c>
      <c r="O436" s="9"/>
      <c r="P436" s="40" t="str">
        <f ca="1">IF(Table5[[#This Row],[Last sale Date]]="","Never Sold",TODAY()-Table5[[#This Row],[Last sale Date]])</f>
        <v>Never Sold</v>
      </c>
      <c r="Q436" s="6" t="str">
        <f>IF(Table5[[#This Row],[Re order Level]]&lt;=Table5[[#This Row],[Current stock]],"ORDERASAP","OK BUT BE CHECKING")</f>
        <v>OK BUT BE CHECKING</v>
      </c>
      <c r="R436" s="6" t="str">
        <f t="shared" si="25"/>
        <v>ACTIVE</v>
      </c>
      <c r="S436" s="8">
        <f>IF(Table5[[#This Row],[DEADSTOCK FLAG]]="DEAD",Table5[[#This Row],[Inventory Value]],0)</f>
        <v>0</v>
      </c>
    </row>
    <row r="437" spans="1:19" x14ac:dyDescent="0.25">
      <c r="A437" s="24" t="str">
        <f>'Inventory master'!A437</f>
        <v>ITEM436-A</v>
      </c>
      <c r="B437" s="6" t="str">
        <f>'Inventory master'!B437</f>
        <v>Dome Enclosure</v>
      </c>
      <c r="C437" s="6" t="str">
        <f>'Inventory master'!C437</f>
        <v>Enclosures</v>
      </c>
      <c r="D437" s="6" t="str">
        <f>'Inventory master'!D437</f>
        <v>CommScope</v>
      </c>
      <c r="E437" s="10" t="str">
        <f>'Inventory master'!E437</f>
        <v>1640.74</v>
      </c>
      <c r="F437" s="10" t="str">
        <f>'Inventory master'!F437</f>
        <v>2140.1</v>
      </c>
      <c r="G437" s="10" t="str">
        <f>'Inventory master'!G437</f>
        <v>96</v>
      </c>
      <c r="H437" s="8">
        <f>IFERROR(_xlfn.XLOOKUP(A437, 'Opening stock'!A437:A1036, 'Opening stock'!E437:E1036), "")</f>
        <v>1440</v>
      </c>
      <c r="I437" s="8">
        <f>IFERROR(SUMIF(Table3[Item ID],'Inventory calculations'!A437,Table3[Quantity]),0)</f>
        <v>141</v>
      </c>
      <c r="J437" s="8">
        <f>IFERROR(SUMIF(Table4[Item ID],'Inventory calculations'!A437,Table4[Quantity Purchased]),0)</f>
        <v>0</v>
      </c>
      <c r="K437" s="10">
        <f t="shared" si="26"/>
        <v>1299</v>
      </c>
      <c r="L437" s="6" t="str">
        <f t="shared" si="27"/>
        <v>OK</v>
      </c>
      <c r="M437" s="13">
        <f t="shared" si="24"/>
        <v>2131321.2600000002</v>
      </c>
      <c r="N437" s="8">
        <f>Table5[[#This Row],[Total Qty Sold]]*Table5[[#This Row],[Unit Price]]</f>
        <v>301754.09999999998</v>
      </c>
      <c r="O437" s="9">
        <f>IFERROR(_xlfn.MAXIFS(Table3[Date],Table3[Item ID],Table5[[#This Row],[Item ID]]),"")</f>
        <v>45633</v>
      </c>
      <c r="P437" s="40">
        <f ca="1">IF(Table5[[#This Row],[Last sale Date]]="","Never Sold",TODAY()-Table5[[#This Row],[Last sale Date]])</f>
        <v>419</v>
      </c>
      <c r="Q437" s="6" t="str">
        <f>IF(Table5[[#This Row],[Re order Level]]&lt;=Table5[[#This Row],[Current stock]],"ORDERASAP","OK BUT BE CHECKING")</f>
        <v>OK BUT BE CHECKING</v>
      </c>
      <c r="R437" s="6" t="str">
        <f t="shared" si="25"/>
        <v>ACTIVE</v>
      </c>
      <c r="S437" s="8">
        <f>IF(Table5[[#This Row],[DEADSTOCK FLAG]]="DEAD",Table5[[#This Row],[Inventory Value]],0)</f>
        <v>0</v>
      </c>
    </row>
    <row r="438" spans="1:19" x14ac:dyDescent="0.25">
      <c r="A438" s="24" t="str">
        <f>'Inventory master'!A438</f>
        <v>ITEM437-A</v>
      </c>
      <c r="B438" s="6" t="str">
        <f>'Inventory master'!B438</f>
        <v>24-Port Fiber Patch Panel</v>
      </c>
      <c r="C438" s="6" t="str">
        <f>'Inventory master'!C438</f>
        <v>Patch Panels</v>
      </c>
      <c r="D438" s="6" t="str">
        <f>'Inventory master'!D438</f>
        <v>HellermannTyton</v>
      </c>
      <c r="E438" s="10" t="str">
        <f>'Inventory master'!E438</f>
        <v>1524.06</v>
      </c>
      <c r="F438" s="10" t="str">
        <f>'Inventory master'!F438</f>
        <v>2042.84</v>
      </c>
      <c r="G438" s="10" t="str">
        <f>'Inventory master'!G438</f>
        <v>88</v>
      </c>
      <c r="H438" s="8">
        <f>IFERROR(_xlfn.XLOOKUP(A438, 'Opening stock'!A438:A1037, 'Opening stock'!E438:E1037), "")</f>
        <v>1320</v>
      </c>
      <c r="I438" s="8">
        <f>IFERROR(SUMIF(Table3[Item ID],'Inventory calculations'!A438,Table3[Quantity]),0)</f>
        <v>0</v>
      </c>
      <c r="J438" s="8">
        <f>IFERROR(SUMIF(Table4[Item ID],'Inventory calculations'!A438,Table4[Quantity Purchased]),0)</f>
        <v>2</v>
      </c>
      <c r="K438" s="10">
        <f t="shared" si="26"/>
        <v>1322</v>
      </c>
      <c r="L438" s="6" t="str">
        <f t="shared" si="27"/>
        <v>OK</v>
      </c>
      <c r="M438" s="13">
        <f t="shared" si="24"/>
        <v>2014807.3199999998</v>
      </c>
      <c r="N438" s="8">
        <f>Table5[[#This Row],[Total Qty Sold]]*Table5[[#This Row],[Unit Price]]</f>
        <v>0</v>
      </c>
      <c r="O438" s="9"/>
      <c r="P438" s="40" t="str">
        <f ca="1">IF(Table5[[#This Row],[Last sale Date]]="","Never Sold",TODAY()-Table5[[#This Row],[Last sale Date]])</f>
        <v>Never Sold</v>
      </c>
      <c r="Q438" s="6" t="str">
        <f>IF(Table5[[#This Row],[Re order Level]]&lt;=Table5[[#This Row],[Current stock]],"ORDERASAP","OK BUT BE CHECKING")</f>
        <v>OK BUT BE CHECKING</v>
      </c>
      <c r="R438" s="6" t="str">
        <f t="shared" si="25"/>
        <v>ACTIVE</v>
      </c>
      <c r="S438" s="8">
        <f>IF(Table5[[#This Row],[DEADSTOCK FLAG]]="DEAD",Table5[[#This Row],[Inventory Value]],0)</f>
        <v>0</v>
      </c>
    </row>
    <row r="439" spans="1:19" x14ac:dyDescent="0.25">
      <c r="A439" s="24" t="str">
        <f>'Inventory master'!A439</f>
        <v>ITEM438-A</v>
      </c>
      <c r="B439" s="6" t="str">
        <f>'Inventory master'!B439</f>
        <v>Fiber Pigtail</v>
      </c>
      <c r="C439" s="6" t="str">
        <f>'Inventory master'!C439</f>
        <v>Accessories</v>
      </c>
      <c r="D439" s="6" t="str">
        <f>'Inventory master'!D439</f>
        <v>CommScope</v>
      </c>
      <c r="E439" s="10" t="str">
        <f>'Inventory master'!E439</f>
        <v>1229.0</v>
      </c>
      <c r="F439" s="10" t="str">
        <f>'Inventory master'!F439</f>
        <v>2344.92</v>
      </c>
      <c r="G439" s="10" t="str">
        <f>'Inventory master'!G439</f>
        <v>16</v>
      </c>
      <c r="H439" s="8">
        <f>IFERROR(_xlfn.XLOOKUP(A439, 'Opening stock'!A439:A1038, 'Opening stock'!E439:E1038), "")</f>
        <v>240</v>
      </c>
      <c r="I439" s="8">
        <f>IFERROR(SUMIF(Table3[Item ID],'Inventory calculations'!A439,Table3[Quantity]),0)</f>
        <v>0</v>
      </c>
      <c r="J439" s="8">
        <f>IFERROR(SUMIF(Table4[Item ID],'Inventory calculations'!A439,Table4[Quantity Purchased]),0)</f>
        <v>6</v>
      </c>
      <c r="K439" s="10">
        <f t="shared" si="26"/>
        <v>246</v>
      </c>
      <c r="L439" s="6" t="str">
        <f t="shared" si="27"/>
        <v>OK</v>
      </c>
      <c r="M439" s="13">
        <f t="shared" si="24"/>
        <v>302334</v>
      </c>
      <c r="N439" s="8">
        <f>Table5[[#This Row],[Total Qty Sold]]*Table5[[#This Row],[Unit Price]]</f>
        <v>0</v>
      </c>
      <c r="O439" s="9"/>
      <c r="P439" s="40" t="str">
        <f ca="1">IF(Table5[[#This Row],[Last sale Date]]="","Never Sold",TODAY()-Table5[[#This Row],[Last sale Date]])</f>
        <v>Never Sold</v>
      </c>
      <c r="Q439" s="6" t="str">
        <f>IF(Table5[[#This Row],[Re order Level]]&lt;=Table5[[#This Row],[Current stock]],"ORDERASAP","OK BUT BE CHECKING")</f>
        <v>OK BUT BE CHECKING</v>
      </c>
      <c r="R439" s="6" t="str">
        <f t="shared" si="25"/>
        <v>ACTIVE</v>
      </c>
      <c r="S439" s="8">
        <f>IF(Table5[[#This Row],[DEADSTOCK FLAG]]="DEAD",Table5[[#This Row],[Inventory Value]],0)</f>
        <v>0</v>
      </c>
    </row>
    <row r="440" spans="1:19" x14ac:dyDescent="0.25">
      <c r="A440" s="24" t="str">
        <f>'Inventory master'!A440</f>
        <v>ITEM439-A</v>
      </c>
      <c r="B440" s="6" t="str">
        <f>'Inventory master'!B440</f>
        <v>Pedestal Enclosure</v>
      </c>
      <c r="C440" s="6" t="str">
        <f>'Inventory master'!C440</f>
        <v>Enclosures</v>
      </c>
      <c r="D440" s="6" t="str">
        <f>'Inventory master'!D440</f>
        <v>Corning Inc.</v>
      </c>
      <c r="E440" s="10" t="str">
        <f>'Inventory master'!E440</f>
        <v>876.83</v>
      </c>
      <c r="F440" s="10" t="str">
        <f>'Inventory master'!F440</f>
        <v>1105.21</v>
      </c>
      <c r="G440" s="10" t="str">
        <f>'Inventory master'!G440</f>
        <v>90</v>
      </c>
      <c r="H440" s="8">
        <f>IFERROR(_xlfn.XLOOKUP(A440, 'Opening stock'!A440:A1039, 'Opening stock'!E440:E1039), "")</f>
        <v>1350</v>
      </c>
      <c r="I440" s="8">
        <f>IFERROR(SUMIF(Table3[Item ID],'Inventory calculations'!A440,Table3[Quantity]),0)</f>
        <v>0</v>
      </c>
      <c r="J440" s="8">
        <f>IFERROR(SUMIF(Table4[Item ID],'Inventory calculations'!A440,Table4[Quantity Purchased]),0)</f>
        <v>2</v>
      </c>
      <c r="K440" s="10">
        <f t="shared" si="26"/>
        <v>1352</v>
      </c>
      <c r="L440" s="6" t="str">
        <f t="shared" si="27"/>
        <v>OK</v>
      </c>
      <c r="M440" s="13">
        <f t="shared" si="24"/>
        <v>1185474.1600000001</v>
      </c>
      <c r="N440" s="8">
        <f>Table5[[#This Row],[Total Qty Sold]]*Table5[[#This Row],[Unit Price]]</f>
        <v>0</v>
      </c>
      <c r="O440" s="9"/>
      <c r="P440" s="40" t="str">
        <f ca="1">IF(Table5[[#This Row],[Last sale Date]]="","Never Sold",TODAY()-Table5[[#This Row],[Last sale Date]])</f>
        <v>Never Sold</v>
      </c>
      <c r="Q440" s="6" t="str">
        <f>IF(Table5[[#This Row],[Re order Level]]&lt;=Table5[[#This Row],[Current stock]],"ORDERASAP","OK BUT BE CHECKING")</f>
        <v>OK BUT BE CHECKING</v>
      </c>
      <c r="R440" s="6" t="str">
        <f t="shared" si="25"/>
        <v>ACTIVE</v>
      </c>
      <c r="S440" s="8">
        <f>IF(Table5[[#This Row],[DEADSTOCK FLAG]]="DEAD",Table5[[#This Row],[Inventory Value]],0)</f>
        <v>0</v>
      </c>
    </row>
    <row r="441" spans="1:19" x14ac:dyDescent="0.25">
      <c r="A441" s="24" t="str">
        <f>'Inventory master'!A441</f>
        <v>ITEM440-A</v>
      </c>
      <c r="B441" s="6" t="str">
        <f>'Inventory master'!B441</f>
        <v>Fixed Attenuator 3dB</v>
      </c>
      <c r="C441" s="6" t="str">
        <f>'Inventory master'!C441</f>
        <v>Attenuators</v>
      </c>
      <c r="D441" s="6" t="str">
        <f>'Inventory master'!D441</f>
        <v>Amphenol</v>
      </c>
      <c r="E441" s="10" t="str">
        <f>'Inventory master'!E441</f>
        <v>1698.99</v>
      </c>
      <c r="F441" s="10" t="str">
        <f>'Inventory master'!F441</f>
        <v>3023.1</v>
      </c>
      <c r="G441" s="10" t="str">
        <f>'Inventory master'!G441</f>
        <v>36</v>
      </c>
      <c r="H441" s="8">
        <f>IFERROR(_xlfn.XLOOKUP(A441, 'Opening stock'!A441:A1040, 'Opening stock'!E441:E1040), "")</f>
        <v>540</v>
      </c>
      <c r="I441" s="8">
        <f>IFERROR(SUMIF(Table3[Item ID],'Inventory calculations'!A441,Table3[Quantity]),0)</f>
        <v>0</v>
      </c>
      <c r="J441" s="8">
        <f>IFERROR(SUMIF(Table4[Item ID],'Inventory calculations'!A441,Table4[Quantity Purchased]),0)</f>
        <v>9</v>
      </c>
      <c r="K441" s="10">
        <f t="shared" si="26"/>
        <v>549</v>
      </c>
      <c r="L441" s="6" t="str">
        <f t="shared" si="27"/>
        <v>OK</v>
      </c>
      <c r="M441" s="13">
        <f t="shared" si="24"/>
        <v>932745.51</v>
      </c>
      <c r="N441" s="8">
        <f>Table5[[#This Row],[Total Qty Sold]]*Table5[[#This Row],[Unit Price]]</f>
        <v>0</v>
      </c>
      <c r="O441" s="9"/>
      <c r="P441" s="40" t="str">
        <f ca="1">IF(Table5[[#This Row],[Last sale Date]]="","Never Sold",TODAY()-Table5[[#This Row],[Last sale Date]])</f>
        <v>Never Sold</v>
      </c>
      <c r="Q441" s="6" t="str">
        <f>IF(Table5[[#This Row],[Re order Level]]&lt;=Table5[[#This Row],[Current stock]],"ORDERASAP","OK BUT BE CHECKING")</f>
        <v>OK BUT BE CHECKING</v>
      </c>
      <c r="R441" s="6" t="str">
        <f t="shared" si="25"/>
        <v>ACTIVE</v>
      </c>
      <c r="S441" s="8">
        <f>IF(Table5[[#This Row],[DEADSTOCK FLAG]]="DEAD",Table5[[#This Row],[Inventory Value]],0)</f>
        <v>0</v>
      </c>
    </row>
    <row r="442" spans="1:19" x14ac:dyDescent="0.25">
      <c r="A442" s="24" t="str">
        <f>'Inventory master'!A442</f>
        <v>ITEM441-A</v>
      </c>
      <c r="B442" s="6" t="str">
        <f>'Inventory master'!B442</f>
        <v>Mechanical Splicer</v>
      </c>
      <c r="C442" s="6" t="str">
        <f>'Inventory master'!C442</f>
        <v>Splicers</v>
      </c>
      <c r="D442" s="6" t="str">
        <f>'Inventory master'!D442</f>
        <v>Huber+Suhner</v>
      </c>
      <c r="E442" s="10" t="str">
        <f>'Inventory master'!E442</f>
        <v>1910.38</v>
      </c>
      <c r="F442" s="10" t="str">
        <f>'Inventory master'!F442</f>
        <v>3350.42</v>
      </c>
      <c r="G442" s="10" t="str">
        <f>'Inventory master'!G442</f>
        <v>56</v>
      </c>
      <c r="H442" s="8">
        <f>IFERROR(_xlfn.XLOOKUP(A442, 'Opening stock'!A442:A1041, 'Opening stock'!E442:E1041), "")</f>
        <v>840</v>
      </c>
      <c r="I442" s="8">
        <f>IFERROR(SUMIF(Table3[Item ID],'Inventory calculations'!A442,Table3[Quantity]),0)</f>
        <v>0</v>
      </c>
      <c r="J442" s="8">
        <f>IFERROR(SUMIF(Table4[Item ID],'Inventory calculations'!A442,Table4[Quantity Purchased]),0)</f>
        <v>17</v>
      </c>
      <c r="K442" s="10">
        <f t="shared" si="26"/>
        <v>857</v>
      </c>
      <c r="L442" s="6" t="str">
        <f t="shared" si="27"/>
        <v>OK</v>
      </c>
      <c r="M442" s="13">
        <f t="shared" si="24"/>
        <v>1637195.6600000001</v>
      </c>
      <c r="N442" s="8">
        <f>Table5[[#This Row],[Total Qty Sold]]*Table5[[#This Row],[Unit Price]]</f>
        <v>0</v>
      </c>
      <c r="O442" s="9"/>
      <c r="P442" s="40" t="str">
        <f ca="1">IF(Table5[[#This Row],[Last sale Date]]="","Never Sold",TODAY()-Table5[[#This Row],[Last sale Date]])</f>
        <v>Never Sold</v>
      </c>
      <c r="Q442" s="6" t="str">
        <f>IF(Table5[[#This Row],[Re order Level]]&lt;=Table5[[#This Row],[Current stock]],"ORDERASAP","OK BUT BE CHECKING")</f>
        <v>OK BUT BE CHECKING</v>
      </c>
      <c r="R442" s="6" t="str">
        <f t="shared" si="25"/>
        <v>ACTIVE</v>
      </c>
      <c r="S442" s="8">
        <f>IF(Table5[[#This Row],[DEADSTOCK FLAG]]="DEAD",Table5[[#This Row],[Inventory Value]],0)</f>
        <v>0</v>
      </c>
    </row>
    <row r="443" spans="1:19" x14ac:dyDescent="0.25">
      <c r="A443" s="24" t="str">
        <f>'Inventory master'!A443</f>
        <v>ITEM442-A</v>
      </c>
      <c r="B443" s="6" t="str">
        <f>'Inventory master'!B443</f>
        <v>Pedestal Enclosure</v>
      </c>
      <c r="C443" s="6" t="str">
        <f>'Inventory master'!C443</f>
        <v>Enclosures</v>
      </c>
      <c r="D443" s="6" t="str">
        <f>'Inventory master'!D443</f>
        <v>HellermannTyton</v>
      </c>
      <c r="E443" s="10" t="str">
        <f>'Inventory master'!E443</f>
        <v>1420.61</v>
      </c>
      <c r="F443" s="10" t="str">
        <f>'Inventory master'!F443</f>
        <v>1626.44</v>
      </c>
      <c r="G443" s="10" t="str">
        <f>'Inventory master'!G443</f>
        <v>99</v>
      </c>
      <c r="H443" s="8">
        <f>IFERROR(_xlfn.XLOOKUP(A443, 'Opening stock'!A443:A1042, 'Opening stock'!E443:E1042), "")</f>
        <v>1485</v>
      </c>
      <c r="I443" s="8">
        <f>IFERROR(SUMIF(Table3[Item ID],'Inventory calculations'!A443,Table3[Quantity]),0)</f>
        <v>0</v>
      </c>
      <c r="J443" s="8">
        <f>IFERROR(SUMIF(Table4[Item ID],'Inventory calculations'!A443,Table4[Quantity Purchased]),0)</f>
        <v>0</v>
      </c>
      <c r="K443" s="10">
        <f t="shared" si="26"/>
        <v>1485</v>
      </c>
      <c r="L443" s="6" t="str">
        <f t="shared" si="27"/>
        <v>OK</v>
      </c>
      <c r="M443" s="13">
        <f t="shared" si="24"/>
        <v>2109605.8499999996</v>
      </c>
      <c r="N443" s="8">
        <f>Table5[[#This Row],[Total Qty Sold]]*Table5[[#This Row],[Unit Price]]</f>
        <v>0</v>
      </c>
      <c r="O443" s="9"/>
      <c r="P443" s="40" t="str">
        <f ca="1">IF(Table5[[#This Row],[Last sale Date]]="","Never Sold",TODAY()-Table5[[#This Row],[Last sale Date]])</f>
        <v>Never Sold</v>
      </c>
      <c r="Q443" s="6" t="str">
        <f>IF(Table5[[#This Row],[Re order Level]]&lt;=Table5[[#This Row],[Current stock]],"ORDERASAP","OK BUT BE CHECKING")</f>
        <v>OK BUT BE CHECKING</v>
      </c>
      <c r="R443" s="6" t="str">
        <f t="shared" si="25"/>
        <v>ACTIVE</v>
      </c>
      <c r="S443" s="8">
        <f>IF(Table5[[#This Row],[DEADSTOCK FLAG]]="DEAD",Table5[[#This Row],[Inventory Value]],0)</f>
        <v>0</v>
      </c>
    </row>
    <row r="444" spans="1:19" x14ac:dyDescent="0.25">
      <c r="A444" s="24" t="str">
        <f>'Inventory master'!A444</f>
        <v>ITEM443-A</v>
      </c>
      <c r="B444" s="6" t="str">
        <f>'Inventory master'!B444</f>
        <v>48-Port Fiber Patch Panel</v>
      </c>
      <c r="C444" s="6" t="str">
        <f>'Inventory master'!C444</f>
        <v>Patch Panels</v>
      </c>
      <c r="D444" s="6" t="str">
        <f>'Inventory master'!D444</f>
        <v>AFL</v>
      </c>
      <c r="E444" s="10" t="str">
        <f>'Inventory master'!E444</f>
        <v>1983.66</v>
      </c>
      <c r="F444" s="10" t="str">
        <f>'Inventory master'!F444</f>
        <v>2582.74</v>
      </c>
      <c r="G444" s="10" t="str">
        <f>'Inventory master'!G444</f>
        <v>16</v>
      </c>
      <c r="H444" s="8">
        <f>IFERROR(_xlfn.XLOOKUP(A444, 'Opening stock'!A444:A1043, 'Opening stock'!E444:E1043), "")</f>
        <v>240</v>
      </c>
      <c r="I444" s="8">
        <f>IFERROR(SUMIF(Table3[Item ID],'Inventory calculations'!A444,Table3[Quantity]),0)</f>
        <v>0</v>
      </c>
      <c r="J444" s="8">
        <f>IFERROR(SUMIF(Table4[Item ID],'Inventory calculations'!A444,Table4[Quantity Purchased]),0)</f>
        <v>0</v>
      </c>
      <c r="K444" s="10">
        <f t="shared" si="26"/>
        <v>240</v>
      </c>
      <c r="L444" s="6" t="str">
        <f t="shared" si="27"/>
        <v>OK</v>
      </c>
      <c r="M444" s="13">
        <f t="shared" si="24"/>
        <v>476078.4</v>
      </c>
      <c r="N444" s="8">
        <f>Table5[[#This Row],[Total Qty Sold]]*Table5[[#This Row],[Unit Price]]</f>
        <v>0</v>
      </c>
      <c r="O444" s="9"/>
      <c r="P444" s="40" t="str">
        <f ca="1">IF(Table5[[#This Row],[Last sale Date]]="","Never Sold",TODAY()-Table5[[#This Row],[Last sale Date]])</f>
        <v>Never Sold</v>
      </c>
      <c r="Q444" s="6" t="str">
        <f>IF(Table5[[#This Row],[Re order Level]]&lt;=Table5[[#This Row],[Current stock]],"ORDERASAP","OK BUT BE CHECKING")</f>
        <v>OK BUT BE CHECKING</v>
      </c>
      <c r="R444" s="6" t="str">
        <f t="shared" si="25"/>
        <v>ACTIVE</v>
      </c>
      <c r="S444" s="8">
        <f>IF(Table5[[#This Row],[DEADSTOCK FLAG]]="DEAD",Table5[[#This Row],[Inventory Value]],0)</f>
        <v>0</v>
      </c>
    </row>
    <row r="445" spans="1:19" x14ac:dyDescent="0.25">
      <c r="A445" s="24" t="str">
        <f>'Inventory master'!A445</f>
        <v>ITEM444-A</v>
      </c>
      <c r="B445" s="6" t="str">
        <f>'Inventory master'!B445</f>
        <v>Fiber Jumper</v>
      </c>
      <c r="C445" s="6" t="str">
        <f>'Inventory master'!C445</f>
        <v>Accessories</v>
      </c>
      <c r="D445" s="6" t="str">
        <f>'Inventory master'!D445</f>
        <v>AFL</v>
      </c>
      <c r="E445" s="10" t="str">
        <f>'Inventory master'!E445</f>
        <v>911.28</v>
      </c>
      <c r="F445" s="10" t="str">
        <f>'Inventory master'!F445</f>
        <v>1486.67</v>
      </c>
      <c r="G445" s="10" t="str">
        <f>'Inventory master'!G445</f>
        <v>64</v>
      </c>
      <c r="H445" s="8">
        <f>IFERROR(_xlfn.XLOOKUP(A445, 'Opening stock'!A445:A1044, 'Opening stock'!E445:E1044), "")</f>
        <v>960</v>
      </c>
      <c r="I445" s="8">
        <f>IFERROR(SUMIF(Table3[Item ID],'Inventory calculations'!A445,Table3[Quantity]),0)</f>
        <v>0</v>
      </c>
      <c r="J445" s="8">
        <f>IFERROR(SUMIF(Table4[Item ID],'Inventory calculations'!A445,Table4[Quantity Purchased]),0)</f>
        <v>0</v>
      </c>
      <c r="K445" s="10">
        <f t="shared" si="26"/>
        <v>960</v>
      </c>
      <c r="L445" s="6" t="str">
        <f t="shared" si="27"/>
        <v>OK</v>
      </c>
      <c r="M445" s="13">
        <f t="shared" si="24"/>
        <v>874828.79999999993</v>
      </c>
      <c r="N445" s="8">
        <f>Table5[[#This Row],[Total Qty Sold]]*Table5[[#This Row],[Unit Price]]</f>
        <v>0</v>
      </c>
      <c r="O445" s="9"/>
      <c r="P445" s="40" t="str">
        <f ca="1">IF(Table5[[#This Row],[Last sale Date]]="","Never Sold",TODAY()-Table5[[#This Row],[Last sale Date]])</f>
        <v>Never Sold</v>
      </c>
      <c r="Q445" s="6" t="str">
        <f>IF(Table5[[#This Row],[Re order Level]]&lt;=Table5[[#This Row],[Current stock]],"ORDERASAP","OK BUT BE CHECKING")</f>
        <v>OK BUT BE CHECKING</v>
      </c>
      <c r="R445" s="6" t="str">
        <f t="shared" si="25"/>
        <v>ACTIVE</v>
      </c>
      <c r="S445" s="8">
        <f>IF(Table5[[#This Row],[DEADSTOCK FLAG]]="DEAD",Table5[[#This Row],[Inventory Value]],0)</f>
        <v>0</v>
      </c>
    </row>
    <row r="446" spans="1:19" x14ac:dyDescent="0.25">
      <c r="A446" s="24" t="str">
        <f>'Inventory master'!A446</f>
        <v>ITEM445-A</v>
      </c>
      <c r="B446" s="6" t="str">
        <f>'Inventory master'!B446</f>
        <v>Multi-Mode Fiber Cable 500m</v>
      </c>
      <c r="C446" s="6" t="str">
        <f>'Inventory master'!C446</f>
        <v>Fiber Optic Cables</v>
      </c>
      <c r="D446" s="6" t="str">
        <f>'Inventory master'!D446</f>
        <v>TE Connectivity</v>
      </c>
      <c r="E446" s="10" t="str">
        <f>'Inventory master'!E446</f>
        <v>493.63</v>
      </c>
      <c r="F446" s="10" t="str">
        <f>'Inventory master'!F446</f>
        <v>777.06</v>
      </c>
      <c r="G446" s="10" t="str">
        <f>'Inventory master'!G446</f>
        <v>82</v>
      </c>
      <c r="H446" s="8">
        <f>IFERROR(_xlfn.XLOOKUP(A446, 'Opening stock'!A446:A1045, 'Opening stock'!E446:E1045), "")</f>
        <v>1230</v>
      </c>
      <c r="I446" s="8">
        <f>IFERROR(SUMIF(Table3[Item ID],'Inventory calculations'!A446,Table3[Quantity]),0)</f>
        <v>0</v>
      </c>
      <c r="J446" s="8">
        <f>IFERROR(SUMIF(Table4[Item ID],'Inventory calculations'!A446,Table4[Quantity Purchased]),0)</f>
        <v>0</v>
      </c>
      <c r="K446" s="10">
        <f t="shared" si="26"/>
        <v>1230</v>
      </c>
      <c r="L446" s="6" t="str">
        <f t="shared" si="27"/>
        <v>OK</v>
      </c>
      <c r="M446" s="13">
        <f t="shared" si="24"/>
        <v>607164.9</v>
      </c>
      <c r="N446" s="8">
        <f>Table5[[#This Row],[Total Qty Sold]]*Table5[[#This Row],[Unit Price]]</f>
        <v>0</v>
      </c>
      <c r="O446" s="9"/>
      <c r="P446" s="40" t="str">
        <f ca="1">IF(Table5[[#This Row],[Last sale Date]]="","Never Sold",TODAY()-Table5[[#This Row],[Last sale Date]])</f>
        <v>Never Sold</v>
      </c>
      <c r="Q446" s="6" t="str">
        <f>IF(Table5[[#This Row],[Re order Level]]&lt;=Table5[[#This Row],[Current stock]],"ORDERASAP","OK BUT BE CHECKING")</f>
        <v>OK BUT BE CHECKING</v>
      </c>
      <c r="R446" s="6" t="str">
        <f t="shared" si="25"/>
        <v>ACTIVE</v>
      </c>
      <c r="S446" s="8">
        <f>IF(Table5[[#This Row],[DEADSTOCK FLAG]]="DEAD",Table5[[#This Row],[Inventory Value]],0)</f>
        <v>0</v>
      </c>
    </row>
    <row r="447" spans="1:19" x14ac:dyDescent="0.25">
      <c r="A447" s="24" t="str">
        <f>'Inventory master'!A447</f>
        <v>ITEM446-A</v>
      </c>
      <c r="B447" s="6" t="str">
        <f>'Inventory master'!B447</f>
        <v>Fixed Attenuator 1dB</v>
      </c>
      <c r="C447" s="6" t="str">
        <f>'Inventory master'!C447</f>
        <v>Attenuators</v>
      </c>
      <c r="D447" s="6" t="str">
        <f>'Inventory master'!D447</f>
        <v>HellermannTyton</v>
      </c>
      <c r="E447" s="10" t="str">
        <f>'Inventory master'!E447</f>
        <v>82.84</v>
      </c>
      <c r="F447" s="10" t="str">
        <f>'Inventory master'!F447</f>
        <v>125.43</v>
      </c>
      <c r="G447" s="10" t="str">
        <f>'Inventory master'!G447</f>
        <v>74</v>
      </c>
      <c r="H447" s="8">
        <f>IFERROR(_xlfn.XLOOKUP(A447, 'Opening stock'!A447:A1046, 'Opening stock'!E447:E1046), "")</f>
        <v>1110</v>
      </c>
      <c r="I447" s="8">
        <f>IFERROR(SUMIF(Table3[Item ID],'Inventory calculations'!A447,Table3[Quantity]),0)</f>
        <v>5</v>
      </c>
      <c r="J447" s="8">
        <f>IFERROR(SUMIF(Table4[Item ID],'Inventory calculations'!A447,Table4[Quantity Purchased]),0)</f>
        <v>0</v>
      </c>
      <c r="K447" s="10">
        <f t="shared" si="26"/>
        <v>1105</v>
      </c>
      <c r="L447" s="6" t="str">
        <f t="shared" si="27"/>
        <v>OK</v>
      </c>
      <c r="M447" s="13">
        <f t="shared" si="24"/>
        <v>91538.2</v>
      </c>
      <c r="N447" s="8">
        <f>Table5[[#This Row],[Total Qty Sold]]*Table5[[#This Row],[Unit Price]]</f>
        <v>627.15000000000009</v>
      </c>
      <c r="O447" s="9">
        <f>IFERROR(_xlfn.MAXIFS(Table3[Date],Table3[Item ID],Table5[[#This Row],[Item ID]]),"")</f>
        <v>45954</v>
      </c>
      <c r="P447" s="40">
        <f ca="1">IF(Table5[[#This Row],[Last sale Date]]="","Never Sold",TODAY()-Table5[[#This Row],[Last sale Date]])</f>
        <v>98</v>
      </c>
      <c r="Q447" s="6" t="str">
        <f>IF(Table5[[#This Row],[Re order Level]]&lt;=Table5[[#This Row],[Current stock]],"ORDERASAP","OK BUT BE CHECKING")</f>
        <v>OK BUT BE CHECKING</v>
      </c>
      <c r="R447" s="6" t="str">
        <f t="shared" si="25"/>
        <v>ACTIVE</v>
      </c>
      <c r="S447" s="8">
        <f>IF(Table5[[#This Row],[DEADSTOCK FLAG]]="DEAD",Table5[[#This Row],[Inventory Value]],0)</f>
        <v>0</v>
      </c>
    </row>
    <row r="448" spans="1:19" x14ac:dyDescent="0.25">
      <c r="A448" s="24" t="str">
        <f>'Inventory master'!A448</f>
        <v>ITEM447-A</v>
      </c>
      <c r="B448" s="6" t="str">
        <f>'Inventory master'!B448</f>
        <v>Wall-Mount Enclosure</v>
      </c>
      <c r="C448" s="6" t="str">
        <f>'Inventory master'!C448</f>
        <v>Enclosures</v>
      </c>
      <c r="D448" s="6" t="str">
        <f>'Inventory master'!D448</f>
        <v>Corning Inc.</v>
      </c>
      <c r="E448" s="10" t="str">
        <f>'Inventory master'!E448</f>
        <v>1356.4</v>
      </c>
      <c r="F448" s="10" t="str">
        <f>'Inventory master'!F448</f>
        <v>2565.86</v>
      </c>
      <c r="G448" s="10" t="str">
        <f>'Inventory master'!G448</f>
        <v>14</v>
      </c>
      <c r="H448" s="8">
        <f>IFERROR(_xlfn.XLOOKUP(A448, 'Opening stock'!A448:A1047, 'Opening stock'!E448:E1047), "")</f>
        <v>210</v>
      </c>
      <c r="I448" s="8">
        <f>IFERROR(SUMIF(Table3[Item ID],'Inventory calculations'!A448,Table3[Quantity]),0)</f>
        <v>10</v>
      </c>
      <c r="J448" s="8">
        <f>IFERROR(SUMIF(Table4[Item ID],'Inventory calculations'!A448,Table4[Quantity Purchased]),0)</f>
        <v>8</v>
      </c>
      <c r="K448" s="10">
        <f t="shared" si="26"/>
        <v>208</v>
      </c>
      <c r="L448" s="6" t="str">
        <f t="shared" si="27"/>
        <v>OK</v>
      </c>
      <c r="M448" s="13">
        <f t="shared" si="24"/>
        <v>282131.20000000001</v>
      </c>
      <c r="N448" s="8">
        <f>Table5[[#This Row],[Total Qty Sold]]*Table5[[#This Row],[Unit Price]]</f>
        <v>25658.600000000002</v>
      </c>
      <c r="O448" s="9">
        <f>IFERROR(_xlfn.MAXIFS(Table3[Date],Table3[Item ID],Table5[[#This Row],[Item ID]]),"")</f>
        <v>45624</v>
      </c>
      <c r="P448" s="40">
        <f ca="1">IF(Table5[[#This Row],[Last sale Date]]="","Never Sold",TODAY()-Table5[[#This Row],[Last sale Date]])</f>
        <v>428</v>
      </c>
      <c r="Q448" s="6" t="str">
        <f>IF(Table5[[#This Row],[Re order Level]]&lt;=Table5[[#This Row],[Current stock]],"ORDERASAP","OK BUT BE CHECKING")</f>
        <v>OK BUT BE CHECKING</v>
      </c>
      <c r="R448" s="6" t="str">
        <f t="shared" si="25"/>
        <v>ACTIVE</v>
      </c>
      <c r="S448" s="8">
        <f>IF(Table5[[#This Row],[DEADSTOCK FLAG]]="DEAD",Table5[[#This Row],[Inventory Value]],0)</f>
        <v>0</v>
      </c>
    </row>
    <row r="449" spans="1:19" x14ac:dyDescent="0.25">
      <c r="A449" s="24" t="str">
        <f>'Inventory master'!A449</f>
        <v>ITEM448-A</v>
      </c>
      <c r="B449" s="6" t="str">
        <f>'Inventory master'!B449</f>
        <v>Single-Mode Fiber Cable 500m</v>
      </c>
      <c r="C449" s="6" t="str">
        <f>'Inventory master'!C449</f>
        <v>Fiber Optic Cables</v>
      </c>
      <c r="D449" s="6" t="str">
        <f>'Inventory master'!D449</f>
        <v>Prysmian Group</v>
      </c>
      <c r="E449" s="10" t="str">
        <f>'Inventory master'!E449</f>
        <v>1137.15</v>
      </c>
      <c r="F449" s="10" t="str">
        <f>'Inventory master'!F449</f>
        <v>1285.15</v>
      </c>
      <c r="G449" s="10" t="str">
        <f>'Inventory master'!G449</f>
        <v>87</v>
      </c>
      <c r="H449" s="8">
        <f>IFERROR(_xlfn.XLOOKUP(A449, 'Opening stock'!A449:A1048, 'Opening stock'!E449:E1048), "")</f>
        <v>1305</v>
      </c>
      <c r="I449" s="8">
        <f>IFERROR(SUMIF(Table3[Item ID],'Inventory calculations'!A449,Table3[Quantity]),0)</f>
        <v>0</v>
      </c>
      <c r="J449" s="8">
        <f>IFERROR(SUMIF(Table4[Item ID],'Inventory calculations'!A449,Table4[Quantity Purchased]),0)</f>
        <v>15</v>
      </c>
      <c r="K449" s="10">
        <f t="shared" si="26"/>
        <v>1320</v>
      </c>
      <c r="L449" s="6" t="str">
        <f t="shared" si="27"/>
        <v>OK</v>
      </c>
      <c r="M449" s="13">
        <f t="shared" si="24"/>
        <v>1501038.0000000002</v>
      </c>
      <c r="N449" s="8">
        <f>Table5[[#This Row],[Total Qty Sold]]*Table5[[#This Row],[Unit Price]]</f>
        <v>0</v>
      </c>
      <c r="O449" s="9"/>
      <c r="P449" s="40" t="str">
        <f ca="1">IF(Table5[[#This Row],[Last sale Date]]="","Never Sold",TODAY()-Table5[[#This Row],[Last sale Date]])</f>
        <v>Never Sold</v>
      </c>
      <c r="Q449" s="6" t="str">
        <f>IF(Table5[[#This Row],[Re order Level]]&lt;=Table5[[#This Row],[Current stock]],"ORDERASAP","OK BUT BE CHECKING")</f>
        <v>OK BUT BE CHECKING</v>
      </c>
      <c r="R449" s="6" t="str">
        <f t="shared" si="25"/>
        <v>ACTIVE</v>
      </c>
      <c r="S449" s="8">
        <f>IF(Table5[[#This Row],[DEADSTOCK FLAG]]="DEAD",Table5[[#This Row],[Inventory Value]],0)</f>
        <v>0</v>
      </c>
    </row>
    <row r="450" spans="1:19" x14ac:dyDescent="0.25">
      <c r="A450" s="24" t="str">
        <f>'Inventory master'!A450</f>
        <v>ITEM449-A</v>
      </c>
      <c r="B450" s="6" t="str">
        <f>'Inventory master'!B450</f>
        <v>48-Port Fiber Patch Panel</v>
      </c>
      <c r="C450" s="6" t="str">
        <f>'Inventory master'!C450</f>
        <v>Patch Panels</v>
      </c>
      <c r="D450" s="6" t="str">
        <f>'Inventory master'!D450</f>
        <v>HellermannTyton</v>
      </c>
      <c r="E450" s="10" t="str">
        <f>'Inventory master'!E450</f>
        <v>784.98</v>
      </c>
      <c r="F450" s="10" t="str">
        <f>'Inventory master'!F450</f>
        <v>1205.31</v>
      </c>
      <c r="G450" s="10" t="str">
        <f>'Inventory master'!G450</f>
        <v>76</v>
      </c>
      <c r="H450" s="8">
        <f>IFERROR(_xlfn.XLOOKUP(A450, 'Opening stock'!A450:A1049, 'Opening stock'!E450:E1049), "")</f>
        <v>1140</v>
      </c>
      <c r="I450" s="8">
        <f>IFERROR(SUMIF(Table3[Item ID],'Inventory calculations'!A450,Table3[Quantity]),0)</f>
        <v>0</v>
      </c>
      <c r="J450" s="8">
        <f>IFERROR(SUMIF(Table4[Item ID],'Inventory calculations'!A450,Table4[Quantity Purchased]),0)</f>
        <v>12</v>
      </c>
      <c r="K450" s="10">
        <f t="shared" si="26"/>
        <v>1152</v>
      </c>
      <c r="L450" s="6" t="str">
        <f t="shared" si="27"/>
        <v>OK</v>
      </c>
      <c r="M450" s="13">
        <f t="shared" ref="M450:M513" si="28">K450*E450</f>
        <v>904296.95999999996</v>
      </c>
      <c r="N450" s="8">
        <f>Table5[[#This Row],[Total Qty Sold]]*Table5[[#This Row],[Unit Price]]</f>
        <v>0</v>
      </c>
      <c r="O450" s="9"/>
      <c r="P450" s="40" t="str">
        <f ca="1">IF(Table5[[#This Row],[Last sale Date]]="","Never Sold",TODAY()-Table5[[#This Row],[Last sale Date]])</f>
        <v>Never Sold</v>
      </c>
      <c r="Q450" s="6" t="str">
        <f>IF(Table5[[#This Row],[Re order Level]]&lt;=Table5[[#This Row],[Current stock]],"ORDERASAP","OK BUT BE CHECKING")</f>
        <v>OK BUT BE CHECKING</v>
      </c>
      <c r="R450" s="6" t="str">
        <f t="shared" ref="R450:R513" si="29">IF(AND(ISNUMBER(B450), B450 &gt; 60), "DEAD", "ACTIVE")</f>
        <v>ACTIVE</v>
      </c>
      <c r="S450" s="8">
        <f>IF(Table5[[#This Row],[DEADSTOCK FLAG]]="DEAD",Table5[[#This Row],[Inventory Value]],0)</f>
        <v>0</v>
      </c>
    </row>
    <row r="451" spans="1:19" x14ac:dyDescent="0.25">
      <c r="A451" s="24" t="str">
        <f>'Inventory master'!A451</f>
        <v>ITEM450-A</v>
      </c>
      <c r="B451" s="6" t="str">
        <f>'Inventory master'!B451</f>
        <v>Fusion Splicer</v>
      </c>
      <c r="C451" s="6" t="str">
        <f>'Inventory master'!C451</f>
        <v>Splicers</v>
      </c>
      <c r="D451" s="6" t="str">
        <f>'Inventory master'!D451</f>
        <v>Panduit</v>
      </c>
      <c r="E451" s="10" t="str">
        <f>'Inventory master'!E451</f>
        <v>1230.7</v>
      </c>
      <c r="F451" s="10" t="str">
        <f>'Inventory master'!F451</f>
        <v>1818.68</v>
      </c>
      <c r="G451" s="10" t="str">
        <f>'Inventory master'!G451</f>
        <v>16</v>
      </c>
      <c r="H451" s="8">
        <f>IFERROR(_xlfn.XLOOKUP(A451, 'Opening stock'!A451:A1050, 'Opening stock'!E451:E1050), "")</f>
        <v>240</v>
      </c>
      <c r="I451" s="8">
        <f>IFERROR(SUMIF(Table3[Item ID],'Inventory calculations'!A451,Table3[Quantity]),0)</f>
        <v>0</v>
      </c>
      <c r="J451" s="8">
        <f>IFERROR(SUMIF(Table4[Item ID],'Inventory calculations'!A451,Table4[Quantity Purchased]),0)</f>
        <v>6</v>
      </c>
      <c r="K451" s="10">
        <f t="shared" ref="K451:K514" si="30">H451+J451-I451</f>
        <v>246</v>
      </c>
      <c r="L451" s="6" t="str">
        <f t="shared" ref="L451:L514" si="31">IF(K451&lt;0,"STOCK ISSUE","OK")</f>
        <v>OK</v>
      </c>
      <c r="M451" s="13">
        <f t="shared" si="28"/>
        <v>302752.2</v>
      </c>
      <c r="N451" s="8">
        <f>Table5[[#This Row],[Total Qty Sold]]*Table5[[#This Row],[Unit Price]]</f>
        <v>0</v>
      </c>
      <c r="O451" s="9"/>
      <c r="P451" s="40" t="str">
        <f ca="1">IF(Table5[[#This Row],[Last sale Date]]="","Never Sold",TODAY()-Table5[[#This Row],[Last sale Date]])</f>
        <v>Never Sold</v>
      </c>
      <c r="Q451" s="6" t="str">
        <f>IF(Table5[[#This Row],[Re order Level]]&lt;=Table5[[#This Row],[Current stock]],"ORDERASAP","OK BUT BE CHECKING")</f>
        <v>OK BUT BE CHECKING</v>
      </c>
      <c r="R451" s="6" t="str">
        <f t="shared" si="29"/>
        <v>ACTIVE</v>
      </c>
      <c r="S451" s="8">
        <f>IF(Table5[[#This Row],[DEADSTOCK FLAG]]="DEAD",Table5[[#This Row],[Inventory Value]],0)</f>
        <v>0</v>
      </c>
    </row>
    <row r="452" spans="1:19" x14ac:dyDescent="0.25">
      <c r="A452" s="24" t="str">
        <f>'Inventory master'!A452</f>
        <v>ITEM451-A</v>
      </c>
      <c r="B452" s="6" t="str">
        <f>'Inventory master'!B452</f>
        <v>Fixed Attenuator 3dB</v>
      </c>
      <c r="C452" s="6" t="str">
        <f>'Inventory master'!C452</f>
        <v>Attenuators</v>
      </c>
      <c r="D452" s="6" t="str">
        <f>'Inventory master'!D452</f>
        <v>Corning Inc.</v>
      </c>
      <c r="E452" s="10" t="str">
        <f>'Inventory master'!E452</f>
        <v>466.18</v>
      </c>
      <c r="F452" s="10" t="str">
        <f>'Inventory master'!F452</f>
        <v>554.17</v>
      </c>
      <c r="G452" s="10" t="str">
        <f>'Inventory master'!G452</f>
        <v>66</v>
      </c>
      <c r="H452" s="8">
        <f>IFERROR(_xlfn.XLOOKUP(A452, 'Opening stock'!A452:A1051, 'Opening stock'!E452:E1051), "")</f>
        <v>990</v>
      </c>
      <c r="I452" s="8">
        <f>IFERROR(SUMIF(Table3[Item ID],'Inventory calculations'!A452,Table3[Quantity]),0)</f>
        <v>0</v>
      </c>
      <c r="J452" s="8">
        <f>IFERROR(SUMIF(Table4[Item ID],'Inventory calculations'!A452,Table4[Quantity Purchased]),0)</f>
        <v>15</v>
      </c>
      <c r="K452" s="10">
        <f t="shared" si="30"/>
        <v>1005</v>
      </c>
      <c r="L452" s="6" t="str">
        <f t="shared" si="31"/>
        <v>OK</v>
      </c>
      <c r="M452" s="13">
        <f t="shared" si="28"/>
        <v>468510.9</v>
      </c>
      <c r="N452" s="8">
        <f>Table5[[#This Row],[Total Qty Sold]]*Table5[[#This Row],[Unit Price]]</f>
        <v>0</v>
      </c>
      <c r="O452" s="9"/>
      <c r="P452" s="40" t="str">
        <f ca="1">IF(Table5[[#This Row],[Last sale Date]]="","Never Sold",TODAY()-Table5[[#This Row],[Last sale Date]])</f>
        <v>Never Sold</v>
      </c>
      <c r="Q452" s="6" t="str">
        <f>IF(Table5[[#This Row],[Re order Level]]&lt;=Table5[[#This Row],[Current stock]],"ORDERASAP","OK BUT BE CHECKING")</f>
        <v>OK BUT BE CHECKING</v>
      </c>
      <c r="R452" s="6" t="str">
        <f t="shared" si="29"/>
        <v>ACTIVE</v>
      </c>
      <c r="S452" s="8">
        <f>IF(Table5[[#This Row],[DEADSTOCK FLAG]]="DEAD",Table5[[#This Row],[Inventory Value]],0)</f>
        <v>0</v>
      </c>
    </row>
    <row r="453" spans="1:19" x14ac:dyDescent="0.25">
      <c r="A453" s="24" t="str">
        <f>'Inventory master'!A453</f>
        <v>ITEM452-A</v>
      </c>
      <c r="B453" s="6" t="str">
        <f>'Inventory master'!B453</f>
        <v>SC APC Connector</v>
      </c>
      <c r="C453" s="6" t="str">
        <f>'Inventory master'!C453</f>
        <v>Connectors</v>
      </c>
      <c r="D453" s="6" t="str">
        <f>'Inventory master'!D453</f>
        <v>Panduit</v>
      </c>
      <c r="E453" s="10" t="str">
        <f>'Inventory master'!E453</f>
        <v>1551.49</v>
      </c>
      <c r="F453" s="10" t="str">
        <f>'Inventory master'!F453</f>
        <v>2791.95</v>
      </c>
      <c r="G453" s="10" t="str">
        <f>'Inventory master'!G453</f>
        <v>62</v>
      </c>
      <c r="H453" s="8">
        <f>IFERROR(_xlfn.XLOOKUP(A453, 'Opening stock'!A453:A1052, 'Opening stock'!E453:E1052), "")</f>
        <v>930</v>
      </c>
      <c r="I453" s="8">
        <f>IFERROR(SUMIF(Table3[Item ID],'Inventory calculations'!A453,Table3[Quantity]),0)</f>
        <v>9</v>
      </c>
      <c r="J453" s="8">
        <f>IFERROR(SUMIF(Table4[Item ID],'Inventory calculations'!A453,Table4[Quantity Purchased]),0)</f>
        <v>8</v>
      </c>
      <c r="K453" s="10">
        <f t="shared" si="30"/>
        <v>929</v>
      </c>
      <c r="L453" s="6" t="str">
        <f t="shared" si="31"/>
        <v>OK</v>
      </c>
      <c r="M453" s="13">
        <f t="shared" si="28"/>
        <v>1441334.21</v>
      </c>
      <c r="N453" s="8">
        <f>Table5[[#This Row],[Total Qty Sold]]*Table5[[#This Row],[Unit Price]]</f>
        <v>25127.55</v>
      </c>
      <c r="O453" s="9">
        <f>IFERROR(_xlfn.MAXIFS(Table3[Date],Table3[Item ID],Table5[[#This Row],[Item ID]]),"")</f>
        <v>45585</v>
      </c>
      <c r="P453" s="40">
        <f ca="1">IF(Table5[[#This Row],[Last sale Date]]="","Never Sold",TODAY()-Table5[[#This Row],[Last sale Date]])</f>
        <v>467</v>
      </c>
      <c r="Q453" s="6" t="str">
        <f>IF(Table5[[#This Row],[Re order Level]]&lt;=Table5[[#This Row],[Current stock]],"ORDERASAP","OK BUT BE CHECKING")</f>
        <v>OK BUT BE CHECKING</v>
      </c>
      <c r="R453" s="6" t="str">
        <f t="shared" si="29"/>
        <v>ACTIVE</v>
      </c>
      <c r="S453" s="8">
        <f>IF(Table5[[#This Row],[DEADSTOCK FLAG]]="DEAD",Table5[[#This Row],[Inventory Value]],0)</f>
        <v>0</v>
      </c>
    </row>
    <row r="454" spans="1:19" x14ac:dyDescent="0.25">
      <c r="A454" s="24" t="str">
        <f>'Inventory master'!A454</f>
        <v>ITEM453-A</v>
      </c>
      <c r="B454" s="6" t="str">
        <f>'Inventory master'!B454</f>
        <v>QSFP28 Transceiver</v>
      </c>
      <c r="C454" s="6" t="str">
        <f>'Inventory master'!C454</f>
        <v>Transceivers</v>
      </c>
      <c r="D454" s="6" t="str">
        <f>'Inventory master'!D454</f>
        <v>Siemon</v>
      </c>
      <c r="E454" s="10" t="str">
        <f>'Inventory master'!E454</f>
        <v>972.21</v>
      </c>
      <c r="F454" s="10" t="str">
        <f>'Inventory master'!F454</f>
        <v>1269.68</v>
      </c>
      <c r="G454" s="10" t="str">
        <f>'Inventory master'!G454</f>
        <v>45</v>
      </c>
      <c r="H454" s="8">
        <f>IFERROR(_xlfn.XLOOKUP(A454, 'Opening stock'!A454:A1053, 'Opening stock'!E454:E1053), "")</f>
        <v>675</v>
      </c>
      <c r="I454" s="8">
        <f>IFERROR(SUMIF(Table3[Item ID],'Inventory calculations'!A454,Table3[Quantity]),0)</f>
        <v>0</v>
      </c>
      <c r="J454" s="8">
        <f>IFERROR(SUMIF(Table4[Item ID],'Inventory calculations'!A454,Table4[Quantity Purchased]),0)</f>
        <v>16</v>
      </c>
      <c r="K454" s="10">
        <f t="shared" si="30"/>
        <v>691</v>
      </c>
      <c r="L454" s="6" t="str">
        <f t="shared" si="31"/>
        <v>OK</v>
      </c>
      <c r="M454" s="13">
        <f t="shared" si="28"/>
        <v>671797.11</v>
      </c>
      <c r="N454" s="8">
        <f>Table5[[#This Row],[Total Qty Sold]]*Table5[[#This Row],[Unit Price]]</f>
        <v>0</v>
      </c>
      <c r="O454" s="9"/>
      <c r="P454" s="40" t="str">
        <f ca="1">IF(Table5[[#This Row],[Last sale Date]]="","Never Sold",TODAY()-Table5[[#This Row],[Last sale Date]])</f>
        <v>Never Sold</v>
      </c>
      <c r="Q454" s="6" t="str">
        <f>IF(Table5[[#This Row],[Re order Level]]&lt;=Table5[[#This Row],[Current stock]],"ORDERASAP","OK BUT BE CHECKING")</f>
        <v>OK BUT BE CHECKING</v>
      </c>
      <c r="R454" s="6" t="str">
        <f t="shared" si="29"/>
        <v>ACTIVE</v>
      </c>
      <c r="S454" s="8">
        <f>IF(Table5[[#This Row],[DEADSTOCK FLAG]]="DEAD",Table5[[#This Row],[Inventory Value]],0)</f>
        <v>0</v>
      </c>
    </row>
    <row r="455" spans="1:19" x14ac:dyDescent="0.25">
      <c r="A455" s="24" t="str">
        <f>'Inventory master'!A455</f>
        <v>ITEM454-A</v>
      </c>
      <c r="B455" s="6" t="str">
        <f>'Inventory master'!B455</f>
        <v>Fixed Attenuator 5dB</v>
      </c>
      <c r="C455" s="6" t="str">
        <f>'Inventory master'!C455</f>
        <v>Attenuators</v>
      </c>
      <c r="D455" s="6" t="str">
        <f>'Inventory master'!D455</f>
        <v>CommScope</v>
      </c>
      <c r="E455" s="10" t="str">
        <f>'Inventory master'!E455</f>
        <v>1565.54</v>
      </c>
      <c r="F455" s="10" t="str">
        <f>'Inventory master'!F455</f>
        <v>2584.21</v>
      </c>
      <c r="G455" s="10" t="str">
        <f>'Inventory master'!G455</f>
        <v>98</v>
      </c>
      <c r="H455" s="8">
        <f>IFERROR(_xlfn.XLOOKUP(A455, 'Opening stock'!A455:A1054, 'Opening stock'!E455:E1054), "")</f>
        <v>1470</v>
      </c>
      <c r="I455" s="8">
        <f>IFERROR(SUMIF(Table3[Item ID],'Inventory calculations'!A455,Table3[Quantity]),0)</f>
        <v>0</v>
      </c>
      <c r="J455" s="8">
        <f>IFERROR(SUMIF(Table4[Item ID],'Inventory calculations'!A455,Table4[Quantity Purchased]),0)</f>
        <v>11</v>
      </c>
      <c r="K455" s="10">
        <f t="shared" si="30"/>
        <v>1481</v>
      </c>
      <c r="L455" s="6" t="str">
        <f t="shared" si="31"/>
        <v>OK</v>
      </c>
      <c r="M455" s="13">
        <f t="shared" si="28"/>
        <v>2318564.7399999998</v>
      </c>
      <c r="N455" s="8">
        <f>Table5[[#This Row],[Total Qty Sold]]*Table5[[#This Row],[Unit Price]]</f>
        <v>0</v>
      </c>
      <c r="O455" s="9"/>
      <c r="P455" s="40" t="str">
        <f ca="1">IF(Table5[[#This Row],[Last sale Date]]="","Never Sold",TODAY()-Table5[[#This Row],[Last sale Date]])</f>
        <v>Never Sold</v>
      </c>
      <c r="Q455" s="6" t="str">
        <f>IF(Table5[[#This Row],[Re order Level]]&lt;=Table5[[#This Row],[Current stock]],"ORDERASAP","OK BUT BE CHECKING")</f>
        <v>OK BUT BE CHECKING</v>
      </c>
      <c r="R455" s="6" t="str">
        <f t="shared" si="29"/>
        <v>ACTIVE</v>
      </c>
      <c r="S455" s="8">
        <f>IF(Table5[[#This Row],[DEADSTOCK FLAG]]="DEAD",Table5[[#This Row],[Inventory Value]],0)</f>
        <v>0</v>
      </c>
    </row>
    <row r="456" spans="1:19" x14ac:dyDescent="0.25">
      <c r="A456" s="24" t="str">
        <f>'Inventory master'!A456</f>
        <v>ITEM455-A</v>
      </c>
      <c r="B456" s="6" t="str">
        <f>'Inventory master'!B456</f>
        <v>1x16 PLC Splitter</v>
      </c>
      <c r="C456" s="6" t="str">
        <f>'Inventory master'!C456</f>
        <v>Splitters</v>
      </c>
      <c r="D456" s="6" t="str">
        <f>'Inventory master'!D456</f>
        <v>Huber+Suhner</v>
      </c>
      <c r="E456" s="10" t="str">
        <f>'Inventory master'!E456</f>
        <v>1256.42</v>
      </c>
      <c r="F456" s="10" t="str">
        <f>'Inventory master'!F456</f>
        <v>2154.37</v>
      </c>
      <c r="G456" s="10" t="str">
        <f>'Inventory master'!G456</f>
        <v>66</v>
      </c>
      <c r="H456" s="8">
        <f>IFERROR(_xlfn.XLOOKUP(A456, 'Opening stock'!A456:A1055, 'Opening stock'!E456:E1055), "")</f>
        <v>990</v>
      </c>
      <c r="I456" s="8">
        <f>IFERROR(SUMIF(Table3[Item ID],'Inventory calculations'!A456,Table3[Quantity]),0)</f>
        <v>0</v>
      </c>
      <c r="J456" s="8">
        <f>IFERROR(SUMIF(Table4[Item ID],'Inventory calculations'!A456,Table4[Quantity Purchased]),0)</f>
        <v>5</v>
      </c>
      <c r="K456" s="10">
        <f t="shared" si="30"/>
        <v>995</v>
      </c>
      <c r="L456" s="6" t="str">
        <f t="shared" si="31"/>
        <v>OK</v>
      </c>
      <c r="M456" s="13">
        <f t="shared" si="28"/>
        <v>1250137.9000000001</v>
      </c>
      <c r="N456" s="8">
        <f>Table5[[#This Row],[Total Qty Sold]]*Table5[[#This Row],[Unit Price]]</f>
        <v>0</v>
      </c>
      <c r="O456" s="9"/>
      <c r="P456" s="40" t="str">
        <f ca="1">IF(Table5[[#This Row],[Last sale Date]]="","Never Sold",TODAY()-Table5[[#This Row],[Last sale Date]])</f>
        <v>Never Sold</v>
      </c>
      <c r="Q456" s="6" t="str">
        <f>IF(Table5[[#This Row],[Re order Level]]&lt;=Table5[[#This Row],[Current stock]],"ORDERASAP","OK BUT BE CHECKING")</f>
        <v>OK BUT BE CHECKING</v>
      </c>
      <c r="R456" s="6" t="str">
        <f t="shared" si="29"/>
        <v>ACTIVE</v>
      </c>
      <c r="S456" s="8">
        <f>IF(Table5[[#This Row],[DEADSTOCK FLAG]]="DEAD",Table5[[#This Row],[Inventory Value]],0)</f>
        <v>0</v>
      </c>
    </row>
    <row r="457" spans="1:19" x14ac:dyDescent="0.25">
      <c r="A457" s="24" t="str">
        <f>'Inventory master'!A457</f>
        <v>ITEM456-A</v>
      </c>
      <c r="B457" s="6" t="str">
        <f>'Inventory master'!B457</f>
        <v>QSFP28 Transceiver</v>
      </c>
      <c r="C457" s="6" t="str">
        <f>'Inventory master'!C457</f>
        <v>Transceivers</v>
      </c>
      <c r="D457" s="6" t="str">
        <f>'Inventory master'!D457</f>
        <v>TE Connectivity</v>
      </c>
      <c r="E457" s="10" t="str">
        <f>'Inventory master'!E457</f>
        <v>1688.23</v>
      </c>
      <c r="F457" s="10" t="str">
        <f>'Inventory master'!F457</f>
        <v>1989.19</v>
      </c>
      <c r="G457" s="10" t="str">
        <f>'Inventory master'!G457</f>
        <v>56</v>
      </c>
      <c r="H457" s="8">
        <f>IFERROR(_xlfn.XLOOKUP(A457, 'Opening stock'!A457:A1056, 'Opening stock'!E457:E1056), "")</f>
        <v>840</v>
      </c>
      <c r="I457" s="8">
        <f>IFERROR(SUMIF(Table3[Item ID],'Inventory calculations'!A457,Table3[Quantity]),0)</f>
        <v>0</v>
      </c>
      <c r="J457" s="8">
        <f>IFERROR(SUMIF(Table4[Item ID],'Inventory calculations'!A457,Table4[Quantity Purchased]),0)</f>
        <v>0</v>
      </c>
      <c r="K457" s="10">
        <f t="shared" si="30"/>
        <v>840</v>
      </c>
      <c r="L457" s="6" t="str">
        <f t="shared" si="31"/>
        <v>OK</v>
      </c>
      <c r="M457" s="13">
        <f t="shared" si="28"/>
        <v>1418113.2</v>
      </c>
      <c r="N457" s="8">
        <f>Table5[[#This Row],[Total Qty Sold]]*Table5[[#This Row],[Unit Price]]</f>
        <v>0</v>
      </c>
      <c r="O457" s="9"/>
      <c r="P457" s="40" t="str">
        <f ca="1">IF(Table5[[#This Row],[Last sale Date]]="","Never Sold",TODAY()-Table5[[#This Row],[Last sale Date]])</f>
        <v>Never Sold</v>
      </c>
      <c r="Q457" s="6" t="str">
        <f>IF(Table5[[#This Row],[Re order Level]]&lt;=Table5[[#This Row],[Current stock]],"ORDERASAP","OK BUT BE CHECKING")</f>
        <v>OK BUT BE CHECKING</v>
      </c>
      <c r="R457" s="6" t="str">
        <f t="shared" si="29"/>
        <v>ACTIVE</v>
      </c>
      <c r="S457" s="8">
        <f>IF(Table5[[#This Row],[DEADSTOCK FLAG]]="DEAD",Table5[[#This Row],[Inventory Value]],0)</f>
        <v>0</v>
      </c>
    </row>
    <row r="458" spans="1:19" x14ac:dyDescent="0.25">
      <c r="A458" s="24" t="str">
        <f>'Inventory master'!A458</f>
        <v>ITEM457-A</v>
      </c>
      <c r="B458" s="6" t="str">
        <f>'Inventory master'!B458</f>
        <v>SFP Transceiver</v>
      </c>
      <c r="C458" s="6" t="str">
        <f>'Inventory master'!C458</f>
        <v>Transceivers</v>
      </c>
      <c r="D458" s="6" t="str">
        <f>'Inventory master'!D458</f>
        <v>Belden</v>
      </c>
      <c r="E458" s="10" t="str">
        <f>'Inventory master'!E458</f>
        <v>1697.74</v>
      </c>
      <c r="F458" s="10" t="str">
        <f>'Inventory master'!F458</f>
        <v>2726.71</v>
      </c>
      <c r="G458" s="10" t="str">
        <f>'Inventory master'!G458</f>
        <v>19</v>
      </c>
      <c r="H458" s="8">
        <f>IFERROR(_xlfn.XLOOKUP(A458, 'Opening stock'!A458:A1057, 'Opening stock'!E458:E1057), "")</f>
        <v>285</v>
      </c>
      <c r="I458" s="8">
        <f>IFERROR(SUMIF(Table3[Item ID],'Inventory calculations'!A458,Table3[Quantity]),0)</f>
        <v>0</v>
      </c>
      <c r="J458" s="8">
        <f>IFERROR(SUMIF(Table4[Item ID],'Inventory calculations'!A458,Table4[Quantity Purchased]),0)</f>
        <v>15</v>
      </c>
      <c r="K458" s="10">
        <f t="shared" si="30"/>
        <v>300</v>
      </c>
      <c r="L458" s="6" t="str">
        <f t="shared" si="31"/>
        <v>OK</v>
      </c>
      <c r="M458" s="13">
        <f t="shared" si="28"/>
        <v>509322</v>
      </c>
      <c r="N458" s="8">
        <f>Table5[[#This Row],[Total Qty Sold]]*Table5[[#This Row],[Unit Price]]</f>
        <v>0</v>
      </c>
      <c r="O458" s="9"/>
      <c r="P458" s="40" t="str">
        <f ca="1">IF(Table5[[#This Row],[Last sale Date]]="","Never Sold",TODAY()-Table5[[#This Row],[Last sale Date]])</f>
        <v>Never Sold</v>
      </c>
      <c r="Q458" s="6" t="str">
        <f>IF(Table5[[#This Row],[Re order Level]]&lt;=Table5[[#This Row],[Current stock]],"ORDERASAP","OK BUT BE CHECKING")</f>
        <v>OK BUT BE CHECKING</v>
      </c>
      <c r="R458" s="6" t="str">
        <f t="shared" si="29"/>
        <v>ACTIVE</v>
      </c>
      <c r="S458" s="8">
        <f>IF(Table5[[#This Row],[DEADSTOCK FLAG]]="DEAD",Table5[[#This Row],[Inventory Value]],0)</f>
        <v>0</v>
      </c>
    </row>
    <row r="459" spans="1:19" x14ac:dyDescent="0.25">
      <c r="A459" s="24" t="str">
        <f>'Inventory master'!A459</f>
        <v>ITEM458-A</v>
      </c>
      <c r="B459" s="6" t="str">
        <f>'Inventory master'!B459</f>
        <v>Dome Enclosure</v>
      </c>
      <c r="C459" s="6" t="str">
        <f>'Inventory master'!C459</f>
        <v>Enclosures</v>
      </c>
      <c r="D459" s="6" t="str">
        <f>'Inventory master'!D459</f>
        <v>Belden</v>
      </c>
      <c r="E459" s="10" t="str">
        <f>'Inventory master'!E459</f>
        <v>566.55</v>
      </c>
      <c r="F459" s="10" t="str">
        <f>'Inventory master'!F459</f>
        <v>1070.0</v>
      </c>
      <c r="G459" s="10" t="str">
        <f>'Inventory master'!G459</f>
        <v>36</v>
      </c>
      <c r="H459" s="8">
        <f>IFERROR(_xlfn.XLOOKUP(A459, 'Opening stock'!A459:A1058, 'Opening stock'!E459:E1058), "")</f>
        <v>540</v>
      </c>
      <c r="I459" s="8">
        <f>IFERROR(SUMIF(Table3[Item ID],'Inventory calculations'!A459,Table3[Quantity]),0)</f>
        <v>0</v>
      </c>
      <c r="J459" s="8">
        <f>IFERROR(SUMIF(Table4[Item ID],'Inventory calculations'!A459,Table4[Quantity Purchased]),0)</f>
        <v>0</v>
      </c>
      <c r="K459" s="10">
        <f t="shared" si="30"/>
        <v>540</v>
      </c>
      <c r="L459" s="6" t="str">
        <f t="shared" si="31"/>
        <v>OK</v>
      </c>
      <c r="M459" s="13">
        <f t="shared" si="28"/>
        <v>305937</v>
      </c>
      <c r="N459" s="8">
        <f>Table5[[#This Row],[Total Qty Sold]]*Table5[[#This Row],[Unit Price]]</f>
        <v>0</v>
      </c>
      <c r="O459" s="9"/>
      <c r="P459" s="40" t="str">
        <f ca="1">IF(Table5[[#This Row],[Last sale Date]]="","Never Sold",TODAY()-Table5[[#This Row],[Last sale Date]])</f>
        <v>Never Sold</v>
      </c>
      <c r="Q459" s="6" t="str">
        <f>IF(Table5[[#This Row],[Re order Level]]&lt;=Table5[[#This Row],[Current stock]],"ORDERASAP","OK BUT BE CHECKING")</f>
        <v>OK BUT BE CHECKING</v>
      </c>
      <c r="R459" s="6" t="str">
        <f t="shared" si="29"/>
        <v>ACTIVE</v>
      </c>
      <c r="S459" s="8">
        <f>IF(Table5[[#This Row],[DEADSTOCK FLAG]]="DEAD",Table5[[#This Row],[Inventory Value]],0)</f>
        <v>0</v>
      </c>
    </row>
    <row r="460" spans="1:19" x14ac:dyDescent="0.25">
      <c r="A460" s="24" t="str">
        <f>'Inventory master'!A460</f>
        <v>ITEM459-A</v>
      </c>
      <c r="B460" s="6" t="str">
        <f>'Inventory master'!B460</f>
        <v>Dome Enclosure</v>
      </c>
      <c r="C460" s="6" t="str">
        <f>'Inventory master'!C460</f>
        <v>Enclosures</v>
      </c>
      <c r="D460" s="6" t="str">
        <f>'Inventory master'!D460</f>
        <v>Amphenol</v>
      </c>
      <c r="E460" s="10" t="str">
        <f>'Inventory master'!E460</f>
        <v>11.87</v>
      </c>
      <c r="F460" s="10" t="str">
        <f>'Inventory master'!F460</f>
        <v>15.03</v>
      </c>
      <c r="G460" s="10" t="str">
        <f>'Inventory master'!G460</f>
        <v>71</v>
      </c>
      <c r="H460" s="8">
        <f>IFERROR(_xlfn.XLOOKUP(A460, 'Opening stock'!A460:A1059, 'Opening stock'!E460:E1059), "")</f>
        <v>1065</v>
      </c>
      <c r="I460" s="8">
        <f>IFERROR(SUMIF(Table3[Item ID],'Inventory calculations'!A460,Table3[Quantity]),0)</f>
        <v>0</v>
      </c>
      <c r="J460" s="8">
        <f>IFERROR(SUMIF(Table4[Item ID],'Inventory calculations'!A460,Table4[Quantity Purchased]),0)</f>
        <v>0</v>
      </c>
      <c r="K460" s="10">
        <f t="shared" si="30"/>
        <v>1065</v>
      </c>
      <c r="L460" s="6" t="str">
        <f t="shared" si="31"/>
        <v>OK</v>
      </c>
      <c r="M460" s="13">
        <f t="shared" si="28"/>
        <v>12641.55</v>
      </c>
      <c r="N460" s="8">
        <f>Table5[[#This Row],[Total Qty Sold]]*Table5[[#This Row],[Unit Price]]</f>
        <v>0</v>
      </c>
      <c r="O460" s="9"/>
      <c r="P460" s="40" t="str">
        <f ca="1">IF(Table5[[#This Row],[Last sale Date]]="","Never Sold",TODAY()-Table5[[#This Row],[Last sale Date]])</f>
        <v>Never Sold</v>
      </c>
      <c r="Q460" s="6" t="str">
        <f>IF(Table5[[#This Row],[Re order Level]]&lt;=Table5[[#This Row],[Current stock]],"ORDERASAP","OK BUT BE CHECKING")</f>
        <v>OK BUT BE CHECKING</v>
      </c>
      <c r="R460" s="6" t="str">
        <f t="shared" si="29"/>
        <v>ACTIVE</v>
      </c>
      <c r="S460" s="8">
        <f>IF(Table5[[#This Row],[DEADSTOCK FLAG]]="DEAD",Table5[[#This Row],[Inventory Value]],0)</f>
        <v>0</v>
      </c>
    </row>
    <row r="461" spans="1:19" x14ac:dyDescent="0.25">
      <c r="A461" s="24" t="str">
        <f>'Inventory master'!A461</f>
        <v>ITEM460-A</v>
      </c>
      <c r="B461" s="6" t="str">
        <f>'Inventory master'!B461</f>
        <v>CFP Transceiver</v>
      </c>
      <c r="C461" s="6" t="str">
        <f>'Inventory master'!C461</f>
        <v>Transceivers</v>
      </c>
      <c r="D461" s="6" t="str">
        <f>'Inventory master'!D461</f>
        <v>Prysmian Group</v>
      </c>
      <c r="E461" s="10" t="str">
        <f>'Inventory master'!E461</f>
        <v>365.96</v>
      </c>
      <c r="F461" s="10" t="str">
        <f>'Inventory master'!F461</f>
        <v>691.39</v>
      </c>
      <c r="G461" s="10" t="str">
        <f>'Inventory master'!G461</f>
        <v>79</v>
      </c>
      <c r="H461" s="8">
        <f>IFERROR(_xlfn.XLOOKUP(A461, 'Opening stock'!A461:A1060, 'Opening stock'!E461:E1060), "")</f>
        <v>1185</v>
      </c>
      <c r="I461" s="8">
        <f>IFERROR(SUMIF(Table3[Item ID],'Inventory calculations'!A461,Table3[Quantity]),0)</f>
        <v>0</v>
      </c>
      <c r="J461" s="8">
        <f>IFERROR(SUMIF(Table4[Item ID],'Inventory calculations'!A461,Table4[Quantity Purchased]),0)</f>
        <v>11</v>
      </c>
      <c r="K461" s="10">
        <f t="shared" si="30"/>
        <v>1196</v>
      </c>
      <c r="L461" s="6" t="str">
        <f t="shared" si="31"/>
        <v>OK</v>
      </c>
      <c r="M461" s="13">
        <f t="shared" si="28"/>
        <v>437688.16</v>
      </c>
      <c r="N461" s="8">
        <f>Table5[[#This Row],[Total Qty Sold]]*Table5[[#This Row],[Unit Price]]</f>
        <v>0</v>
      </c>
      <c r="O461" s="9"/>
      <c r="P461" s="40" t="str">
        <f ca="1">IF(Table5[[#This Row],[Last sale Date]]="","Never Sold",TODAY()-Table5[[#This Row],[Last sale Date]])</f>
        <v>Never Sold</v>
      </c>
      <c r="Q461" s="6" t="str">
        <f>IF(Table5[[#This Row],[Re order Level]]&lt;=Table5[[#This Row],[Current stock]],"ORDERASAP","OK BUT BE CHECKING")</f>
        <v>OK BUT BE CHECKING</v>
      </c>
      <c r="R461" s="6" t="str">
        <f t="shared" si="29"/>
        <v>ACTIVE</v>
      </c>
      <c r="S461" s="8">
        <f>IF(Table5[[#This Row],[DEADSTOCK FLAG]]="DEAD",Table5[[#This Row],[Inventory Value]],0)</f>
        <v>0</v>
      </c>
    </row>
    <row r="462" spans="1:19" x14ac:dyDescent="0.25">
      <c r="A462" s="24" t="str">
        <f>'Inventory master'!A462</f>
        <v>ITEM461-A</v>
      </c>
      <c r="B462" s="6" t="str">
        <f>'Inventory master'!B462</f>
        <v>Fiber Optic Cutter</v>
      </c>
      <c r="C462" s="6" t="str">
        <f>'Inventory master'!C462</f>
        <v>Tools</v>
      </c>
      <c r="D462" s="6" t="str">
        <f>'Inventory master'!D462</f>
        <v>Corning Inc.</v>
      </c>
      <c r="E462" s="10" t="str">
        <f>'Inventory master'!E462</f>
        <v>1347.7</v>
      </c>
      <c r="F462" s="10" t="str">
        <f>'Inventory master'!F462</f>
        <v>2417.15</v>
      </c>
      <c r="G462" s="10" t="str">
        <f>'Inventory master'!G462</f>
        <v>33</v>
      </c>
      <c r="H462" s="8">
        <f>IFERROR(_xlfn.XLOOKUP(A462, 'Opening stock'!A462:A1061, 'Opening stock'!E462:E1061), "")</f>
        <v>495</v>
      </c>
      <c r="I462" s="8">
        <f>IFERROR(SUMIF(Table3[Item ID],'Inventory calculations'!A462,Table3[Quantity]),0)</f>
        <v>0</v>
      </c>
      <c r="J462" s="8">
        <f>IFERROR(SUMIF(Table4[Item ID],'Inventory calculations'!A462,Table4[Quantity Purchased]),0)</f>
        <v>0</v>
      </c>
      <c r="K462" s="10">
        <f t="shared" si="30"/>
        <v>495</v>
      </c>
      <c r="L462" s="6" t="str">
        <f t="shared" si="31"/>
        <v>OK</v>
      </c>
      <c r="M462" s="13">
        <f t="shared" si="28"/>
        <v>667111.5</v>
      </c>
      <c r="N462" s="8">
        <f>Table5[[#This Row],[Total Qty Sold]]*Table5[[#This Row],[Unit Price]]</f>
        <v>0</v>
      </c>
      <c r="O462" s="9"/>
      <c r="P462" s="40" t="str">
        <f ca="1">IF(Table5[[#This Row],[Last sale Date]]="","Never Sold",TODAY()-Table5[[#This Row],[Last sale Date]])</f>
        <v>Never Sold</v>
      </c>
      <c r="Q462" s="6" t="str">
        <f>IF(Table5[[#This Row],[Re order Level]]&lt;=Table5[[#This Row],[Current stock]],"ORDERASAP","OK BUT BE CHECKING")</f>
        <v>OK BUT BE CHECKING</v>
      </c>
      <c r="R462" s="6" t="str">
        <f t="shared" si="29"/>
        <v>ACTIVE</v>
      </c>
      <c r="S462" s="8">
        <f>IF(Table5[[#This Row],[DEADSTOCK FLAG]]="DEAD",Table5[[#This Row],[Inventory Value]],0)</f>
        <v>0</v>
      </c>
    </row>
    <row r="463" spans="1:19" x14ac:dyDescent="0.25">
      <c r="A463" s="24" t="str">
        <f>'Inventory master'!A463</f>
        <v>ITEM462-A</v>
      </c>
      <c r="B463" s="6" t="str">
        <f>'Inventory master'!B463</f>
        <v>LC UPC Connector</v>
      </c>
      <c r="C463" s="6" t="str">
        <f>'Inventory master'!C463</f>
        <v>Connectors</v>
      </c>
      <c r="D463" s="6" t="str">
        <f>'Inventory master'!D463</f>
        <v>HellermannTyton</v>
      </c>
      <c r="E463" s="10" t="str">
        <f>'Inventory master'!E463</f>
        <v>1252.68</v>
      </c>
      <c r="F463" s="10" t="str">
        <f>'Inventory master'!F463</f>
        <v>1809.11</v>
      </c>
      <c r="G463" s="10" t="str">
        <f>'Inventory master'!G463</f>
        <v>48</v>
      </c>
      <c r="H463" s="8">
        <f>IFERROR(_xlfn.XLOOKUP(A463, 'Opening stock'!A463:A1062, 'Opening stock'!E463:E1062), "")</f>
        <v>720</v>
      </c>
      <c r="I463" s="8">
        <f>IFERROR(SUMIF(Table3[Item ID],'Inventory calculations'!A463,Table3[Quantity]),0)</f>
        <v>0</v>
      </c>
      <c r="J463" s="8">
        <f>IFERROR(SUMIF(Table4[Item ID],'Inventory calculations'!A463,Table4[Quantity Purchased]),0)</f>
        <v>25</v>
      </c>
      <c r="K463" s="10">
        <f t="shared" si="30"/>
        <v>745</v>
      </c>
      <c r="L463" s="6" t="str">
        <f t="shared" si="31"/>
        <v>OK</v>
      </c>
      <c r="M463" s="13">
        <f t="shared" si="28"/>
        <v>933246.60000000009</v>
      </c>
      <c r="N463" s="8">
        <f>Table5[[#This Row],[Total Qty Sold]]*Table5[[#This Row],[Unit Price]]</f>
        <v>0</v>
      </c>
      <c r="O463" s="9"/>
      <c r="P463" s="40" t="str">
        <f ca="1">IF(Table5[[#This Row],[Last sale Date]]="","Never Sold",TODAY()-Table5[[#This Row],[Last sale Date]])</f>
        <v>Never Sold</v>
      </c>
      <c r="Q463" s="6" t="str">
        <f>IF(Table5[[#This Row],[Re order Level]]&lt;=Table5[[#This Row],[Current stock]],"ORDERASAP","OK BUT BE CHECKING")</f>
        <v>OK BUT BE CHECKING</v>
      </c>
      <c r="R463" s="6" t="str">
        <f t="shared" si="29"/>
        <v>ACTIVE</v>
      </c>
      <c r="S463" s="8">
        <f>IF(Table5[[#This Row],[DEADSTOCK FLAG]]="DEAD",Table5[[#This Row],[Inventory Value]],0)</f>
        <v>0</v>
      </c>
    </row>
    <row r="464" spans="1:19" x14ac:dyDescent="0.25">
      <c r="A464" s="24" t="str">
        <f>'Inventory master'!A464</f>
        <v>ITEM463-A</v>
      </c>
      <c r="B464" s="6" t="str">
        <f>'Inventory master'!B464</f>
        <v>Fixed Attenuator 20dB</v>
      </c>
      <c r="C464" s="6" t="str">
        <f>'Inventory master'!C464</f>
        <v>Attenuators</v>
      </c>
      <c r="D464" s="6" t="str">
        <f>'Inventory master'!D464</f>
        <v>HellermannTyton</v>
      </c>
      <c r="E464" s="10" t="str">
        <f>'Inventory master'!E464</f>
        <v>1575.83</v>
      </c>
      <c r="F464" s="10" t="str">
        <f>'Inventory master'!F464</f>
        <v>3050.51</v>
      </c>
      <c r="G464" s="10" t="str">
        <f>'Inventory master'!G464</f>
        <v>85</v>
      </c>
      <c r="H464" s="8">
        <f>IFERROR(_xlfn.XLOOKUP(A464, 'Opening stock'!A464:A1063, 'Opening stock'!E464:E1063), "")</f>
        <v>1275</v>
      </c>
      <c r="I464" s="8">
        <f>IFERROR(SUMIF(Table3[Item ID],'Inventory calculations'!A464,Table3[Quantity]),0)</f>
        <v>170</v>
      </c>
      <c r="J464" s="8">
        <f>IFERROR(SUMIF(Table4[Item ID],'Inventory calculations'!A464,Table4[Quantity Purchased]),0)</f>
        <v>7</v>
      </c>
      <c r="K464" s="10">
        <f t="shared" si="30"/>
        <v>1112</v>
      </c>
      <c r="L464" s="6" t="str">
        <f t="shared" si="31"/>
        <v>OK</v>
      </c>
      <c r="M464" s="13">
        <f t="shared" si="28"/>
        <v>1752322.96</v>
      </c>
      <c r="N464" s="8">
        <f>Table5[[#This Row],[Total Qty Sold]]*Table5[[#This Row],[Unit Price]]</f>
        <v>518586.7</v>
      </c>
      <c r="O464" s="9">
        <f>IFERROR(_xlfn.MAXIFS(Table3[Date],Table3[Item ID],Table5[[#This Row],[Item ID]]),"")</f>
        <v>46010</v>
      </c>
      <c r="P464" s="40">
        <f ca="1">IF(Table5[[#This Row],[Last sale Date]]="","Never Sold",TODAY()-Table5[[#This Row],[Last sale Date]])</f>
        <v>42</v>
      </c>
      <c r="Q464" s="6" t="str">
        <f>IF(Table5[[#This Row],[Re order Level]]&lt;=Table5[[#This Row],[Current stock]],"ORDERASAP","OK BUT BE CHECKING")</f>
        <v>OK BUT BE CHECKING</v>
      </c>
      <c r="R464" s="6" t="str">
        <f t="shared" si="29"/>
        <v>ACTIVE</v>
      </c>
      <c r="S464" s="8">
        <f>IF(Table5[[#This Row],[DEADSTOCK FLAG]]="DEAD",Table5[[#This Row],[Inventory Value]],0)</f>
        <v>0</v>
      </c>
    </row>
    <row r="465" spans="1:19" x14ac:dyDescent="0.25">
      <c r="A465" s="24" t="str">
        <f>'Inventory master'!A465</f>
        <v>ITEM464-A</v>
      </c>
      <c r="B465" s="6" t="str">
        <f>'Inventory master'!B465</f>
        <v>Fusion Splicer</v>
      </c>
      <c r="C465" s="6" t="str">
        <f>'Inventory master'!C465</f>
        <v>Splicers</v>
      </c>
      <c r="D465" s="6" t="str">
        <f>'Inventory master'!D465</f>
        <v>CommScope</v>
      </c>
      <c r="E465" s="10" t="str">
        <f>'Inventory master'!E465</f>
        <v>1706.24</v>
      </c>
      <c r="F465" s="10" t="str">
        <f>'Inventory master'!F465</f>
        <v>2020.34</v>
      </c>
      <c r="G465" s="10" t="str">
        <f>'Inventory master'!G465</f>
        <v>25</v>
      </c>
      <c r="H465" s="8">
        <f>IFERROR(_xlfn.XLOOKUP(A465, 'Opening stock'!A465:A1064, 'Opening stock'!E465:E1064), "")</f>
        <v>375</v>
      </c>
      <c r="I465" s="8">
        <f>IFERROR(SUMIF(Table3[Item ID],'Inventory calculations'!A465,Table3[Quantity]),0)</f>
        <v>0</v>
      </c>
      <c r="J465" s="8">
        <f>IFERROR(SUMIF(Table4[Item ID],'Inventory calculations'!A465,Table4[Quantity Purchased]),0)</f>
        <v>0</v>
      </c>
      <c r="K465" s="10">
        <f t="shared" si="30"/>
        <v>375</v>
      </c>
      <c r="L465" s="6" t="str">
        <f t="shared" si="31"/>
        <v>OK</v>
      </c>
      <c r="M465" s="13">
        <f t="shared" si="28"/>
        <v>639840</v>
      </c>
      <c r="N465" s="8">
        <f>Table5[[#This Row],[Total Qty Sold]]*Table5[[#This Row],[Unit Price]]</f>
        <v>0</v>
      </c>
      <c r="O465" s="9"/>
      <c r="P465" s="40" t="str">
        <f ca="1">IF(Table5[[#This Row],[Last sale Date]]="","Never Sold",TODAY()-Table5[[#This Row],[Last sale Date]])</f>
        <v>Never Sold</v>
      </c>
      <c r="Q465" s="6" t="str">
        <f>IF(Table5[[#This Row],[Re order Level]]&lt;=Table5[[#This Row],[Current stock]],"ORDERASAP","OK BUT BE CHECKING")</f>
        <v>OK BUT BE CHECKING</v>
      </c>
      <c r="R465" s="6" t="str">
        <f t="shared" si="29"/>
        <v>ACTIVE</v>
      </c>
      <c r="S465" s="8">
        <f>IF(Table5[[#This Row],[DEADSTOCK FLAG]]="DEAD",Table5[[#This Row],[Inventory Value]],0)</f>
        <v>0</v>
      </c>
    </row>
    <row r="466" spans="1:19" x14ac:dyDescent="0.25">
      <c r="A466" s="24" t="str">
        <f>'Inventory master'!A466</f>
        <v>ITEM465-A</v>
      </c>
      <c r="B466" s="6" t="str">
        <f>'Inventory master'!B466</f>
        <v>1x16 PLC Splitter</v>
      </c>
      <c r="C466" s="6" t="str">
        <f>'Inventory master'!C466</f>
        <v>Splitters</v>
      </c>
      <c r="D466" s="6" t="str">
        <f>'Inventory master'!D466</f>
        <v>Siemon</v>
      </c>
      <c r="E466" s="10" t="str">
        <f>'Inventory master'!E466</f>
        <v>474.18</v>
      </c>
      <c r="F466" s="10" t="str">
        <f>'Inventory master'!F466</f>
        <v>728.35</v>
      </c>
      <c r="G466" s="10" t="str">
        <f>'Inventory master'!G466</f>
        <v>39</v>
      </c>
      <c r="H466" s="8">
        <f>IFERROR(_xlfn.XLOOKUP(A466, 'Opening stock'!A466:A1065, 'Opening stock'!E466:E1065), "")</f>
        <v>585</v>
      </c>
      <c r="I466" s="8">
        <f>IFERROR(SUMIF(Table3[Item ID],'Inventory calculations'!A466,Table3[Quantity]),0)</f>
        <v>11</v>
      </c>
      <c r="J466" s="8">
        <f>IFERROR(SUMIF(Table4[Item ID],'Inventory calculations'!A466,Table4[Quantity Purchased]),0)</f>
        <v>3</v>
      </c>
      <c r="K466" s="10">
        <f t="shared" si="30"/>
        <v>577</v>
      </c>
      <c r="L466" s="6" t="str">
        <f t="shared" si="31"/>
        <v>OK</v>
      </c>
      <c r="M466" s="13">
        <f t="shared" si="28"/>
        <v>273601.86</v>
      </c>
      <c r="N466" s="8">
        <f>Table5[[#This Row],[Total Qty Sold]]*Table5[[#This Row],[Unit Price]]</f>
        <v>8011.85</v>
      </c>
      <c r="O466" s="9">
        <f>IFERROR(_xlfn.MAXIFS(Table3[Date],Table3[Item ID],Table5[[#This Row],[Item ID]]),"")</f>
        <v>45885</v>
      </c>
      <c r="P466" s="40">
        <f ca="1">IF(Table5[[#This Row],[Last sale Date]]="","Never Sold",TODAY()-Table5[[#This Row],[Last sale Date]])</f>
        <v>167</v>
      </c>
      <c r="Q466" s="6" t="str">
        <f>IF(Table5[[#This Row],[Re order Level]]&lt;=Table5[[#This Row],[Current stock]],"ORDERASAP","OK BUT BE CHECKING")</f>
        <v>OK BUT BE CHECKING</v>
      </c>
      <c r="R466" s="6" t="str">
        <f t="shared" si="29"/>
        <v>ACTIVE</v>
      </c>
      <c r="S466" s="8">
        <f>IF(Table5[[#This Row],[DEADSTOCK FLAG]]="DEAD",Table5[[#This Row],[Inventory Value]],0)</f>
        <v>0</v>
      </c>
    </row>
    <row r="467" spans="1:19" x14ac:dyDescent="0.25">
      <c r="A467" s="24" t="str">
        <f>'Inventory master'!A467</f>
        <v>ITEM466-A</v>
      </c>
      <c r="B467" s="6" t="str">
        <f>'Inventory master'!B467</f>
        <v>Fiber Adapter</v>
      </c>
      <c r="C467" s="6" t="str">
        <f>'Inventory master'!C467</f>
        <v>Accessories</v>
      </c>
      <c r="D467" s="6" t="str">
        <f>'Inventory master'!D467</f>
        <v>CommScope</v>
      </c>
      <c r="E467" s="10" t="str">
        <f>'Inventory master'!E467</f>
        <v>1709.71</v>
      </c>
      <c r="F467" s="10" t="str">
        <f>'Inventory master'!F467</f>
        <v>3230.05</v>
      </c>
      <c r="G467" s="10" t="str">
        <f>'Inventory master'!G467</f>
        <v>57</v>
      </c>
      <c r="H467" s="8">
        <f>IFERROR(_xlfn.XLOOKUP(A467, 'Opening stock'!A467:A1066, 'Opening stock'!E467:E1066), "")</f>
        <v>855</v>
      </c>
      <c r="I467" s="8">
        <f>IFERROR(SUMIF(Table3[Item ID],'Inventory calculations'!A467,Table3[Quantity]),0)</f>
        <v>2</v>
      </c>
      <c r="J467" s="8">
        <f>IFERROR(SUMIF(Table4[Item ID],'Inventory calculations'!A467,Table4[Quantity Purchased]),0)</f>
        <v>7</v>
      </c>
      <c r="K467" s="10">
        <f t="shared" si="30"/>
        <v>860</v>
      </c>
      <c r="L467" s="6" t="str">
        <f t="shared" si="31"/>
        <v>OK</v>
      </c>
      <c r="M467" s="13">
        <f t="shared" si="28"/>
        <v>1470350.6</v>
      </c>
      <c r="N467" s="8">
        <f>Table5[[#This Row],[Total Qty Sold]]*Table5[[#This Row],[Unit Price]]</f>
        <v>6460.1</v>
      </c>
      <c r="O467" s="9">
        <f>IFERROR(_xlfn.MAXIFS(Table3[Date],Table3[Item ID],Table5[[#This Row],[Item ID]]),"")</f>
        <v>45517</v>
      </c>
      <c r="P467" s="40">
        <f ca="1">IF(Table5[[#This Row],[Last sale Date]]="","Never Sold",TODAY()-Table5[[#This Row],[Last sale Date]])</f>
        <v>535</v>
      </c>
      <c r="Q467" s="6" t="str">
        <f>IF(Table5[[#This Row],[Re order Level]]&lt;=Table5[[#This Row],[Current stock]],"ORDERASAP","OK BUT BE CHECKING")</f>
        <v>OK BUT BE CHECKING</v>
      </c>
      <c r="R467" s="6" t="str">
        <f t="shared" si="29"/>
        <v>ACTIVE</v>
      </c>
      <c r="S467" s="8">
        <f>IF(Table5[[#This Row],[DEADSTOCK FLAG]]="DEAD",Table5[[#This Row],[Inventory Value]],0)</f>
        <v>0</v>
      </c>
    </row>
    <row r="468" spans="1:19" x14ac:dyDescent="0.25">
      <c r="A468" s="24" t="str">
        <f>'Inventory master'!A468</f>
        <v>ITEM467-A</v>
      </c>
      <c r="B468" s="6" t="str">
        <f>'Inventory master'!B468</f>
        <v>Mechanical Splicer</v>
      </c>
      <c r="C468" s="6" t="str">
        <f>'Inventory master'!C468</f>
        <v>Splicers</v>
      </c>
      <c r="D468" s="6" t="str">
        <f>'Inventory master'!D468</f>
        <v>Siemon</v>
      </c>
      <c r="E468" s="10" t="str">
        <f>'Inventory master'!E468</f>
        <v>558.47</v>
      </c>
      <c r="F468" s="10" t="str">
        <f>'Inventory master'!F468</f>
        <v>684.6</v>
      </c>
      <c r="G468" s="10" t="str">
        <f>'Inventory master'!G468</f>
        <v>12</v>
      </c>
      <c r="H468" s="8">
        <f>IFERROR(_xlfn.XLOOKUP(A468, 'Opening stock'!A468:A1067, 'Opening stock'!E468:E1067), "")</f>
        <v>180</v>
      </c>
      <c r="I468" s="8">
        <f>IFERROR(SUMIF(Table3[Item ID],'Inventory calculations'!A468,Table3[Quantity]),0)</f>
        <v>0</v>
      </c>
      <c r="J468" s="8">
        <f>IFERROR(SUMIF(Table4[Item ID],'Inventory calculations'!A468,Table4[Quantity Purchased]),0)</f>
        <v>0</v>
      </c>
      <c r="K468" s="10">
        <f t="shared" si="30"/>
        <v>180</v>
      </c>
      <c r="L468" s="6" t="str">
        <f t="shared" si="31"/>
        <v>OK</v>
      </c>
      <c r="M468" s="13">
        <f t="shared" si="28"/>
        <v>100524.6</v>
      </c>
      <c r="N468" s="8">
        <f>Table5[[#This Row],[Total Qty Sold]]*Table5[[#This Row],[Unit Price]]</f>
        <v>0</v>
      </c>
      <c r="O468" s="9"/>
      <c r="P468" s="40" t="str">
        <f ca="1">IF(Table5[[#This Row],[Last sale Date]]="","Never Sold",TODAY()-Table5[[#This Row],[Last sale Date]])</f>
        <v>Never Sold</v>
      </c>
      <c r="Q468" s="6" t="str">
        <f>IF(Table5[[#This Row],[Re order Level]]&lt;=Table5[[#This Row],[Current stock]],"ORDERASAP","OK BUT BE CHECKING")</f>
        <v>OK BUT BE CHECKING</v>
      </c>
      <c r="R468" s="6" t="str">
        <f t="shared" si="29"/>
        <v>ACTIVE</v>
      </c>
      <c r="S468" s="8">
        <f>IF(Table5[[#This Row],[DEADSTOCK FLAG]]="DEAD",Table5[[#This Row],[Inventory Value]],0)</f>
        <v>0</v>
      </c>
    </row>
    <row r="469" spans="1:19" x14ac:dyDescent="0.25">
      <c r="A469" s="24" t="str">
        <f>'Inventory master'!A469</f>
        <v>ITEM468-A</v>
      </c>
      <c r="B469" s="6" t="str">
        <f>'Inventory master'!B469</f>
        <v>12-Port Fiber Patch Panel</v>
      </c>
      <c r="C469" s="6" t="str">
        <f>'Inventory master'!C469</f>
        <v>Patch Panels</v>
      </c>
      <c r="D469" s="6" t="str">
        <f>'Inventory master'!D469</f>
        <v>AFL</v>
      </c>
      <c r="E469" s="10" t="str">
        <f>'Inventory master'!E469</f>
        <v>343.56</v>
      </c>
      <c r="F469" s="10" t="str">
        <f>'Inventory master'!F469</f>
        <v>442.43</v>
      </c>
      <c r="G469" s="10" t="str">
        <f>'Inventory master'!G469</f>
        <v>22</v>
      </c>
      <c r="H469" s="8">
        <f>IFERROR(_xlfn.XLOOKUP(A469, 'Opening stock'!A469:A1068, 'Opening stock'!E469:E1068), "")</f>
        <v>330</v>
      </c>
      <c r="I469" s="8">
        <f>IFERROR(SUMIF(Table3[Item ID],'Inventory calculations'!A469,Table3[Quantity]),0)</f>
        <v>0</v>
      </c>
      <c r="J469" s="8">
        <f>IFERROR(SUMIF(Table4[Item ID],'Inventory calculations'!A469,Table4[Quantity Purchased]),0)</f>
        <v>2</v>
      </c>
      <c r="K469" s="10">
        <f t="shared" si="30"/>
        <v>332</v>
      </c>
      <c r="L469" s="6" t="str">
        <f t="shared" si="31"/>
        <v>OK</v>
      </c>
      <c r="M469" s="13">
        <f t="shared" si="28"/>
        <v>114061.92</v>
      </c>
      <c r="N469" s="8">
        <f>Table5[[#This Row],[Total Qty Sold]]*Table5[[#This Row],[Unit Price]]</f>
        <v>0</v>
      </c>
      <c r="O469" s="9"/>
      <c r="P469" s="40" t="str">
        <f ca="1">IF(Table5[[#This Row],[Last sale Date]]="","Never Sold",TODAY()-Table5[[#This Row],[Last sale Date]])</f>
        <v>Never Sold</v>
      </c>
      <c r="Q469" s="6" t="str">
        <f>IF(Table5[[#This Row],[Re order Level]]&lt;=Table5[[#This Row],[Current stock]],"ORDERASAP","OK BUT BE CHECKING")</f>
        <v>OK BUT BE CHECKING</v>
      </c>
      <c r="R469" s="6" t="str">
        <f t="shared" si="29"/>
        <v>ACTIVE</v>
      </c>
      <c r="S469" s="8">
        <f>IF(Table5[[#This Row],[DEADSTOCK FLAG]]="DEAD",Table5[[#This Row],[Inventory Value]],0)</f>
        <v>0</v>
      </c>
    </row>
    <row r="470" spans="1:19" x14ac:dyDescent="0.25">
      <c r="A470" s="24" t="str">
        <f>'Inventory master'!A470</f>
        <v>ITEM469-A</v>
      </c>
      <c r="B470" s="6" t="str">
        <f>'Inventory master'!B470</f>
        <v>Fiber Cleaner</v>
      </c>
      <c r="C470" s="6" t="str">
        <f>'Inventory master'!C470</f>
        <v>Accessories</v>
      </c>
      <c r="D470" s="6" t="str">
        <f>'Inventory master'!D470</f>
        <v>TE Connectivity</v>
      </c>
      <c r="E470" s="10" t="str">
        <f>'Inventory master'!E470</f>
        <v>635.83</v>
      </c>
      <c r="F470" s="10" t="str">
        <f>'Inventory master'!F470</f>
        <v>882.62</v>
      </c>
      <c r="G470" s="10" t="str">
        <f>'Inventory master'!G470</f>
        <v>71</v>
      </c>
      <c r="H470" s="8">
        <f>IFERROR(_xlfn.XLOOKUP(A470, 'Opening stock'!A470:A1069, 'Opening stock'!E470:E1069), "")</f>
        <v>1065</v>
      </c>
      <c r="I470" s="8">
        <f>IFERROR(SUMIF(Table3[Item ID],'Inventory calculations'!A470,Table3[Quantity]),0)</f>
        <v>0</v>
      </c>
      <c r="J470" s="8">
        <f>IFERROR(SUMIF(Table4[Item ID],'Inventory calculations'!A470,Table4[Quantity Purchased]),0)</f>
        <v>2</v>
      </c>
      <c r="K470" s="10">
        <f t="shared" si="30"/>
        <v>1067</v>
      </c>
      <c r="L470" s="6" t="str">
        <f t="shared" si="31"/>
        <v>OK</v>
      </c>
      <c r="M470" s="13">
        <f t="shared" si="28"/>
        <v>678430.61</v>
      </c>
      <c r="N470" s="8">
        <f>Table5[[#This Row],[Total Qty Sold]]*Table5[[#This Row],[Unit Price]]</f>
        <v>0</v>
      </c>
      <c r="O470" s="9"/>
      <c r="P470" s="40" t="str">
        <f ca="1">IF(Table5[[#This Row],[Last sale Date]]="","Never Sold",TODAY()-Table5[[#This Row],[Last sale Date]])</f>
        <v>Never Sold</v>
      </c>
      <c r="Q470" s="6" t="str">
        <f>IF(Table5[[#This Row],[Re order Level]]&lt;=Table5[[#This Row],[Current stock]],"ORDERASAP","OK BUT BE CHECKING")</f>
        <v>OK BUT BE CHECKING</v>
      </c>
      <c r="R470" s="6" t="str">
        <f t="shared" si="29"/>
        <v>ACTIVE</v>
      </c>
      <c r="S470" s="8">
        <f>IF(Table5[[#This Row],[DEADSTOCK FLAG]]="DEAD",Table5[[#This Row],[Inventory Value]],0)</f>
        <v>0</v>
      </c>
    </row>
    <row r="471" spans="1:19" x14ac:dyDescent="0.25">
      <c r="A471" s="24" t="str">
        <f>'Inventory master'!A471</f>
        <v>ITEM470-A</v>
      </c>
      <c r="B471" s="6" t="str">
        <f>'Inventory master'!B471</f>
        <v>Pedestal Enclosure</v>
      </c>
      <c r="C471" s="6" t="str">
        <f>'Inventory master'!C471</f>
        <v>Enclosures</v>
      </c>
      <c r="D471" s="6" t="str">
        <f>'Inventory master'!D471</f>
        <v>Siemon</v>
      </c>
      <c r="E471" s="10" t="str">
        <f>'Inventory master'!E471</f>
        <v>1011.53</v>
      </c>
      <c r="F471" s="10" t="str">
        <f>'Inventory master'!F471</f>
        <v>1523.11</v>
      </c>
      <c r="G471" s="10" t="str">
        <f>'Inventory master'!G471</f>
        <v>60</v>
      </c>
      <c r="H471" s="8">
        <f>IFERROR(_xlfn.XLOOKUP(A471, 'Opening stock'!A471:A1070, 'Opening stock'!E471:E1070), "")</f>
        <v>900</v>
      </c>
      <c r="I471" s="8">
        <f>IFERROR(SUMIF(Table3[Item ID],'Inventory calculations'!A471,Table3[Quantity]),0)</f>
        <v>0</v>
      </c>
      <c r="J471" s="8">
        <f>IFERROR(SUMIF(Table4[Item ID],'Inventory calculations'!A471,Table4[Quantity Purchased]),0)</f>
        <v>2</v>
      </c>
      <c r="K471" s="10">
        <f t="shared" si="30"/>
        <v>902</v>
      </c>
      <c r="L471" s="6" t="str">
        <f t="shared" si="31"/>
        <v>OK</v>
      </c>
      <c r="M471" s="13">
        <f t="shared" si="28"/>
        <v>912400.05999999994</v>
      </c>
      <c r="N471" s="8">
        <f>Table5[[#This Row],[Total Qty Sold]]*Table5[[#This Row],[Unit Price]]</f>
        <v>0</v>
      </c>
      <c r="O471" s="9"/>
      <c r="P471" s="40" t="str">
        <f ca="1">IF(Table5[[#This Row],[Last sale Date]]="","Never Sold",TODAY()-Table5[[#This Row],[Last sale Date]])</f>
        <v>Never Sold</v>
      </c>
      <c r="Q471" s="6" t="str">
        <f>IF(Table5[[#This Row],[Re order Level]]&lt;=Table5[[#This Row],[Current stock]],"ORDERASAP","OK BUT BE CHECKING")</f>
        <v>OK BUT BE CHECKING</v>
      </c>
      <c r="R471" s="6" t="str">
        <f t="shared" si="29"/>
        <v>ACTIVE</v>
      </c>
      <c r="S471" s="8">
        <f>IF(Table5[[#This Row],[DEADSTOCK FLAG]]="DEAD",Table5[[#This Row],[Inventory Value]],0)</f>
        <v>0</v>
      </c>
    </row>
    <row r="472" spans="1:19" x14ac:dyDescent="0.25">
      <c r="A472" s="24" t="str">
        <f>'Inventory master'!A472</f>
        <v>ITEM471-A</v>
      </c>
      <c r="B472" s="6" t="str">
        <f>'Inventory master'!B472</f>
        <v>12-Port Fiber Patch Panel</v>
      </c>
      <c r="C472" s="6" t="str">
        <f>'Inventory master'!C472</f>
        <v>Patch Panels</v>
      </c>
      <c r="D472" s="6" t="str">
        <f>'Inventory master'!D472</f>
        <v>AFL</v>
      </c>
      <c r="E472" s="10" t="str">
        <f>'Inventory master'!E472</f>
        <v>1985.99</v>
      </c>
      <c r="F472" s="10" t="str">
        <f>'Inventory master'!F472</f>
        <v>3578.83</v>
      </c>
      <c r="G472" s="10" t="str">
        <f>'Inventory master'!G472</f>
        <v>77</v>
      </c>
      <c r="H472" s="8">
        <f>IFERROR(_xlfn.XLOOKUP(A472, 'Opening stock'!A472:A1071, 'Opening stock'!E472:E1071), "")</f>
        <v>1155</v>
      </c>
      <c r="I472" s="8">
        <f>IFERROR(SUMIF(Table3[Item ID],'Inventory calculations'!A472,Table3[Quantity]),0)</f>
        <v>4</v>
      </c>
      <c r="J472" s="8">
        <f>IFERROR(SUMIF(Table4[Item ID],'Inventory calculations'!A472,Table4[Quantity Purchased]),0)</f>
        <v>18</v>
      </c>
      <c r="K472" s="10">
        <f t="shared" si="30"/>
        <v>1169</v>
      </c>
      <c r="L472" s="6" t="str">
        <f t="shared" si="31"/>
        <v>OK</v>
      </c>
      <c r="M472" s="13">
        <f t="shared" si="28"/>
        <v>2321622.31</v>
      </c>
      <c r="N472" s="8">
        <f>Table5[[#This Row],[Total Qty Sold]]*Table5[[#This Row],[Unit Price]]</f>
        <v>14315.32</v>
      </c>
      <c r="O472" s="9">
        <f>IFERROR(_xlfn.MAXIFS(Table3[Date],Table3[Item ID],Table5[[#This Row],[Item ID]]),"")</f>
        <v>45554</v>
      </c>
      <c r="P472" s="40">
        <f ca="1">IF(Table5[[#This Row],[Last sale Date]]="","Never Sold",TODAY()-Table5[[#This Row],[Last sale Date]])</f>
        <v>498</v>
      </c>
      <c r="Q472" s="6" t="str">
        <f>IF(Table5[[#This Row],[Re order Level]]&lt;=Table5[[#This Row],[Current stock]],"ORDERASAP","OK BUT BE CHECKING")</f>
        <v>OK BUT BE CHECKING</v>
      </c>
      <c r="R472" s="6" t="str">
        <f t="shared" si="29"/>
        <v>ACTIVE</v>
      </c>
      <c r="S472" s="8">
        <f>IF(Table5[[#This Row],[DEADSTOCK FLAG]]="DEAD",Table5[[#This Row],[Inventory Value]],0)</f>
        <v>0</v>
      </c>
    </row>
    <row r="473" spans="1:19" x14ac:dyDescent="0.25">
      <c r="A473" s="24" t="str">
        <f>'Inventory master'!A473</f>
        <v>ITEM472-A</v>
      </c>
      <c r="B473" s="6" t="str">
        <f>'Inventory master'!B473</f>
        <v>96-Port Fiber Patch Panel</v>
      </c>
      <c r="C473" s="6" t="str">
        <f>'Inventory master'!C473</f>
        <v>Patch Panels</v>
      </c>
      <c r="D473" s="6" t="str">
        <f>'Inventory master'!D473</f>
        <v>Belden</v>
      </c>
      <c r="E473" s="10" t="str">
        <f>'Inventory master'!E473</f>
        <v>246.65</v>
      </c>
      <c r="F473" s="10" t="str">
        <f>'Inventory master'!F473</f>
        <v>444.69</v>
      </c>
      <c r="G473" s="10" t="str">
        <f>'Inventory master'!G473</f>
        <v>61</v>
      </c>
      <c r="H473" s="8">
        <f>IFERROR(_xlfn.XLOOKUP(A473, 'Opening stock'!A473:A1072, 'Opening stock'!E473:E1072), "")</f>
        <v>915</v>
      </c>
      <c r="I473" s="8">
        <f>IFERROR(SUMIF(Table3[Item ID],'Inventory calculations'!A473,Table3[Quantity]),0)</f>
        <v>16</v>
      </c>
      <c r="J473" s="8">
        <f>IFERROR(SUMIF(Table4[Item ID],'Inventory calculations'!A473,Table4[Quantity Purchased]),0)</f>
        <v>12</v>
      </c>
      <c r="K473" s="10">
        <f t="shared" si="30"/>
        <v>911</v>
      </c>
      <c r="L473" s="6" t="str">
        <f t="shared" si="31"/>
        <v>OK</v>
      </c>
      <c r="M473" s="13">
        <f t="shared" si="28"/>
        <v>224698.15</v>
      </c>
      <c r="N473" s="8">
        <f>Table5[[#This Row],[Total Qty Sold]]*Table5[[#This Row],[Unit Price]]</f>
        <v>7115.04</v>
      </c>
      <c r="O473" s="9">
        <f>IFERROR(_xlfn.MAXIFS(Table3[Date],Table3[Item ID],Table5[[#This Row],[Item ID]]),"")</f>
        <v>45646</v>
      </c>
      <c r="P473" s="40">
        <f ca="1">IF(Table5[[#This Row],[Last sale Date]]="","Never Sold",TODAY()-Table5[[#This Row],[Last sale Date]])</f>
        <v>406</v>
      </c>
      <c r="Q473" s="6" t="str">
        <f>IF(Table5[[#This Row],[Re order Level]]&lt;=Table5[[#This Row],[Current stock]],"ORDERASAP","OK BUT BE CHECKING")</f>
        <v>OK BUT BE CHECKING</v>
      </c>
      <c r="R473" s="6" t="str">
        <f t="shared" si="29"/>
        <v>ACTIVE</v>
      </c>
      <c r="S473" s="8">
        <f>IF(Table5[[#This Row],[DEADSTOCK FLAG]]="DEAD",Table5[[#This Row],[Inventory Value]],0)</f>
        <v>0</v>
      </c>
    </row>
    <row r="474" spans="1:19" x14ac:dyDescent="0.25">
      <c r="A474" s="24" t="str">
        <f>'Inventory master'!A474</f>
        <v>ITEM473-A</v>
      </c>
      <c r="B474" s="6" t="str">
        <f>'Inventory master'!B474</f>
        <v>Wall-Mount Enclosure</v>
      </c>
      <c r="C474" s="6" t="str">
        <f>'Inventory master'!C474</f>
        <v>Enclosures</v>
      </c>
      <c r="D474" s="6" t="str">
        <f>'Inventory master'!D474</f>
        <v>CommScope</v>
      </c>
      <c r="E474" s="10" t="str">
        <f>'Inventory master'!E474</f>
        <v>1679.31</v>
      </c>
      <c r="F474" s="10" t="str">
        <f>'Inventory master'!F474</f>
        <v>2729.35</v>
      </c>
      <c r="G474" s="10" t="str">
        <f>'Inventory master'!G474</f>
        <v>76</v>
      </c>
      <c r="H474" s="8">
        <f>IFERROR(_xlfn.XLOOKUP(A474, 'Opening stock'!A474:A1073, 'Opening stock'!E474:E1073), "")</f>
        <v>1140</v>
      </c>
      <c r="I474" s="8">
        <f>IFERROR(SUMIF(Table3[Item ID],'Inventory calculations'!A474,Table3[Quantity]),0)</f>
        <v>14</v>
      </c>
      <c r="J474" s="8">
        <f>IFERROR(SUMIF(Table4[Item ID],'Inventory calculations'!A474,Table4[Quantity Purchased]),0)</f>
        <v>18</v>
      </c>
      <c r="K474" s="10">
        <f t="shared" si="30"/>
        <v>1144</v>
      </c>
      <c r="L474" s="6" t="str">
        <f t="shared" si="31"/>
        <v>OK</v>
      </c>
      <c r="M474" s="13">
        <f t="shared" si="28"/>
        <v>1921130.64</v>
      </c>
      <c r="N474" s="8">
        <f>Table5[[#This Row],[Total Qty Sold]]*Table5[[#This Row],[Unit Price]]</f>
        <v>38210.9</v>
      </c>
      <c r="O474" s="9">
        <f>IFERROR(_xlfn.MAXIFS(Table3[Date],Table3[Item ID],Table5[[#This Row],[Item ID]]),"")</f>
        <v>45797</v>
      </c>
      <c r="P474" s="40">
        <f ca="1">IF(Table5[[#This Row],[Last sale Date]]="","Never Sold",TODAY()-Table5[[#This Row],[Last sale Date]])</f>
        <v>255</v>
      </c>
      <c r="Q474" s="6" t="str">
        <f>IF(Table5[[#This Row],[Re order Level]]&lt;=Table5[[#This Row],[Current stock]],"ORDERASAP","OK BUT BE CHECKING")</f>
        <v>OK BUT BE CHECKING</v>
      </c>
      <c r="R474" s="6" t="str">
        <f t="shared" si="29"/>
        <v>ACTIVE</v>
      </c>
      <c r="S474" s="8">
        <f>IF(Table5[[#This Row],[DEADSTOCK FLAG]]="DEAD",Table5[[#This Row],[Inventory Value]],0)</f>
        <v>0</v>
      </c>
    </row>
    <row r="475" spans="1:19" x14ac:dyDescent="0.25">
      <c r="A475" s="24" t="str">
        <f>'Inventory master'!A475</f>
        <v>ITEM474-A</v>
      </c>
      <c r="B475" s="6" t="str">
        <f>'Inventory master'!B475</f>
        <v>Fiber Cleaner</v>
      </c>
      <c r="C475" s="6" t="str">
        <f>'Inventory master'!C475</f>
        <v>Accessories</v>
      </c>
      <c r="D475" s="6" t="str">
        <f>'Inventory master'!D475</f>
        <v>Amphenol</v>
      </c>
      <c r="E475" s="10" t="str">
        <f>'Inventory master'!E475</f>
        <v>546.43</v>
      </c>
      <c r="F475" s="10" t="str">
        <f>'Inventory master'!F475</f>
        <v>1075.88</v>
      </c>
      <c r="G475" s="10" t="str">
        <f>'Inventory master'!G475</f>
        <v>100</v>
      </c>
      <c r="H475" s="8">
        <f>IFERROR(_xlfn.XLOOKUP(A475, 'Opening stock'!A475:A1074, 'Opening stock'!E475:E1074), "")</f>
        <v>1500</v>
      </c>
      <c r="I475" s="8">
        <f>IFERROR(SUMIF(Table3[Item ID],'Inventory calculations'!A475,Table3[Quantity]),0)</f>
        <v>192</v>
      </c>
      <c r="J475" s="8">
        <f>IFERROR(SUMIF(Table4[Item ID],'Inventory calculations'!A475,Table4[Quantity Purchased]),0)</f>
        <v>4</v>
      </c>
      <c r="K475" s="10">
        <f t="shared" si="30"/>
        <v>1312</v>
      </c>
      <c r="L475" s="6" t="str">
        <f t="shared" si="31"/>
        <v>OK</v>
      </c>
      <c r="M475" s="13">
        <f t="shared" si="28"/>
        <v>716916.15999999992</v>
      </c>
      <c r="N475" s="8">
        <f>Table5[[#This Row],[Total Qty Sold]]*Table5[[#This Row],[Unit Price]]</f>
        <v>206568.96000000002</v>
      </c>
      <c r="O475" s="9">
        <f>IFERROR(_xlfn.MAXIFS(Table3[Date],Table3[Item ID],Table5[[#This Row],[Item ID]]),"")</f>
        <v>45644</v>
      </c>
      <c r="P475" s="40">
        <f ca="1">IF(Table5[[#This Row],[Last sale Date]]="","Never Sold",TODAY()-Table5[[#This Row],[Last sale Date]])</f>
        <v>408</v>
      </c>
      <c r="Q475" s="6" t="str">
        <f>IF(Table5[[#This Row],[Re order Level]]&lt;=Table5[[#This Row],[Current stock]],"ORDERASAP","OK BUT BE CHECKING")</f>
        <v>OK BUT BE CHECKING</v>
      </c>
      <c r="R475" s="6" t="str">
        <f t="shared" si="29"/>
        <v>ACTIVE</v>
      </c>
      <c r="S475" s="8">
        <f>IF(Table5[[#This Row],[DEADSTOCK FLAG]]="DEAD",Table5[[#This Row],[Inventory Value]],0)</f>
        <v>0</v>
      </c>
    </row>
    <row r="476" spans="1:19" x14ac:dyDescent="0.25">
      <c r="A476" s="24" t="str">
        <f>'Inventory master'!A476</f>
        <v>ITEM475-A</v>
      </c>
      <c r="B476" s="6" t="str">
        <f>'Inventory master'!B476</f>
        <v>Mechanical Splicer</v>
      </c>
      <c r="C476" s="6" t="str">
        <f>'Inventory master'!C476</f>
        <v>Splicers</v>
      </c>
      <c r="D476" s="6" t="str">
        <f>'Inventory master'!D476</f>
        <v>Prysmian Group</v>
      </c>
      <c r="E476" s="10" t="str">
        <f>'Inventory master'!E476</f>
        <v>793.09</v>
      </c>
      <c r="F476" s="10" t="str">
        <f>'Inventory master'!F476</f>
        <v>1098.73</v>
      </c>
      <c r="G476" s="10" t="str">
        <f>'Inventory master'!G476</f>
        <v>59</v>
      </c>
      <c r="H476" s="8">
        <f>IFERROR(_xlfn.XLOOKUP(A476, 'Opening stock'!A476:A1075, 'Opening stock'!E476:E1075), "")</f>
        <v>885</v>
      </c>
      <c r="I476" s="8">
        <f>IFERROR(SUMIF(Table3[Item ID],'Inventory calculations'!A476,Table3[Quantity]),0)</f>
        <v>0</v>
      </c>
      <c r="J476" s="8">
        <f>IFERROR(SUMIF(Table4[Item ID],'Inventory calculations'!A476,Table4[Quantity Purchased]),0)</f>
        <v>0</v>
      </c>
      <c r="K476" s="10">
        <f t="shared" si="30"/>
        <v>885</v>
      </c>
      <c r="L476" s="6" t="str">
        <f t="shared" si="31"/>
        <v>OK</v>
      </c>
      <c r="M476" s="13">
        <f t="shared" si="28"/>
        <v>701884.65</v>
      </c>
      <c r="N476" s="8">
        <f>Table5[[#This Row],[Total Qty Sold]]*Table5[[#This Row],[Unit Price]]</f>
        <v>0</v>
      </c>
      <c r="O476" s="9"/>
      <c r="P476" s="40" t="str">
        <f ca="1">IF(Table5[[#This Row],[Last sale Date]]="","Never Sold",TODAY()-Table5[[#This Row],[Last sale Date]])</f>
        <v>Never Sold</v>
      </c>
      <c r="Q476" s="6" t="str">
        <f>IF(Table5[[#This Row],[Re order Level]]&lt;=Table5[[#This Row],[Current stock]],"ORDERASAP","OK BUT BE CHECKING")</f>
        <v>OK BUT BE CHECKING</v>
      </c>
      <c r="R476" s="6" t="str">
        <f t="shared" si="29"/>
        <v>ACTIVE</v>
      </c>
      <c r="S476" s="8">
        <f>IF(Table5[[#This Row],[DEADSTOCK FLAG]]="DEAD",Table5[[#This Row],[Inventory Value]],0)</f>
        <v>0</v>
      </c>
    </row>
    <row r="477" spans="1:19" x14ac:dyDescent="0.25">
      <c r="A477" s="24" t="str">
        <f>'Inventory master'!A477</f>
        <v>ITEM476-A</v>
      </c>
      <c r="B477" s="6" t="str">
        <f>'Inventory master'!B477</f>
        <v>Mechanical Splicer</v>
      </c>
      <c r="C477" s="6" t="str">
        <f>'Inventory master'!C477</f>
        <v>Splicers</v>
      </c>
      <c r="D477" s="6" t="str">
        <f>'Inventory master'!D477</f>
        <v>TE Connectivity</v>
      </c>
      <c r="E477" s="10" t="str">
        <f>'Inventory master'!E477</f>
        <v>1767.68</v>
      </c>
      <c r="F477" s="10" t="str">
        <f>'Inventory master'!F477</f>
        <v>2131.8</v>
      </c>
      <c r="G477" s="10" t="str">
        <f>'Inventory master'!G477</f>
        <v>86</v>
      </c>
      <c r="H477" s="8">
        <f>IFERROR(_xlfn.XLOOKUP(A477, 'Opening stock'!A477:A1076, 'Opening stock'!E477:E1076), "")</f>
        <v>1290</v>
      </c>
      <c r="I477" s="8">
        <f>IFERROR(SUMIF(Table3[Item ID],'Inventory calculations'!A477,Table3[Quantity]),0)</f>
        <v>0</v>
      </c>
      <c r="J477" s="8">
        <f>IFERROR(SUMIF(Table4[Item ID],'Inventory calculations'!A477,Table4[Quantity Purchased]),0)</f>
        <v>30</v>
      </c>
      <c r="K477" s="10">
        <f t="shared" si="30"/>
        <v>1320</v>
      </c>
      <c r="L477" s="6" t="str">
        <f t="shared" si="31"/>
        <v>OK</v>
      </c>
      <c r="M477" s="13">
        <f t="shared" si="28"/>
        <v>2333337.6000000001</v>
      </c>
      <c r="N477" s="8">
        <f>Table5[[#This Row],[Total Qty Sold]]*Table5[[#This Row],[Unit Price]]</f>
        <v>0</v>
      </c>
      <c r="O477" s="9"/>
      <c r="P477" s="40" t="str">
        <f ca="1">IF(Table5[[#This Row],[Last sale Date]]="","Never Sold",TODAY()-Table5[[#This Row],[Last sale Date]])</f>
        <v>Never Sold</v>
      </c>
      <c r="Q477" s="6" t="str">
        <f>IF(Table5[[#This Row],[Re order Level]]&lt;=Table5[[#This Row],[Current stock]],"ORDERASAP","OK BUT BE CHECKING")</f>
        <v>OK BUT BE CHECKING</v>
      </c>
      <c r="R477" s="6" t="str">
        <f t="shared" si="29"/>
        <v>ACTIVE</v>
      </c>
      <c r="S477" s="8">
        <f>IF(Table5[[#This Row],[DEADSTOCK FLAG]]="DEAD",Table5[[#This Row],[Inventory Value]],0)</f>
        <v>0</v>
      </c>
    </row>
    <row r="478" spans="1:19" x14ac:dyDescent="0.25">
      <c r="A478" s="24" t="str">
        <f>'Inventory master'!A478</f>
        <v>ITEM477-A</v>
      </c>
      <c r="B478" s="6" t="str">
        <f>'Inventory master'!B478</f>
        <v>CFP Transceiver</v>
      </c>
      <c r="C478" s="6" t="str">
        <f>'Inventory master'!C478</f>
        <v>Transceivers</v>
      </c>
      <c r="D478" s="6" t="str">
        <f>'Inventory master'!D478</f>
        <v>TE Connectivity</v>
      </c>
      <c r="E478" s="10" t="str">
        <f>'Inventory master'!E478</f>
        <v>1417.4</v>
      </c>
      <c r="F478" s="10" t="str">
        <f>'Inventory master'!F478</f>
        <v>1724.81</v>
      </c>
      <c r="G478" s="10" t="str">
        <f>'Inventory master'!G478</f>
        <v>39</v>
      </c>
      <c r="H478" s="8">
        <f>IFERROR(_xlfn.XLOOKUP(A478, 'Opening stock'!A478:A1077, 'Opening stock'!E478:E1077), "")</f>
        <v>585</v>
      </c>
      <c r="I478" s="8">
        <f>IFERROR(SUMIF(Table3[Item ID],'Inventory calculations'!A478,Table3[Quantity]),0)</f>
        <v>0</v>
      </c>
      <c r="J478" s="8">
        <f>IFERROR(SUMIF(Table4[Item ID],'Inventory calculations'!A478,Table4[Quantity Purchased]),0)</f>
        <v>24</v>
      </c>
      <c r="K478" s="10">
        <f t="shared" si="30"/>
        <v>609</v>
      </c>
      <c r="L478" s="6" t="str">
        <f t="shared" si="31"/>
        <v>OK</v>
      </c>
      <c r="M478" s="13">
        <f t="shared" si="28"/>
        <v>863196.60000000009</v>
      </c>
      <c r="N478" s="8">
        <f>Table5[[#This Row],[Total Qty Sold]]*Table5[[#This Row],[Unit Price]]</f>
        <v>0</v>
      </c>
      <c r="O478" s="9"/>
      <c r="P478" s="40" t="str">
        <f ca="1">IF(Table5[[#This Row],[Last sale Date]]="","Never Sold",TODAY()-Table5[[#This Row],[Last sale Date]])</f>
        <v>Never Sold</v>
      </c>
      <c r="Q478" s="6" t="str">
        <f>IF(Table5[[#This Row],[Re order Level]]&lt;=Table5[[#This Row],[Current stock]],"ORDERASAP","OK BUT BE CHECKING")</f>
        <v>OK BUT BE CHECKING</v>
      </c>
      <c r="R478" s="6" t="str">
        <f t="shared" si="29"/>
        <v>ACTIVE</v>
      </c>
      <c r="S478" s="8">
        <f>IF(Table5[[#This Row],[DEADSTOCK FLAG]]="DEAD",Table5[[#This Row],[Inventory Value]],0)</f>
        <v>0</v>
      </c>
    </row>
    <row r="479" spans="1:19" x14ac:dyDescent="0.25">
      <c r="A479" s="24" t="str">
        <f>'Inventory master'!A479</f>
        <v>ITEM478-A</v>
      </c>
      <c r="B479" s="6" t="str">
        <f>'Inventory master'!B479</f>
        <v>Single-Mode Fiber Cable 50m</v>
      </c>
      <c r="C479" s="6" t="str">
        <f>'Inventory master'!C479</f>
        <v>Fiber Optic Cables</v>
      </c>
      <c r="D479" s="6" t="str">
        <f>'Inventory master'!D479</f>
        <v>Siemon</v>
      </c>
      <c r="E479" s="10" t="str">
        <f>'Inventory master'!E479</f>
        <v>377.94</v>
      </c>
      <c r="F479" s="10" t="str">
        <f>'Inventory master'!F479</f>
        <v>609.26</v>
      </c>
      <c r="G479" s="10" t="str">
        <f>'Inventory master'!G479</f>
        <v>96</v>
      </c>
      <c r="H479" s="8">
        <f>IFERROR(_xlfn.XLOOKUP(A479, 'Opening stock'!A479:A1078, 'Opening stock'!E479:E1078), "")</f>
        <v>1440</v>
      </c>
      <c r="I479" s="8">
        <f>IFERROR(SUMIF(Table3[Item ID],'Inventory calculations'!A479,Table3[Quantity]),0)</f>
        <v>17</v>
      </c>
      <c r="J479" s="8">
        <f>IFERROR(SUMIF(Table4[Item ID],'Inventory calculations'!A479,Table4[Quantity Purchased]),0)</f>
        <v>4</v>
      </c>
      <c r="K479" s="10">
        <f t="shared" si="30"/>
        <v>1427</v>
      </c>
      <c r="L479" s="6" t="str">
        <f t="shared" si="31"/>
        <v>OK</v>
      </c>
      <c r="M479" s="13">
        <f t="shared" si="28"/>
        <v>539320.38</v>
      </c>
      <c r="N479" s="8">
        <f>Table5[[#This Row],[Total Qty Sold]]*Table5[[#This Row],[Unit Price]]</f>
        <v>10357.42</v>
      </c>
      <c r="O479" s="9">
        <f>IFERROR(_xlfn.MAXIFS(Table3[Date],Table3[Item ID],Table5[[#This Row],[Item ID]]),"")</f>
        <v>45815</v>
      </c>
      <c r="P479" s="40">
        <f ca="1">IF(Table5[[#This Row],[Last sale Date]]="","Never Sold",TODAY()-Table5[[#This Row],[Last sale Date]])</f>
        <v>237</v>
      </c>
      <c r="Q479" s="6" t="str">
        <f>IF(Table5[[#This Row],[Re order Level]]&lt;=Table5[[#This Row],[Current stock]],"ORDERASAP","OK BUT BE CHECKING")</f>
        <v>OK BUT BE CHECKING</v>
      </c>
      <c r="R479" s="6" t="str">
        <f t="shared" si="29"/>
        <v>ACTIVE</v>
      </c>
      <c r="S479" s="8">
        <f>IF(Table5[[#This Row],[DEADSTOCK FLAG]]="DEAD",Table5[[#This Row],[Inventory Value]],0)</f>
        <v>0</v>
      </c>
    </row>
    <row r="480" spans="1:19" x14ac:dyDescent="0.25">
      <c r="A480" s="24" t="str">
        <f>'Inventory master'!A480</f>
        <v>ITEM479-A</v>
      </c>
      <c r="B480" s="6" t="str">
        <f>'Inventory master'!B480</f>
        <v>Fiber Optic Cutter</v>
      </c>
      <c r="C480" s="6" t="str">
        <f>'Inventory master'!C480</f>
        <v>Tools</v>
      </c>
      <c r="D480" s="6" t="str">
        <f>'Inventory master'!D480</f>
        <v>Prysmian Group</v>
      </c>
      <c r="E480" s="10" t="str">
        <f>'Inventory master'!E480</f>
        <v>964.12</v>
      </c>
      <c r="F480" s="10" t="str">
        <f>'Inventory master'!F480</f>
        <v>1471.46</v>
      </c>
      <c r="G480" s="10" t="str">
        <f>'Inventory master'!G480</f>
        <v>84</v>
      </c>
      <c r="H480" s="8">
        <f>IFERROR(_xlfn.XLOOKUP(A480, 'Opening stock'!A480:A1079, 'Opening stock'!E480:E1079), "")</f>
        <v>1260</v>
      </c>
      <c r="I480" s="8">
        <f>IFERROR(SUMIF(Table3[Item ID],'Inventory calculations'!A480,Table3[Quantity]),0)</f>
        <v>0</v>
      </c>
      <c r="J480" s="8">
        <f>IFERROR(SUMIF(Table4[Item ID],'Inventory calculations'!A480,Table4[Quantity Purchased]),0)</f>
        <v>0</v>
      </c>
      <c r="K480" s="10">
        <f t="shared" si="30"/>
        <v>1260</v>
      </c>
      <c r="L480" s="6" t="str">
        <f t="shared" si="31"/>
        <v>OK</v>
      </c>
      <c r="M480" s="13">
        <f t="shared" si="28"/>
        <v>1214791.2</v>
      </c>
      <c r="N480" s="8">
        <f>Table5[[#This Row],[Total Qty Sold]]*Table5[[#This Row],[Unit Price]]</f>
        <v>0</v>
      </c>
      <c r="O480" s="9"/>
      <c r="P480" s="40" t="str">
        <f ca="1">IF(Table5[[#This Row],[Last sale Date]]="","Never Sold",TODAY()-Table5[[#This Row],[Last sale Date]])</f>
        <v>Never Sold</v>
      </c>
      <c r="Q480" s="6" t="str">
        <f>IF(Table5[[#This Row],[Re order Level]]&lt;=Table5[[#This Row],[Current stock]],"ORDERASAP","OK BUT BE CHECKING")</f>
        <v>OK BUT BE CHECKING</v>
      </c>
      <c r="R480" s="6" t="str">
        <f t="shared" si="29"/>
        <v>ACTIVE</v>
      </c>
      <c r="S480" s="8">
        <f>IF(Table5[[#This Row],[DEADSTOCK FLAG]]="DEAD",Table5[[#This Row],[Inventory Value]],0)</f>
        <v>0</v>
      </c>
    </row>
    <row r="481" spans="1:19" x14ac:dyDescent="0.25">
      <c r="A481" s="24" t="str">
        <f>'Inventory master'!A481</f>
        <v>ITEM480-A</v>
      </c>
      <c r="B481" s="6" t="str">
        <f>'Inventory master'!B481</f>
        <v>Fiber Jumper</v>
      </c>
      <c r="C481" s="6" t="str">
        <f>'Inventory master'!C481</f>
        <v>Accessories</v>
      </c>
      <c r="D481" s="6" t="str">
        <f>'Inventory master'!D481</f>
        <v>Siemon</v>
      </c>
      <c r="E481" s="10" t="str">
        <f>'Inventory master'!E481</f>
        <v>459.34</v>
      </c>
      <c r="F481" s="10" t="str">
        <f>'Inventory master'!F481</f>
        <v>585.78</v>
      </c>
      <c r="G481" s="10" t="str">
        <f>'Inventory master'!G481</f>
        <v>57</v>
      </c>
      <c r="H481" s="8">
        <f>IFERROR(_xlfn.XLOOKUP(A481, 'Opening stock'!A481:A1080, 'Opening stock'!E481:E1080), "")</f>
        <v>855</v>
      </c>
      <c r="I481" s="8">
        <f>IFERROR(SUMIF(Table3[Item ID],'Inventory calculations'!A481,Table3[Quantity]),0)</f>
        <v>0</v>
      </c>
      <c r="J481" s="8">
        <f>IFERROR(SUMIF(Table4[Item ID],'Inventory calculations'!A481,Table4[Quantity Purchased]),0)</f>
        <v>6</v>
      </c>
      <c r="K481" s="10">
        <f t="shared" si="30"/>
        <v>861</v>
      </c>
      <c r="L481" s="6" t="str">
        <f t="shared" si="31"/>
        <v>OK</v>
      </c>
      <c r="M481" s="13">
        <f t="shared" si="28"/>
        <v>395491.74</v>
      </c>
      <c r="N481" s="8">
        <f>Table5[[#This Row],[Total Qty Sold]]*Table5[[#This Row],[Unit Price]]</f>
        <v>0</v>
      </c>
      <c r="O481" s="9"/>
      <c r="P481" s="40" t="str">
        <f ca="1">IF(Table5[[#This Row],[Last sale Date]]="","Never Sold",TODAY()-Table5[[#This Row],[Last sale Date]])</f>
        <v>Never Sold</v>
      </c>
      <c r="Q481" s="6" t="str">
        <f>IF(Table5[[#This Row],[Re order Level]]&lt;=Table5[[#This Row],[Current stock]],"ORDERASAP","OK BUT BE CHECKING")</f>
        <v>OK BUT BE CHECKING</v>
      </c>
      <c r="R481" s="6" t="str">
        <f t="shared" si="29"/>
        <v>ACTIVE</v>
      </c>
      <c r="S481" s="8">
        <f>IF(Table5[[#This Row],[DEADSTOCK FLAG]]="DEAD",Table5[[#This Row],[Inventory Value]],0)</f>
        <v>0</v>
      </c>
    </row>
    <row r="482" spans="1:19" x14ac:dyDescent="0.25">
      <c r="A482" s="24" t="str">
        <f>'Inventory master'!A482</f>
        <v>ITEM481-A</v>
      </c>
      <c r="B482" s="6" t="str">
        <f>'Inventory master'!B482</f>
        <v>1x32 PLC Splitter</v>
      </c>
      <c r="C482" s="6" t="str">
        <f>'Inventory master'!C482</f>
        <v>Splitters</v>
      </c>
      <c r="D482" s="6" t="str">
        <f>'Inventory master'!D482</f>
        <v>AFL</v>
      </c>
      <c r="E482" s="10" t="str">
        <f>'Inventory master'!E482</f>
        <v>210.65</v>
      </c>
      <c r="F482" s="10" t="str">
        <f>'Inventory master'!F482</f>
        <v>365.13</v>
      </c>
      <c r="G482" s="10" t="str">
        <f>'Inventory master'!G482</f>
        <v>70</v>
      </c>
      <c r="H482" s="8">
        <f>IFERROR(_xlfn.XLOOKUP(A482, 'Opening stock'!A482:A1081, 'Opening stock'!E482:E1081), "")</f>
        <v>1050</v>
      </c>
      <c r="I482" s="8">
        <f>IFERROR(SUMIF(Table3[Item ID],'Inventory calculations'!A482,Table3[Quantity]),0)</f>
        <v>0</v>
      </c>
      <c r="J482" s="8">
        <f>IFERROR(SUMIF(Table4[Item ID],'Inventory calculations'!A482,Table4[Quantity Purchased]),0)</f>
        <v>21</v>
      </c>
      <c r="K482" s="10">
        <f t="shared" si="30"/>
        <v>1071</v>
      </c>
      <c r="L482" s="6" t="str">
        <f t="shared" si="31"/>
        <v>OK</v>
      </c>
      <c r="M482" s="13">
        <f t="shared" si="28"/>
        <v>225606.15</v>
      </c>
      <c r="N482" s="8">
        <f>Table5[[#This Row],[Total Qty Sold]]*Table5[[#This Row],[Unit Price]]</f>
        <v>0</v>
      </c>
      <c r="O482" s="9"/>
      <c r="P482" s="40" t="str">
        <f ca="1">IF(Table5[[#This Row],[Last sale Date]]="","Never Sold",TODAY()-Table5[[#This Row],[Last sale Date]])</f>
        <v>Never Sold</v>
      </c>
      <c r="Q482" s="6" t="str">
        <f>IF(Table5[[#This Row],[Re order Level]]&lt;=Table5[[#This Row],[Current stock]],"ORDERASAP","OK BUT BE CHECKING")</f>
        <v>OK BUT BE CHECKING</v>
      </c>
      <c r="R482" s="6" t="str">
        <f t="shared" si="29"/>
        <v>ACTIVE</v>
      </c>
      <c r="S482" s="8">
        <f>IF(Table5[[#This Row],[DEADSTOCK FLAG]]="DEAD",Table5[[#This Row],[Inventory Value]],0)</f>
        <v>0</v>
      </c>
    </row>
    <row r="483" spans="1:19" x14ac:dyDescent="0.25">
      <c r="A483" s="24" t="str">
        <f>'Inventory master'!A483</f>
        <v>ITEM482-A</v>
      </c>
      <c r="B483" s="6" t="str">
        <f>'Inventory master'!B483</f>
        <v>Mechanical Splicer</v>
      </c>
      <c r="C483" s="6" t="str">
        <f>'Inventory master'!C483</f>
        <v>Splicers</v>
      </c>
      <c r="D483" s="6" t="str">
        <f>'Inventory master'!D483</f>
        <v>AFL</v>
      </c>
      <c r="E483" s="10" t="str">
        <f>'Inventory master'!E483</f>
        <v>1837.58</v>
      </c>
      <c r="F483" s="10" t="str">
        <f>'Inventory master'!F483</f>
        <v>2955.53</v>
      </c>
      <c r="G483" s="10" t="str">
        <f>'Inventory master'!G483</f>
        <v>78</v>
      </c>
      <c r="H483" s="8">
        <f>IFERROR(_xlfn.XLOOKUP(A483, 'Opening stock'!A483:A1082, 'Opening stock'!E483:E1082), "")</f>
        <v>1170</v>
      </c>
      <c r="I483" s="8">
        <f>IFERROR(SUMIF(Table3[Item ID],'Inventory calculations'!A483,Table3[Quantity]),0)</f>
        <v>0</v>
      </c>
      <c r="J483" s="8">
        <f>IFERROR(SUMIF(Table4[Item ID],'Inventory calculations'!A483,Table4[Quantity Purchased]),0)</f>
        <v>3</v>
      </c>
      <c r="K483" s="10">
        <f t="shared" si="30"/>
        <v>1173</v>
      </c>
      <c r="L483" s="6" t="str">
        <f t="shared" si="31"/>
        <v>OK</v>
      </c>
      <c r="M483" s="13">
        <f t="shared" si="28"/>
        <v>2155481.34</v>
      </c>
      <c r="N483" s="8">
        <f>Table5[[#This Row],[Total Qty Sold]]*Table5[[#This Row],[Unit Price]]</f>
        <v>0</v>
      </c>
      <c r="O483" s="9"/>
      <c r="P483" s="40" t="str">
        <f ca="1">IF(Table5[[#This Row],[Last sale Date]]="","Never Sold",TODAY()-Table5[[#This Row],[Last sale Date]])</f>
        <v>Never Sold</v>
      </c>
      <c r="Q483" s="6" t="str">
        <f>IF(Table5[[#This Row],[Re order Level]]&lt;=Table5[[#This Row],[Current stock]],"ORDERASAP","OK BUT BE CHECKING")</f>
        <v>OK BUT BE CHECKING</v>
      </c>
      <c r="R483" s="6" t="str">
        <f t="shared" si="29"/>
        <v>ACTIVE</v>
      </c>
      <c r="S483" s="8">
        <f>IF(Table5[[#This Row],[DEADSTOCK FLAG]]="DEAD",Table5[[#This Row],[Inventory Value]],0)</f>
        <v>0</v>
      </c>
    </row>
    <row r="484" spans="1:19" x14ac:dyDescent="0.25">
      <c r="A484" s="24" t="str">
        <f>'Inventory master'!A484</f>
        <v>ITEM483-A</v>
      </c>
      <c r="B484" s="6" t="str">
        <f>'Inventory master'!B484</f>
        <v>Wall-Mount Enclosure</v>
      </c>
      <c r="C484" s="6" t="str">
        <f>'Inventory master'!C484</f>
        <v>Enclosures</v>
      </c>
      <c r="D484" s="6" t="str">
        <f>'Inventory master'!D484</f>
        <v>Panduit</v>
      </c>
      <c r="E484" s="10" t="str">
        <f>'Inventory master'!E484</f>
        <v>385.64</v>
      </c>
      <c r="F484" s="10" t="str">
        <f>'Inventory master'!F484</f>
        <v>700.07</v>
      </c>
      <c r="G484" s="10" t="str">
        <f>'Inventory master'!G484</f>
        <v>18</v>
      </c>
      <c r="H484" s="8">
        <f>IFERROR(_xlfn.XLOOKUP(A484, 'Opening stock'!A484:A1083, 'Opening stock'!E484:E1083), "")</f>
        <v>270</v>
      </c>
      <c r="I484" s="8">
        <f>IFERROR(SUMIF(Table3[Item ID],'Inventory calculations'!A484,Table3[Quantity]),0)</f>
        <v>0</v>
      </c>
      <c r="J484" s="8">
        <f>IFERROR(SUMIF(Table4[Item ID],'Inventory calculations'!A484,Table4[Quantity Purchased]),0)</f>
        <v>1</v>
      </c>
      <c r="K484" s="10">
        <f t="shared" si="30"/>
        <v>271</v>
      </c>
      <c r="L484" s="6" t="str">
        <f t="shared" si="31"/>
        <v>OK</v>
      </c>
      <c r="M484" s="13">
        <f t="shared" si="28"/>
        <v>104508.44</v>
      </c>
      <c r="N484" s="8">
        <f>Table5[[#This Row],[Total Qty Sold]]*Table5[[#This Row],[Unit Price]]</f>
        <v>0</v>
      </c>
      <c r="O484" s="9"/>
      <c r="P484" s="40" t="str">
        <f ca="1">IF(Table5[[#This Row],[Last sale Date]]="","Never Sold",TODAY()-Table5[[#This Row],[Last sale Date]])</f>
        <v>Never Sold</v>
      </c>
      <c r="Q484" s="6" t="str">
        <f>IF(Table5[[#This Row],[Re order Level]]&lt;=Table5[[#This Row],[Current stock]],"ORDERASAP","OK BUT BE CHECKING")</f>
        <v>OK BUT BE CHECKING</v>
      </c>
      <c r="R484" s="6" t="str">
        <f t="shared" si="29"/>
        <v>ACTIVE</v>
      </c>
      <c r="S484" s="8">
        <f>IF(Table5[[#This Row],[DEADSTOCK FLAG]]="DEAD",Table5[[#This Row],[Inventory Value]],0)</f>
        <v>0</v>
      </c>
    </row>
    <row r="485" spans="1:19" x14ac:dyDescent="0.25">
      <c r="A485" s="24" t="str">
        <f>'Inventory master'!A485</f>
        <v>ITEM484-A</v>
      </c>
      <c r="B485" s="6" t="str">
        <f>'Inventory master'!B485</f>
        <v>Dome Enclosure</v>
      </c>
      <c r="C485" s="6" t="str">
        <f>'Inventory master'!C485</f>
        <v>Enclosures</v>
      </c>
      <c r="D485" s="6" t="str">
        <f>'Inventory master'!D485</f>
        <v>CommScope</v>
      </c>
      <c r="E485" s="10" t="str">
        <f>'Inventory master'!E485</f>
        <v>467.78</v>
      </c>
      <c r="F485" s="10" t="str">
        <f>'Inventory master'!F485</f>
        <v>568.47</v>
      </c>
      <c r="G485" s="10" t="str">
        <f>'Inventory master'!G485</f>
        <v>77</v>
      </c>
      <c r="H485" s="8">
        <f>IFERROR(_xlfn.XLOOKUP(A485, 'Opening stock'!A485:A1084, 'Opening stock'!E485:E1084), "")</f>
        <v>1155</v>
      </c>
      <c r="I485" s="8">
        <f>IFERROR(SUMIF(Table3[Item ID],'Inventory calculations'!A485,Table3[Quantity]),0)</f>
        <v>0</v>
      </c>
      <c r="J485" s="8">
        <f>IFERROR(SUMIF(Table4[Item ID],'Inventory calculations'!A485,Table4[Quantity Purchased]),0)</f>
        <v>0</v>
      </c>
      <c r="K485" s="10">
        <f t="shared" si="30"/>
        <v>1155</v>
      </c>
      <c r="L485" s="6" t="str">
        <f t="shared" si="31"/>
        <v>OK</v>
      </c>
      <c r="M485" s="13">
        <f t="shared" si="28"/>
        <v>540285.9</v>
      </c>
      <c r="N485" s="8">
        <f>Table5[[#This Row],[Total Qty Sold]]*Table5[[#This Row],[Unit Price]]</f>
        <v>0</v>
      </c>
      <c r="O485" s="9"/>
      <c r="P485" s="40" t="str">
        <f ca="1">IF(Table5[[#This Row],[Last sale Date]]="","Never Sold",TODAY()-Table5[[#This Row],[Last sale Date]])</f>
        <v>Never Sold</v>
      </c>
      <c r="Q485" s="6" t="str">
        <f>IF(Table5[[#This Row],[Re order Level]]&lt;=Table5[[#This Row],[Current stock]],"ORDERASAP","OK BUT BE CHECKING")</f>
        <v>OK BUT BE CHECKING</v>
      </c>
      <c r="R485" s="6" t="str">
        <f t="shared" si="29"/>
        <v>ACTIVE</v>
      </c>
      <c r="S485" s="8">
        <f>IF(Table5[[#This Row],[DEADSTOCK FLAG]]="DEAD",Table5[[#This Row],[Inventory Value]],0)</f>
        <v>0</v>
      </c>
    </row>
    <row r="486" spans="1:19" x14ac:dyDescent="0.25">
      <c r="A486" s="24" t="str">
        <f>'Inventory master'!A486</f>
        <v>ITEM485-A</v>
      </c>
      <c r="B486" s="6" t="str">
        <f>'Inventory master'!B486</f>
        <v>Fiber Optic Polisher</v>
      </c>
      <c r="C486" s="6" t="str">
        <f>'Inventory master'!C486</f>
        <v>Tools</v>
      </c>
      <c r="D486" s="6" t="str">
        <f>'Inventory master'!D486</f>
        <v>Siemon</v>
      </c>
      <c r="E486" s="10" t="str">
        <f>'Inventory master'!E486</f>
        <v>1325.96</v>
      </c>
      <c r="F486" s="10" t="str">
        <f>'Inventory master'!F486</f>
        <v>2485.23</v>
      </c>
      <c r="G486" s="10" t="str">
        <f>'Inventory master'!G486</f>
        <v>26</v>
      </c>
      <c r="H486" s="8">
        <f>IFERROR(_xlfn.XLOOKUP(A486, 'Opening stock'!A486:A1085, 'Opening stock'!E486:E1085), "")</f>
        <v>390</v>
      </c>
      <c r="I486" s="8">
        <f>IFERROR(SUMIF(Table3[Item ID],'Inventory calculations'!A486,Table3[Quantity]),0)</f>
        <v>169</v>
      </c>
      <c r="J486" s="8">
        <f>IFERROR(SUMIF(Table4[Item ID],'Inventory calculations'!A486,Table4[Quantity Purchased]),0)</f>
        <v>23</v>
      </c>
      <c r="K486" s="10">
        <f t="shared" si="30"/>
        <v>244</v>
      </c>
      <c r="L486" s="6" t="str">
        <f t="shared" si="31"/>
        <v>OK</v>
      </c>
      <c r="M486" s="13">
        <f t="shared" si="28"/>
        <v>323534.24</v>
      </c>
      <c r="N486" s="8">
        <f>Table5[[#This Row],[Total Qty Sold]]*Table5[[#This Row],[Unit Price]]</f>
        <v>420003.87</v>
      </c>
      <c r="O486" s="9">
        <f>IFERROR(_xlfn.MAXIFS(Table3[Date],Table3[Item ID],Table5[[#This Row],[Item ID]]),"")</f>
        <v>46001</v>
      </c>
      <c r="P486" s="40">
        <f ca="1">IF(Table5[[#This Row],[Last sale Date]]="","Never Sold",TODAY()-Table5[[#This Row],[Last sale Date]])</f>
        <v>51</v>
      </c>
      <c r="Q486" s="6" t="str">
        <f>IF(Table5[[#This Row],[Re order Level]]&lt;=Table5[[#This Row],[Current stock]],"ORDERASAP","OK BUT BE CHECKING")</f>
        <v>OK BUT BE CHECKING</v>
      </c>
      <c r="R486" s="6" t="str">
        <f t="shared" si="29"/>
        <v>ACTIVE</v>
      </c>
      <c r="S486" s="8">
        <f>IF(Table5[[#This Row],[DEADSTOCK FLAG]]="DEAD",Table5[[#This Row],[Inventory Value]],0)</f>
        <v>0</v>
      </c>
    </row>
    <row r="487" spans="1:19" x14ac:dyDescent="0.25">
      <c r="A487" s="24" t="str">
        <f>'Inventory master'!A487</f>
        <v>ITEM486-A</v>
      </c>
      <c r="B487" s="6" t="str">
        <f>'Inventory master'!B487</f>
        <v>1x32 PLC Splitter</v>
      </c>
      <c r="C487" s="6" t="str">
        <f>'Inventory master'!C487</f>
        <v>Splitters</v>
      </c>
      <c r="D487" s="6" t="str">
        <f>'Inventory master'!D487</f>
        <v>Huber+Suhner</v>
      </c>
      <c r="E487" s="10" t="str">
        <f>'Inventory master'!E487</f>
        <v>1227.31</v>
      </c>
      <c r="F487" s="10" t="str">
        <f>'Inventory master'!F487</f>
        <v>1815.33</v>
      </c>
      <c r="G487" s="10" t="str">
        <f>'Inventory master'!G487</f>
        <v>36</v>
      </c>
      <c r="H487" s="8">
        <f>IFERROR(_xlfn.XLOOKUP(A487, 'Opening stock'!A487:A1086, 'Opening stock'!E487:E1086), "")</f>
        <v>540</v>
      </c>
      <c r="I487" s="8">
        <f>IFERROR(SUMIF(Table3[Item ID],'Inventory calculations'!A487,Table3[Quantity]),0)</f>
        <v>0</v>
      </c>
      <c r="J487" s="8">
        <f>IFERROR(SUMIF(Table4[Item ID],'Inventory calculations'!A487,Table4[Quantity Purchased]),0)</f>
        <v>1</v>
      </c>
      <c r="K487" s="10">
        <f t="shared" si="30"/>
        <v>541</v>
      </c>
      <c r="L487" s="6" t="str">
        <f t="shared" si="31"/>
        <v>OK</v>
      </c>
      <c r="M487" s="13">
        <f t="shared" si="28"/>
        <v>663974.71</v>
      </c>
      <c r="N487" s="8">
        <f>Table5[[#This Row],[Total Qty Sold]]*Table5[[#This Row],[Unit Price]]</f>
        <v>0</v>
      </c>
      <c r="O487" s="9"/>
      <c r="P487" s="40" t="str">
        <f ca="1">IF(Table5[[#This Row],[Last sale Date]]="","Never Sold",TODAY()-Table5[[#This Row],[Last sale Date]])</f>
        <v>Never Sold</v>
      </c>
      <c r="Q487" s="6" t="str">
        <f>IF(Table5[[#This Row],[Re order Level]]&lt;=Table5[[#This Row],[Current stock]],"ORDERASAP","OK BUT BE CHECKING")</f>
        <v>OK BUT BE CHECKING</v>
      </c>
      <c r="R487" s="6" t="str">
        <f t="shared" si="29"/>
        <v>ACTIVE</v>
      </c>
      <c r="S487" s="8">
        <f>IF(Table5[[#This Row],[DEADSTOCK FLAG]]="DEAD",Table5[[#This Row],[Inventory Value]],0)</f>
        <v>0</v>
      </c>
    </row>
    <row r="488" spans="1:19" x14ac:dyDescent="0.25">
      <c r="A488" s="24" t="str">
        <f>'Inventory master'!A488</f>
        <v>ITEM487-A</v>
      </c>
      <c r="B488" s="6" t="str">
        <f>'Inventory master'!B488</f>
        <v>Fixed Attenuator 3dB</v>
      </c>
      <c r="C488" s="6" t="str">
        <f>'Inventory master'!C488</f>
        <v>Attenuators</v>
      </c>
      <c r="D488" s="6" t="str">
        <f>'Inventory master'!D488</f>
        <v>Amphenol</v>
      </c>
      <c r="E488" s="10" t="str">
        <f>'Inventory master'!E488</f>
        <v>1952.87</v>
      </c>
      <c r="F488" s="10" t="str">
        <f>'Inventory master'!F488</f>
        <v>2290.97</v>
      </c>
      <c r="G488" s="10" t="str">
        <f>'Inventory master'!G488</f>
        <v>28</v>
      </c>
      <c r="H488" s="8">
        <f>IFERROR(_xlfn.XLOOKUP(A488, 'Opening stock'!A488:A1087, 'Opening stock'!E488:E1087), "")</f>
        <v>420</v>
      </c>
      <c r="I488" s="8">
        <f>IFERROR(SUMIF(Table3[Item ID],'Inventory calculations'!A488,Table3[Quantity]),0)</f>
        <v>5</v>
      </c>
      <c r="J488" s="8">
        <f>IFERROR(SUMIF(Table4[Item ID],'Inventory calculations'!A488,Table4[Quantity Purchased]),0)</f>
        <v>5</v>
      </c>
      <c r="K488" s="10">
        <f t="shared" si="30"/>
        <v>420</v>
      </c>
      <c r="L488" s="6" t="str">
        <f t="shared" si="31"/>
        <v>OK</v>
      </c>
      <c r="M488" s="13">
        <f t="shared" si="28"/>
        <v>820205.39999999991</v>
      </c>
      <c r="N488" s="8">
        <f>Table5[[#This Row],[Total Qty Sold]]*Table5[[#This Row],[Unit Price]]</f>
        <v>11454.849999999999</v>
      </c>
      <c r="O488" s="9">
        <f>IFERROR(_xlfn.MAXIFS(Table3[Date],Table3[Item ID],Table5[[#This Row],[Item ID]]),"")</f>
        <v>45566</v>
      </c>
      <c r="P488" s="40">
        <f ca="1">IF(Table5[[#This Row],[Last sale Date]]="","Never Sold",TODAY()-Table5[[#This Row],[Last sale Date]])</f>
        <v>486</v>
      </c>
      <c r="Q488" s="6" t="str">
        <f>IF(Table5[[#This Row],[Re order Level]]&lt;=Table5[[#This Row],[Current stock]],"ORDERASAP","OK BUT BE CHECKING")</f>
        <v>OK BUT BE CHECKING</v>
      </c>
      <c r="R488" s="6" t="str">
        <f t="shared" si="29"/>
        <v>ACTIVE</v>
      </c>
      <c r="S488" s="8">
        <f>IF(Table5[[#This Row],[DEADSTOCK FLAG]]="DEAD",Table5[[#This Row],[Inventory Value]],0)</f>
        <v>0</v>
      </c>
    </row>
    <row r="489" spans="1:19" x14ac:dyDescent="0.25">
      <c r="A489" s="24" t="str">
        <f>'Inventory master'!A489</f>
        <v>ITEM488-A</v>
      </c>
      <c r="B489" s="6" t="str">
        <f>'Inventory master'!B489</f>
        <v>1x8 PLC Splitter</v>
      </c>
      <c r="C489" s="6" t="str">
        <f>'Inventory master'!C489</f>
        <v>Splitters</v>
      </c>
      <c r="D489" s="6" t="str">
        <f>'Inventory master'!D489</f>
        <v>Amphenol</v>
      </c>
      <c r="E489" s="10" t="str">
        <f>'Inventory master'!E489</f>
        <v>1582.72</v>
      </c>
      <c r="F489" s="10" t="str">
        <f>'Inventory master'!F489</f>
        <v>2484.51</v>
      </c>
      <c r="G489" s="10" t="str">
        <f>'Inventory master'!G489</f>
        <v>45</v>
      </c>
      <c r="H489" s="8">
        <f>IFERROR(_xlfn.XLOOKUP(A489, 'Opening stock'!A489:A1088, 'Opening stock'!E489:E1088), "")</f>
        <v>675</v>
      </c>
      <c r="I489" s="8">
        <f>IFERROR(SUMIF(Table3[Item ID],'Inventory calculations'!A489,Table3[Quantity]),0)</f>
        <v>0</v>
      </c>
      <c r="J489" s="8">
        <f>IFERROR(SUMIF(Table4[Item ID],'Inventory calculations'!A489,Table4[Quantity Purchased]),0)</f>
        <v>0</v>
      </c>
      <c r="K489" s="10">
        <f t="shared" si="30"/>
        <v>675</v>
      </c>
      <c r="L489" s="6" t="str">
        <f t="shared" si="31"/>
        <v>OK</v>
      </c>
      <c r="M489" s="13">
        <f t="shared" si="28"/>
        <v>1068336</v>
      </c>
      <c r="N489" s="8">
        <f>Table5[[#This Row],[Total Qty Sold]]*Table5[[#This Row],[Unit Price]]</f>
        <v>0</v>
      </c>
      <c r="O489" s="9"/>
      <c r="P489" s="40" t="str">
        <f ca="1">IF(Table5[[#This Row],[Last sale Date]]="","Never Sold",TODAY()-Table5[[#This Row],[Last sale Date]])</f>
        <v>Never Sold</v>
      </c>
      <c r="Q489" s="6" t="str">
        <f>IF(Table5[[#This Row],[Re order Level]]&lt;=Table5[[#This Row],[Current stock]],"ORDERASAP","OK BUT BE CHECKING")</f>
        <v>OK BUT BE CHECKING</v>
      </c>
      <c r="R489" s="6" t="str">
        <f t="shared" si="29"/>
        <v>ACTIVE</v>
      </c>
      <c r="S489" s="8">
        <f>IF(Table5[[#This Row],[DEADSTOCK FLAG]]="DEAD",Table5[[#This Row],[Inventory Value]],0)</f>
        <v>0</v>
      </c>
    </row>
    <row r="490" spans="1:19" x14ac:dyDescent="0.25">
      <c r="A490" s="24" t="str">
        <f>'Inventory master'!A490</f>
        <v>ITEM489-A</v>
      </c>
      <c r="B490" s="6" t="str">
        <f>'Inventory master'!B490</f>
        <v>Pedestal Enclosure</v>
      </c>
      <c r="C490" s="6" t="str">
        <f>'Inventory master'!C490</f>
        <v>Enclosures</v>
      </c>
      <c r="D490" s="6" t="str">
        <f>'Inventory master'!D490</f>
        <v>Huber+Suhner</v>
      </c>
      <c r="E490" s="10" t="str">
        <f>'Inventory master'!E490</f>
        <v>522.75</v>
      </c>
      <c r="F490" s="10" t="str">
        <f>'Inventory master'!F490</f>
        <v>855.27</v>
      </c>
      <c r="G490" s="10" t="str">
        <f>'Inventory master'!G490</f>
        <v>51</v>
      </c>
      <c r="H490" s="8">
        <f>IFERROR(_xlfn.XLOOKUP(A490, 'Opening stock'!A490:A1089, 'Opening stock'!E490:E1089), "")</f>
        <v>765</v>
      </c>
      <c r="I490" s="8">
        <f>IFERROR(SUMIF(Table3[Item ID],'Inventory calculations'!A490,Table3[Quantity]),0)</f>
        <v>0</v>
      </c>
      <c r="J490" s="8">
        <f>IFERROR(SUMIF(Table4[Item ID],'Inventory calculations'!A490,Table4[Quantity Purchased]),0)</f>
        <v>0</v>
      </c>
      <c r="K490" s="10">
        <f t="shared" si="30"/>
        <v>765</v>
      </c>
      <c r="L490" s="6" t="str">
        <f t="shared" si="31"/>
        <v>OK</v>
      </c>
      <c r="M490" s="13">
        <f t="shared" si="28"/>
        <v>399903.75</v>
      </c>
      <c r="N490" s="8">
        <f>Table5[[#This Row],[Total Qty Sold]]*Table5[[#This Row],[Unit Price]]</f>
        <v>0</v>
      </c>
      <c r="O490" s="9"/>
      <c r="P490" s="40" t="str">
        <f ca="1">IF(Table5[[#This Row],[Last sale Date]]="","Never Sold",TODAY()-Table5[[#This Row],[Last sale Date]])</f>
        <v>Never Sold</v>
      </c>
      <c r="Q490" s="6" t="str">
        <f>IF(Table5[[#This Row],[Re order Level]]&lt;=Table5[[#This Row],[Current stock]],"ORDERASAP","OK BUT BE CHECKING")</f>
        <v>OK BUT BE CHECKING</v>
      </c>
      <c r="R490" s="6" t="str">
        <f t="shared" si="29"/>
        <v>ACTIVE</v>
      </c>
      <c r="S490" s="8">
        <f>IF(Table5[[#This Row],[DEADSTOCK FLAG]]="DEAD",Table5[[#This Row],[Inventory Value]],0)</f>
        <v>0</v>
      </c>
    </row>
    <row r="491" spans="1:19" x14ac:dyDescent="0.25">
      <c r="A491" s="24" t="str">
        <f>'Inventory master'!A491</f>
        <v>ITEM490-A</v>
      </c>
      <c r="B491" s="6" t="str">
        <f>'Inventory master'!B491</f>
        <v>Fiber Optic Tester</v>
      </c>
      <c r="C491" s="6" t="str">
        <f>'Inventory master'!C491</f>
        <v>Tools</v>
      </c>
      <c r="D491" s="6" t="str">
        <f>'Inventory master'!D491</f>
        <v>Prysmian Group</v>
      </c>
      <c r="E491" s="10" t="str">
        <f>'Inventory master'!E491</f>
        <v>439.74</v>
      </c>
      <c r="F491" s="10" t="str">
        <f>'Inventory master'!F491</f>
        <v>733.5</v>
      </c>
      <c r="G491" s="10" t="str">
        <f>'Inventory master'!G491</f>
        <v>24</v>
      </c>
      <c r="H491" s="8">
        <f>IFERROR(_xlfn.XLOOKUP(A491, 'Opening stock'!A491:A1090, 'Opening stock'!E491:E1090), "")</f>
        <v>360</v>
      </c>
      <c r="I491" s="8">
        <f>IFERROR(SUMIF(Table3[Item ID],'Inventory calculations'!A491,Table3[Quantity]),0)</f>
        <v>0</v>
      </c>
      <c r="J491" s="8">
        <f>IFERROR(SUMIF(Table4[Item ID],'Inventory calculations'!A491,Table4[Quantity Purchased]),0)</f>
        <v>0</v>
      </c>
      <c r="K491" s="10">
        <f t="shared" si="30"/>
        <v>360</v>
      </c>
      <c r="L491" s="6" t="str">
        <f t="shared" si="31"/>
        <v>OK</v>
      </c>
      <c r="M491" s="13">
        <f t="shared" si="28"/>
        <v>158306.4</v>
      </c>
      <c r="N491" s="8">
        <f>Table5[[#This Row],[Total Qty Sold]]*Table5[[#This Row],[Unit Price]]</f>
        <v>0</v>
      </c>
      <c r="O491" s="9"/>
      <c r="P491" s="40" t="str">
        <f ca="1">IF(Table5[[#This Row],[Last sale Date]]="","Never Sold",TODAY()-Table5[[#This Row],[Last sale Date]])</f>
        <v>Never Sold</v>
      </c>
      <c r="Q491" s="6" t="str">
        <f>IF(Table5[[#This Row],[Re order Level]]&lt;=Table5[[#This Row],[Current stock]],"ORDERASAP","OK BUT BE CHECKING")</f>
        <v>OK BUT BE CHECKING</v>
      </c>
      <c r="R491" s="6" t="str">
        <f t="shared" si="29"/>
        <v>ACTIVE</v>
      </c>
      <c r="S491" s="8">
        <f>IF(Table5[[#This Row],[DEADSTOCK FLAG]]="DEAD",Table5[[#This Row],[Inventory Value]],0)</f>
        <v>0</v>
      </c>
    </row>
    <row r="492" spans="1:19" x14ac:dyDescent="0.25">
      <c r="A492" s="24" t="str">
        <f>'Inventory master'!A492</f>
        <v>ITEM491-A</v>
      </c>
      <c r="B492" s="6" t="str">
        <f>'Inventory master'!B492</f>
        <v>1x16 PLC Splitter</v>
      </c>
      <c r="C492" s="6" t="str">
        <f>'Inventory master'!C492</f>
        <v>Splitters</v>
      </c>
      <c r="D492" s="6" t="str">
        <f>'Inventory master'!D492</f>
        <v>Corning Inc.</v>
      </c>
      <c r="E492" s="10" t="str">
        <f>'Inventory master'!E492</f>
        <v>1695.7</v>
      </c>
      <c r="F492" s="10" t="str">
        <f>'Inventory master'!F492</f>
        <v>2309.07</v>
      </c>
      <c r="G492" s="10" t="str">
        <f>'Inventory master'!G492</f>
        <v>56</v>
      </c>
      <c r="H492" s="8">
        <f>IFERROR(_xlfn.XLOOKUP(A492, 'Opening stock'!A492:A1091, 'Opening stock'!E492:E1091), "")</f>
        <v>840</v>
      </c>
      <c r="I492" s="8">
        <f>IFERROR(SUMIF(Table3[Item ID],'Inventory calculations'!A492,Table3[Quantity]),0)</f>
        <v>5</v>
      </c>
      <c r="J492" s="8">
        <f>IFERROR(SUMIF(Table4[Item ID],'Inventory calculations'!A492,Table4[Quantity Purchased]),0)</f>
        <v>0</v>
      </c>
      <c r="K492" s="10">
        <f t="shared" si="30"/>
        <v>835</v>
      </c>
      <c r="L492" s="6" t="str">
        <f t="shared" si="31"/>
        <v>OK</v>
      </c>
      <c r="M492" s="13">
        <f t="shared" si="28"/>
        <v>1415909.5</v>
      </c>
      <c r="N492" s="8">
        <f>Table5[[#This Row],[Total Qty Sold]]*Table5[[#This Row],[Unit Price]]</f>
        <v>11545.35</v>
      </c>
      <c r="O492" s="9">
        <f>IFERROR(_xlfn.MAXIFS(Table3[Date],Table3[Item ID],Table5[[#This Row],[Item ID]]),"")</f>
        <v>45558</v>
      </c>
      <c r="P492" s="40">
        <f ca="1">IF(Table5[[#This Row],[Last sale Date]]="","Never Sold",TODAY()-Table5[[#This Row],[Last sale Date]])</f>
        <v>494</v>
      </c>
      <c r="Q492" s="6" t="str">
        <f>IF(Table5[[#This Row],[Re order Level]]&lt;=Table5[[#This Row],[Current stock]],"ORDERASAP","OK BUT BE CHECKING")</f>
        <v>OK BUT BE CHECKING</v>
      </c>
      <c r="R492" s="6" t="str">
        <f t="shared" si="29"/>
        <v>ACTIVE</v>
      </c>
      <c r="S492" s="8">
        <f>IF(Table5[[#This Row],[DEADSTOCK FLAG]]="DEAD",Table5[[#This Row],[Inventory Value]],0)</f>
        <v>0</v>
      </c>
    </row>
    <row r="493" spans="1:19" x14ac:dyDescent="0.25">
      <c r="A493" s="24" t="str">
        <f>'Inventory master'!A493</f>
        <v>ITEM492-A</v>
      </c>
      <c r="B493" s="6" t="str">
        <f>'Inventory master'!B493</f>
        <v>Fusion Splicer</v>
      </c>
      <c r="C493" s="6" t="str">
        <f>'Inventory master'!C493</f>
        <v>Splicers</v>
      </c>
      <c r="D493" s="6" t="str">
        <f>'Inventory master'!D493</f>
        <v>Huber+Suhner</v>
      </c>
      <c r="E493" s="10" t="str">
        <f>'Inventory master'!E493</f>
        <v>1884.06</v>
      </c>
      <c r="F493" s="10" t="str">
        <f>'Inventory master'!F493</f>
        <v>2202.75</v>
      </c>
      <c r="G493" s="10" t="str">
        <f>'Inventory master'!G493</f>
        <v>25</v>
      </c>
      <c r="H493" s="8">
        <f>IFERROR(_xlfn.XLOOKUP(A493, 'Opening stock'!A493:A1092, 'Opening stock'!E493:E1092), "")</f>
        <v>375</v>
      </c>
      <c r="I493" s="8">
        <f>IFERROR(SUMIF(Table3[Item ID],'Inventory calculations'!A493,Table3[Quantity]),0)</f>
        <v>0</v>
      </c>
      <c r="J493" s="8">
        <f>IFERROR(SUMIF(Table4[Item ID],'Inventory calculations'!A493,Table4[Quantity Purchased]),0)</f>
        <v>0</v>
      </c>
      <c r="K493" s="10">
        <f t="shared" si="30"/>
        <v>375</v>
      </c>
      <c r="L493" s="6" t="str">
        <f t="shared" si="31"/>
        <v>OK</v>
      </c>
      <c r="M493" s="13">
        <f t="shared" si="28"/>
        <v>706522.5</v>
      </c>
      <c r="N493" s="8">
        <f>Table5[[#This Row],[Total Qty Sold]]*Table5[[#This Row],[Unit Price]]</f>
        <v>0</v>
      </c>
      <c r="O493" s="9"/>
      <c r="P493" s="40" t="str">
        <f ca="1">IF(Table5[[#This Row],[Last sale Date]]="","Never Sold",TODAY()-Table5[[#This Row],[Last sale Date]])</f>
        <v>Never Sold</v>
      </c>
      <c r="Q493" s="6" t="str">
        <f>IF(Table5[[#This Row],[Re order Level]]&lt;=Table5[[#This Row],[Current stock]],"ORDERASAP","OK BUT BE CHECKING")</f>
        <v>OK BUT BE CHECKING</v>
      </c>
      <c r="R493" s="6" t="str">
        <f t="shared" si="29"/>
        <v>ACTIVE</v>
      </c>
      <c r="S493" s="8">
        <f>IF(Table5[[#This Row],[DEADSTOCK FLAG]]="DEAD",Table5[[#This Row],[Inventory Value]],0)</f>
        <v>0</v>
      </c>
    </row>
    <row r="494" spans="1:19" x14ac:dyDescent="0.25">
      <c r="A494" s="24" t="str">
        <f>'Inventory master'!A494</f>
        <v>ITEM493-A</v>
      </c>
      <c r="B494" s="6" t="str">
        <f>'Inventory master'!B494</f>
        <v>Mechanical Splicer</v>
      </c>
      <c r="C494" s="6" t="str">
        <f>'Inventory master'!C494</f>
        <v>Splicers</v>
      </c>
      <c r="D494" s="6" t="str">
        <f>'Inventory master'!D494</f>
        <v>Prysmian Group</v>
      </c>
      <c r="E494" s="10" t="str">
        <f>'Inventory master'!E494</f>
        <v>862.38</v>
      </c>
      <c r="F494" s="10" t="str">
        <f>'Inventory master'!F494</f>
        <v>1668.23</v>
      </c>
      <c r="G494" s="10" t="str">
        <f>'Inventory master'!G494</f>
        <v>34</v>
      </c>
      <c r="H494" s="8">
        <f>IFERROR(_xlfn.XLOOKUP(A494, 'Opening stock'!A494:A1093, 'Opening stock'!E494:E1093), "")</f>
        <v>510</v>
      </c>
      <c r="I494" s="8">
        <f>IFERROR(SUMIF(Table3[Item ID],'Inventory calculations'!A494,Table3[Quantity]),0)</f>
        <v>0</v>
      </c>
      <c r="J494" s="8">
        <f>IFERROR(SUMIF(Table4[Item ID],'Inventory calculations'!A494,Table4[Quantity Purchased]),0)</f>
        <v>16</v>
      </c>
      <c r="K494" s="10">
        <f t="shared" si="30"/>
        <v>526</v>
      </c>
      <c r="L494" s="6" t="str">
        <f t="shared" si="31"/>
        <v>OK</v>
      </c>
      <c r="M494" s="13">
        <f t="shared" si="28"/>
        <v>453611.88</v>
      </c>
      <c r="N494" s="8">
        <f>Table5[[#This Row],[Total Qty Sold]]*Table5[[#This Row],[Unit Price]]</f>
        <v>0</v>
      </c>
      <c r="O494" s="9"/>
      <c r="P494" s="40" t="str">
        <f ca="1">IF(Table5[[#This Row],[Last sale Date]]="","Never Sold",TODAY()-Table5[[#This Row],[Last sale Date]])</f>
        <v>Never Sold</v>
      </c>
      <c r="Q494" s="6" t="str">
        <f>IF(Table5[[#This Row],[Re order Level]]&lt;=Table5[[#This Row],[Current stock]],"ORDERASAP","OK BUT BE CHECKING")</f>
        <v>OK BUT BE CHECKING</v>
      </c>
      <c r="R494" s="6" t="str">
        <f t="shared" si="29"/>
        <v>ACTIVE</v>
      </c>
      <c r="S494" s="8">
        <f>IF(Table5[[#This Row],[DEADSTOCK FLAG]]="DEAD",Table5[[#This Row],[Inventory Value]],0)</f>
        <v>0</v>
      </c>
    </row>
    <row r="495" spans="1:19" x14ac:dyDescent="0.25">
      <c r="A495" s="24" t="str">
        <f>'Inventory master'!A495</f>
        <v>ITEM494-A</v>
      </c>
      <c r="B495" s="6" t="str">
        <f>'Inventory master'!B495</f>
        <v>FC APC Connector</v>
      </c>
      <c r="C495" s="6" t="str">
        <f>'Inventory master'!C495</f>
        <v>Connectors</v>
      </c>
      <c r="D495" s="6" t="str">
        <f>'Inventory master'!D495</f>
        <v>Corning Inc.</v>
      </c>
      <c r="E495" s="10" t="str">
        <f>'Inventory master'!E495</f>
        <v>959.68</v>
      </c>
      <c r="F495" s="10" t="str">
        <f>'Inventory master'!F495</f>
        <v>1905.47</v>
      </c>
      <c r="G495" s="10" t="str">
        <f>'Inventory master'!G495</f>
        <v>26</v>
      </c>
      <c r="H495" s="8">
        <f>IFERROR(_xlfn.XLOOKUP(A495, 'Opening stock'!A495:A1094, 'Opening stock'!E495:E1094), "")</f>
        <v>390</v>
      </c>
      <c r="I495" s="8">
        <f>IFERROR(SUMIF(Table3[Item ID],'Inventory calculations'!A495,Table3[Quantity]),0)</f>
        <v>0</v>
      </c>
      <c r="J495" s="8">
        <f>IFERROR(SUMIF(Table4[Item ID],'Inventory calculations'!A495,Table4[Quantity Purchased]),0)</f>
        <v>2</v>
      </c>
      <c r="K495" s="10">
        <f t="shared" si="30"/>
        <v>392</v>
      </c>
      <c r="L495" s="6" t="str">
        <f t="shared" si="31"/>
        <v>OK</v>
      </c>
      <c r="M495" s="13">
        <f t="shared" si="28"/>
        <v>376194.56</v>
      </c>
      <c r="N495" s="8">
        <f>Table5[[#This Row],[Total Qty Sold]]*Table5[[#This Row],[Unit Price]]</f>
        <v>0</v>
      </c>
      <c r="O495" s="9"/>
      <c r="P495" s="40" t="str">
        <f ca="1">IF(Table5[[#This Row],[Last sale Date]]="","Never Sold",TODAY()-Table5[[#This Row],[Last sale Date]])</f>
        <v>Never Sold</v>
      </c>
      <c r="Q495" s="6" t="str">
        <f>IF(Table5[[#This Row],[Re order Level]]&lt;=Table5[[#This Row],[Current stock]],"ORDERASAP","OK BUT BE CHECKING")</f>
        <v>OK BUT BE CHECKING</v>
      </c>
      <c r="R495" s="6" t="str">
        <f t="shared" si="29"/>
        <v>ACTIVE</v>
      </c>
      <c r="S495" s="8">
        <f>IF(Table5[[#This Row],[DEADSTOCK FLAG]]="DEAD",Table5[[#This Row],[Inventory Value]],0)</f>
        <v>0</v>
      </c>
    </row>
    <row r="496" spans="1:19" x14ac:dyDescent="0.25">
      <c r="A496" s="24" t="str">
        <f>'Inventory master'!A496</f>
        <v>ITEM495-A</v>
      </c>
      <c r="B496" s="6" t="str">
        <f>'Inventory master'!B496</f>
        <v>Indoor Fiber Cable 200m</v>
      </c>
      <c r="C496" s="6" t="str">
        <f>'Inventory master'!C496</f>
        <v>Fiber Optic Cables</v>
      </c>
      <c r="D496" s="6" t="str">
        <f>'Inventory master'!D496</f>
        <v>HellermannTyton</v>
      </c>
      <c r="E496" s="10" t="str">
        <f>'Inventory master'!E496</f>
        <v>531.09</v>
      </c>
      <c r="F496" s="10" t="str">
        <f>'Inventory master'!F496</f>
        <v>762.36</v>
      </c>
      <c r="G496" s="10" t="str">
        <f>'Inventory master'!G496</f>
        <v>90</v>
      </c>
      <c r="H496" s="8">
        <f>IFERROR(_xlfn.XLOOKUP(A496, 'Opening stock'!A496:A1095, 'Opening stock'!E496:E1095), "")</f>
        <v>1350</v>
      </c>
      <c r="I496" s="8">
        <f>IFERROR(SUMIF(Table3[Item ID],'Inventory calculations'!A496,Table3[Quantity]),0)</f>
        <v>0</v>
      </c>
      <c r="J496" s="8">
        <f>IFERROR(SUMIF(Table4[Item ID],'Inventory calculations'!A496,Table4[Quantity Purchased]),0)</f>
        <v>1</v>
      </c>
      <c r="K496" s="10">
        <f t="shared" si="30"/>
        <v>1351</v>
      </c>
      <c r="L496" s="6" t="str">
        <f t="shared" si="31"/>
        <v>OK</v>
      </c>
      <c r="M496" s="13">
        <f t="shared" si="28"/>
        <v>717502.59000000008</v>
      </c>
      <c r="N496" s="8">
        <f>Table5[[#This Row],[Total Qty Sold]]*Table5[[#This Row],[Unit Price]]</f>
        <v>0</v>
      </c>
      <c r="O496" s="9"/>
      <c r="P496" s="40" t="str">
        <f ca="1">IF(Table5[[#This Row],[Last sale Date]]="","Never Sold",TODAY()-Table5[[#This Row],[Last sale Date]])</f>
        <v>Never Sold</v>
      </c>
      <c r="Q496" s="6" t="str">
        <f>IF(Table5[[#This Row],[Re order Level]]&lt;=Table5[[#This Row],[Current stock]],"ORDERASAP","OK BUT BE CHECKING")</f>
        <v>OK BUT BE CHECKING</v>
      </c>
      <c r="R496" s="6" t="str">
        <f t="shared" si="29"/>
        <v>ACTIVE</v>
      </c>
      <c r="S496" s="8">
        <f>IF(Table5[[#This Row],[DEADSTOCK FLAG]]="DEAD",Table5[[#This Row],[Inventory Value]],0)</f>
        <v>0</v>
      </c>
    </row>
    <row r="497" spans="1:19" x14ac:dyDescent="0.25">
      <c r="A497" s="24" t="str">
        <f>'Inventory master'!A497</f>
        <v>ITEM496-A</v>
      </c>
      <c r="B497" s="6" t="str">
        <f>'Inventory master'!B497</f>
        <v>Fixed Attenuator 5dB</v>
      </c>
      <c r="C497" s="6" t="str">
        <f>'Inventory master'!C497</f>
        <v>Attenuators</v>
      </c>
      <c r="D497" s="6" t="str">
        <f>'Inventory master'!D497</f>
        <v>HellermannTyton</v>
      </c>
      <c r="E497" s="10" t="str">
        <f>'Inventory master'!E497</f>
        <v>767.37</v>
      </c>
      <c r="F497" s="10" t="str">
        <f>'Inventory master'!F497</f>
        <v>1409.31</v>
      </c>
      <c r="G497" s="10" t="str">
        <f>'Inventory master'!G497</f>
        <v>39</v>
      </c>
      <c r="H497" s="8">
        <f>IFERROR(_xlfn.XLOOKUP(A497, 'Opening stock'!A497:A1096, 'Opening stock'!E497:E1096), "")</f>
        <v>585</v>
      </c>
      <c r="I497" s="8">
        <f>IFERROR(SUMIF(Table3[Item ID],'Inventory calculations'!A497,Table3[Quantity]),0)</f>
        <v>0</v>
      </c>
      <c r="J497" s="8">
        <f>IFERROR(SUMIF(Table4[Item ID],'Inventory calculations'!A497,Table4[Quantity Purchased]),0)</f>
        <v>8</v>
      </c>
      <c r="K497" s="10">
        <f t="shared" si="30"/>
        <v>593</v>
      </c>
      <c r="L497" s="6" t="str">
        <f t="shared" si="31"/>
        <v>OK</v>
      </c>
      <c r="M497" s="13">
        <f t="shared" si="28"/>
        <v>455050.41</v>
      </c>
      <c r="N497" s="8">
        <f>Table5[[#This Row],[Total Qty Sold]]*Table5[[#This Row],[Unit Price]]</f>
        <v>0</v>
      </c>
      <c r="O497" s="9"/>
      <c r="P497" s="40" t="str">
        <f ca="1">IF(Table5[[#This Row],[Last sale Date]]="","Never Sold",TODAY()-Table5[[#This Row],[Last sale Date]])</f>
        <v>Never Sold</v>
      </c>
      <c r="Q497" s="6" t="str">
        <f>IF(Table5[[#This Row],[Re order Level]]&lt;=Table5[[#This Row],[Current stock]],"ORDERASAP","OK BUT BE CHECKING")</f>
        <v>OK BUT BE CHECKING</v>
      </c>
      <c r="R497" s="6" t="str">
        <f t="shared" si="29"/>
        <v>ACTIVE</v>
      </c>
      <c r="S497" s="8">
        <f>IF(Table5[[#This Row],[DEADSTOCK FLAG]]="DEAD",Table5[[#This Row],[Inventory Value]],0)</f>
        <v>0</v>
      </c>
    </row>
    <row r="498" spans="1:19" x14ac:dyDescent="0.25">
      <c r="A498" s="24" t="str">
        <f>'Inventory master'!A498</f>
        <v>ITEM497-A</v>
      </c>
      <c r="B498" s="6" t="str">
        <f>'Inventory master'!B498</f>
        <v>96-Port Fiber Patch Panel</v>
      </c>
      <c r="C498" s="6" t="str">
        <f>'Inventory master'!C498</f>
        <v>Patch Panels</v>
      </c>
      <c r="D498" s="6" t="str">
        <f>'Inventory master'!D498</f>
        <v>CommScope</v>
      </c>
      <c r="E498" s="10" t="str">
        <f>'Inventory master'!E498</f>
        <v>450.61</v>
      </c>
      <c r="F498" s="10" t="str">
        <f>'Inventory master'!F498</f>
        <v>846.37</v>
      </c>
      <c r="G498" s="10" t="str">
        <f>'Inventory master'!G498</f>
        <v>61</v>
      </c>
      <c r="H498" s="8">
        <f>IFERROR(_xlfn.XLOOKUP(A498, 'Opening stock'!A498:A1097, 'Opening stock'!E498:E1097), "")</f>
        <v>915</v>
      </c>
      <c r="I498" s="8">
        <f>IFERROR(SUMIF(Table3[Item ID],'Inventory calculations'!A498,Table3[Quantity]),0)</f>
        <v>0</v>
      </c>
      <c r="J498" s="8">
        <f>IFERROR(SUMIF(Table4[Item ID],'Inventory calculations'!A498,Table4[Quantity Purchased]),0)</f>
        <v>1</v>
      </c>
      <c r="K498" s="10">
        <f t="shared" si="30"/>
        <v>916</v>
      </c>
      <c r="L498" s="6" t="str">
        <f t="shared" si="31"/>
        <v>OK</v>
      </c>
      <c r="M498" s="13">
        <f t="shared" si="28"/>
        <v>412758.76</v>
      </c>
      <c r="N498" s="8">
        <f>Table5[[#This Row],[Total Qty Sold]]*Table5[[#This Row],[Unit Price]]</f>
        <v>0</v>
      </c>
      <c r="O498" s="9"/>
      <c r="P498" s="40" t="str">
        <f ca="1">IF(Table5[[#This Row],[Last sale Date]]="","Never Sold",TODAY()-Table5[[#This Row],[Last sale Date]])</f>
        <v>Never Sold</v>
      </c>
      <c r="Q498" s="6" t="str">
        <f>IF(Table5[[#This Row],[Re order Level]]&lt;=Table5[[#This Row],[Current stock]],"ORDERASAP","OK BUT BE CHECKING")</f>
        <v>OK BUT BE CHECKING</v>
      </c>
      <c r="R498" s="6" t="str">
        <f t="shared" si="29"/>
        <v>ACTIVE</v>
      </c>
      <c r="S498" s="8">
        <f>IF(Table5[[#This Row],[DEADSTOCK FLAG]]="DEAD",Table5[[#This Row],[Inventory Value]],0)</f>
        <v>0</v>
      </c>
    </row>
    <row r="499" spans="1:19" x14ac:dyDescent="0.25">
      <c r="A499" s="24" t="str">
        <f>'Inventory master'!A499</f>
        <v>ITEM498-A</v>
      </c>
      <c r="B499" s="6" t="str">
        <f>'Inventory master'!B499</f>
        <v>12-Port Fiber Patch Panel</v>
      </c>
      <c r="C499" s="6" t="str">
        <f>'Inventory master'!C499</f>
        <v>Patch Panels</v>
      </c>
      <c r="D499" s="6" t="str">
        <f>'Inventory master'!D499</f>
        <v>Corning Inc.</v>
      </c>
      <c r="E499" s="10" t="str">
        <f>'Inventory master'!E499</f>
        <v>1635.25</v>
      </c>
      <c r="F499" s="10" t="str">
        <f>'Inventory master'!F499</f>
        <v>2582.81</v>
      </c>
      <c r="G499" s="10" t="str">
        <f>'Inventory master'!G499</f>
        <v>76</v>
      </c>
      <c r="H499" s="8">
        <f>IFERROR(_xlfn.XLOOKUP(A499, 'Opening stock'!A499:A1098, 'Opening stock'!E499:E1098), "")</f>
        <v>1140</v>
      </c>
      <c r="I499" s="8">
        <f>IFERROR(SUMIF(Table3[Item ID],'Inventory calculations'!A499,Table3[Quantity]),0)</f>
        <v>0</v>
      </c>
      <c r="J499" s="8">
        <f>IFERROR(SUMIF(Table4[Item ID],'Inventory calculations'!A499,Table4[Quantity Purchased]),0)</f>
        <v>1</v>
      </c>
      <c r="K499" s="10">
        <f t="shared" si="30"/>
        <v>1141</v>
      </c>
      <c r="L499" s="6" t="str">
        <f t="shared" si="31"/>
        <v>OK</v>
      </c>
      <c r="M499" s="13">
        <f t="shared" si="28"/>
        <v>1865820.25</v>
      </c>
      <c r="N499" s="8">
        <f>Table5[[#This Row],[Total Qty Sold]]*Table5[[#This Row],[Unit Price]]</f>
        <v>0</v>
      </c>
      <c r="O499" s="9"/>
      <c r="P499" s="40" t="str">
        <f ca="1">IF(Table5[[#This Row],[Last sale Date]]="","Never Sold",TODAY()-Table5[[#This Row],[Last sale Date]])</f>
        <v>Never Sold</v>
      </c>
      <c r="Q499" s="6" t="str">
        <f>IF(Table5[[#This Row],[Re order Level]]&lt;=Table5[[#This Row],[Current stock]],"ORDERASAP","OK BUT BE CHECKING")</f>
        <v>OK BUT BE CHECKING</v>
      </c>
      <c r="R499" s="6" t="str">
        <f t="shared" si="29"/>
        <v>ACTIVE</v>
      </c>
      <c r="S499" s="8">
        <f>IF(Table5[[#This Row],[DEADSTOCK FLAG]]="DEAD",Table5[[#This Row],[Inventory Value]],0)</f>
        <v>0</v>
      </c>
    </row>
    <row r="500" spans="1:19" x14ac:dyDescent="0.25">
      <c r="A500" s="24" t="str">
        <f>'Inventory master'!A500</f>
        <v>ITEM499-A</v>
      </c>
      <c r="B500" s="6" t="str">
        <f>'Inventory master'!B500</f>
        <v>Fusion Splicer</v>
      </c>
      <c r="C500" s="6" t="str">
        <f>'Inventory master'!C500</f>
        <v>Splicers</v>
      </c>
      <c r="D500" s="6" t="str">
        <f>'Inventory master'!D500</f>
        <v>TE Connectivity</v>
      </c>
      <c r="E500" s="10" t="str">
        <f>'Inventory master'!E500</f>
        <v>1975.88</v>
      </c>
      <c r="F500" s="10" t="str">
        <f>'Inventory master'!F500</f>
        <v>3244.56</v>
      </c>
      <c r="G500" s="10" t="str">
        <f>'Inventory master'!G500</f>
        <v>45</v>
      </c>
      <c r="H500" s="8">
        <f>IFERROR(_xlfn.XLOOKUP(A500, 'Opening stock'!A500:A1099, 'Opening stock'!E500:E1099), "")</f>
        <v>675</v>
      </c>
      <c r="I500" s="8">
        <f>IFERROR(SUMIF(Table3[Item ID],'Inventory calculations'!A500,Table3[Quantity]),0)</f>
        <v>0</v>
      </c>
      <c r="J500" s="8">
        <f>IFERROR(SUMIF(Table4[Item ID],'Inventory calculations'!A500,Table4[Quantity Purchased]),0)</f>
        <v>6</v>
      </c>
      <c r="K500" s="10">
        <f t="shared" si="30"/>
        <v>681</v>
      </c>
      <c r="L500" s="6" t="str">
        <f t="shared" si="31"/>
        <v>OK</v>
      </c>
      <c r="M500" s="13">
        <f t="shared" si="28"/>
        <v>1345574.28</v>
      </c>
      <c r="N500" s="8">
        <f>Table5[[#This Row],[Total Qty Sold]]*Table5[[#This Row],[Unit Price]]</f>
        <v>0</v>
      </c>
      <c r="O500" s="9"/>
      <c r="P500" s="40" t="str">
        <f ca="1">IF(Table5[[#This Row],[Last sale Date]]="","Never Sold",TODAY()-Table5[[#This Row],[Last sale Date]])</f>
        <v>Never Sold</v>
      </c>
      <c r="Q500" s="6" t="str">
        <f>IF(Table5[[#This Row],[Re order Level]]&lt;=Table5[[#This Row],[Current stock]],"ORDERASAP","OK BUT BE CHECKING")</f>
        <v>OK BUT BE CHECKING</v>
      </c>
      <c r="R500" s="6" t="str">
        <f t="shared" si="29"/>
        <v>ACTIVE</v>
      </c>
      <c r="S500" s="8">
        <f>IF(Table5[[#This Row],[DEADSTOCK FLAG]]="DEAD",Table5[[#This Row],[Inventory Value]],0)</f>
        <v>0</v>
      </c>
    </row>
    <row r="501" spans="1:19" x14ac:dyDescent="0.25">
      <c r="A501" s="24" t="str">
        <f>'Inventory master'!A501</f>
        <v>ITEM500-A</v>
      </c>
      <c r="B501" s="6" t="str">
        <f>'Inventory master'!B501</f>
        <v>48-Port Fiber Patch Panel</v>
      </c>
      <c r="C501" s="6" t="str">
        <f>'Inventory master'!C501</f>
        <v>Patch Panels</v>
      </c>
      <c r="D501" s="6" t="str">
        <f>'Inventory master'!D501</f>
        <v>TE Connectivity</v>
      </c>
      <c r="E501" s="10" t="str">
        <f>'Inventory master'!E501</f>
        <v>1196.76</v>
      </c>
      <c r="F501" s="10" t="str">
        <f>'Inventory master'!F501</f>
        <v>1357.08</v>
      </c>
      <c r="G501" s="10" t="str">
        <f>'Inventory master'!G501</f>
        <v>80</v>
      </c>
      <c r="H501" s="8">
        <f>IFERROR(_xlfn.XLOOKUP(A501, 'Opening stock'!A501:A1100, 'Opening stock'!E501:E1100), "")</f>
        <v>1200</v>
      </c>
      <c r="I501" s="8">
        <f>IFERROR(SUMIF(Table3[Item ID],'Inventory calculations'!A501,Table3[Quantity]),0)</f>
        <v>0</v>
      </c>
      <c r="J501" s="8">
        <f>IFERROR(SUMIF(Table4[Item ID],'Inventory calculations'!A501,Table4[Quantity Purchased]),0)</f>
        <v>16</v>
      </c>
      <c r="K501" s="10">
        <f t="shared" si="30"/>
        <v>1216</v>
      </c>
      <c r="L501" s="6" t="str">
        <f t="shared" si="31"/>
        <v>OK</v>
      </c>
      <c r="M501" s="13">
        <f t="shared" si="28"/>
        <v>1455260.16</v>
      </c>
      <c r="N501" s="8">
        <f>Table5[[#This Row],[Total Qty Sold]]*Table5[[#This Row],[Unit Price]]</f>
        <v>0</v>
      </c>
      <c r="O501" s="9"/>
      <c r="P501" s="40" t="str">
        <f ca="1">IF(Table5[[#This Row],[Last sale Date]]="","Never Sold",TODAY()-Table5[[#This Row],[Last sale Date]])</f>
        <v>Never Sold</v>
      </c>
      <c r="Q501" s="6" t="str">
        <f>IF(Table5[[#This Row],[Re order Level]]&lt;=Table5[[#This Row],[Current stock]],"ORDERASAP","OK BUT BE CHECKING")</f>
        <v>OK BUT BE CHECKING</v>
      </c>
      <c r="R501" s="6" t="str">
        <f t="shared" si="29"/>
        <v>ACTIVE</v>
      </c>
      <c r="S501" s="8">
        <f>IF(Table5[[#This Row],[DEADSTOCK FLAG]]="DEAD",Table5[[#This Row],[Inventory Value]],0)</f>
        <v>0</v>
      </c>
    </row>
    <row r="502" spans="1:19" x14ac:dyDescent="0.25">
      <c r="A502" s="24" t="str">
        <f>'Inventory master'!A502</f>
        <v>ITEM501-A</v>
      </c>
      <c r="B502" s="6" t="str">
        <f>'Inventory master'!B502</f>
        <v>Armored Fiber Cable 50m</v>
      </c>
      <c r="C502" s="6" t="str">
        <f>'Inventory master'!C502</f>
        <v>Fiber Optic Cables</v>
      </c>
      <c r="D502" s="6" t="str">
        <f>'Inventory master'!D502</f>
        <v>CommScope</v>
      </c>
      <c r="E502" s="10" t="str">
        <f>'Inventory master'!E502</f>
        <v>1718.53</v>
      </c>
      <c r="F502" s="10" t="str">
        <f>'Inventory master'!F502</f>
        <v>3436.96</v>
      </c>
      <c r="G502" s="10" t="str">
        <f>'Inventory master'!G502</f>
        <v>89</v>
      </c>
      <c r="H502" s="8">
        <f>IFERROR(_xlfn.XLOOKUP(A502, 'Opening stock'!A502:A1101, 'Opening stock'!E502:E1101), "")</f>
        <v>1335</v>
      </c>
      <c r="I502" s="8">
        <f>IFERROR(SUMIF(Table3[Item ID],'Inventory calculations'!A502,Table3[Quantity]),0)</f>
        <v>0</v>
      </c>
      <c r="J502" s="8">
        <f>IFERROR(SUMIF(Table4[Item ID],'Inventory calculations'!A502,Table4[Quantity Purchased]),0)</f>
        <v>0</v>
      </c>
      <c r="K502" s="10">
        <f t="shared" si="30"/>
        <v>1335</v>
      </c>
      <c r="L502" s="6" t="str">
        <f t="shared" si="31"/>
        <v>OK</v>
      </c>
      <c r="M502" s="13">
        <f t="shared" si="28"/>
        <v>2294237.5499999998</v>
      </c>
      <c r="N502" s="8">
        <f>Table5[[#This Row],[Total Qty Sold]]*Table5[[#This Row],[Unit Price]]</f>
        <v>0</v>
      </c>
      <c r="O502" s="9"/>
      <c r="P502" s="40" t="str">
        <f ca="1">IF(Table5[[#This Row],[Last sale Date]]="","Never Sold",TODAY()-Table5[[#This Row],[Last sale Date]])</f>
        <v>Never Sold</v>
      </c>
      <c r="Q502" s="6" t="str">
        <f>IF(Table5[[#This Row],[Re order Level]]&lt;=Table5[[#This Row],[Current stock]],"ORDERASAP","OK BUT BE CHECKING")</f>
        <v>OK BUT BE CHECKING</v>
      </c>
      <c r="R502" s="6" t="str">
        <f t="shared" si="29"/>
        <v>ACTIVE</v>
      </c>
      <c r="S502" s="8">
        <f>IF(Table5[[#This Row],[DEADSTOCK FLAG]]="DEAD",Table5[[#This Row],[Inventory Value]],0)</f>
        <v>0</v>
      </c>
    </row>
    <row r="503" spans="1:19" x14ac:dyDescent="0.25">
      <c r="A503" s="24" t="str">
        <f>'Inventory master'!A503</f>
        <v>ITEM502-A</v>
      </c>
      <c r="B503" s="6" t="str">
        <f>'Inventory master'!B503</f>
        <v>QSFP Transceiver</v>
      </c>
      <c r="C503" s="6" t="str">
        <f>'Inventory master'!C503</f>
        <v>Transceivers</v>
      </c>
      <c r="D503" s="6" t="str">
        <f>'Inventory master'!D503</f>
        <v>AFL</v>
      </c>
      <c r="E503" s="10" t="str">
        <f>'Inventory master'!E503</f>
        <v>424.97</v>
      </c>
      <c r="F503" s="10" t="str">
        <f>'Inventory master'!F503</f>
        <v>628.26</v>
      </c>
      <c r="G503" s="10" t="str">
        <f>'Inventory master'!G503</f>
        <v>61</v>
      </c>
      <c r="H503" s="8">
        <f>IFERROR(_xlfn.XLOOKUP(A503, 'Opening stock'!A503:A1102, 'Opening stock'!E503:E1102), "")</f>
        <v>915</v>
      </c>
      <c r="I503" s="8">
        <f>IFERROR(SUMIF(Table3[Item ID],'Inventory calculations'!A503,Table3[Quantity]),0)</f>
        <v>0</v>
      </c>
      <c r="J503" s="8">
        <f>IFERROR(SUMIF(Table4[Item ID],'Inventory calculations'!A503,Table4[Quantity Purchased]),0)</f>
        <v>1</v>
      </c>
      <c r="K503" s="10">
        <f t="shared" si="30"/>
        <v>916</v>
      </c>
      <c r="L503" s="6" t="str">
        <f t="shared" si="31"/>
        <v>OK</v>
      </c>
      <c r="M503" s="13">
        <f t="shared" si="28"/>
        <v>389272.52</v>
      </c>
      <c r="N503" s="8">
        <f>Table5[[#This Row],[Total Qty Sold]]*Table5[[#This Row],[Unit Price]]</f>
        <v>0</v>
      </c>
      <c r="O503" s="9"/>
      <c r="P503" s="40" t="str">
        <f ca="1">IF(Table5[[#This Row],[Last sale Date]]="","Never Sold",TODAY()-Table5[[#This Row],[Last sale Date]])</f>
        <v>Never Sold</v>
      </c>
      <c r="Q503" s="6" t="str">
        <f>IF(Table5[[#This Row],[Re order Level]]&lt;=Table5[[#This Row],[Current stock]],"ORDERASAP","OK BUT BE CHECKING")</f>
        <v>OK BUT BE CHECKING</v>
      </c>
      <c r="R503" s="6" t="str">
        <f t="shared" si="29"/>
        <v>ACTIVE</v>
      </c>
      <c r="S503" s="8">
        <f>IF(Table5[[#This Row],[DEADSTOCK FLAG]]="DEAD",Table5[[#This Row],[Inventory Value]],0)</f>
        <v>0</v>
      </c>
    </row>
    <row r="504" spans="1:19" x14ac:dyDescent="0.25">
      <c r="A504" s="24" t="str">
        <f>'Inventory master'!A504</f>
        <v>ITEM503-A</v>
      </c>
      <c r="B504" s="6" t="str">
        <f>'Inventory master'!B504</f>
        <v>Fiber Optic Polisher</v>
      </c>
      <c r="C504" s="6" t="str">
        <f>'Inventory master'!C504</f>
        <v>Tools</v>
      </c>
      <c r="D504" s="6" t="str">
        <f>'Inventory master'!D504</f>
        <v>Huber+Suhner</v>
      </c>
      <c r="E504" s="10" t="str">
        <f>'Inventory master'!E504</f>
        <v>1666.26</v>
      </c>
      <c r="F504" s="10" t="str">
        <f>'Inventory master'!F504</f>
        <v>2102.5</v>
      </c>
      <c r="G504" s="10" t="str">
        <f>'Inventory master'!G504</f>
        <v>30</v>
      </c>
      <c r="H504" s="8">
        <f>IFERROR(_xlfn.XLOOKUP(A504, 'Opening stock'!A504:A1103, 'Opening stock'!E504:E1103), "")</f>
        <v>450</v>
      </c>
      <c r="I504" s="8">
        <f>IFERROR(SUMIF(Table3[Item ID],'Inventory calculations'!A504,Table3[Quantity]),0)</f>
        <v>0</v>
      </c>
      <c r="J504" s="8">
        <f>IFERROR(SUMIF(Table4[Item ID],'Inventory calculations'!A504,Table4[Quantity Purchased]),0)</f>
        <v>15</v>
      </c>
      <c r="K504" s="10">
        <f t="shared" si="30"/>
        <v>465</v>
      </c>
      <c r="L504" s="6" t="str">
        <f t="shared" si="31"/>
        <v>OK</v>
      </c>
      <c r="M504" s="13">
        <f t="shared" si="28"/>
        <v>774810.9</v>
      </c>
      <c r="N504" s="8">
        <f>Table5[[#This Row],[Total Qty Sold]]*Table5[[#This Row],[Unit Price]]</f>
        <v>0</v>
      </c>
      <c r="O504" s="9"/>
      <c r="P504" s="40" t="str">
        <f ca="1">IF(Table5[[#This Row],[Last sale Date]]="","Never Sold",TODAY()-Table5[[#This Row],[Last sale Date]])</f>
        <v>Never Sold</v>
      </c>
      <c r="Q504" s="6" t="str">
        <f>IF(Table5[[#This Row],[Re order Level]]&lt;=Table5[[#This Row],[Current stock]],"ORDERASAP","OK BUT BE CHECKING")</f>
        <v>OK BUT BE CHECKING</v>
      </c>
      <c r="R504" s="6" t="str">
        <f t="shared" si="29"/>
        <v>ACTIVE</v>
      </c>
      <c r="S504" s="8">
        <f>IF(Table5[[#This Row],[DEADSTOCK FLAG]]="DEAD",Table5[[#This Row],[Inventory Value]],0)</f>
        <v>0</v>
      </c>
    </row>
    <row r="505" spans="1:19" x14ac:dyDescent="0.25">
      <c r="A505" s="24" t="str">
        <f>'Inventory master'!A505</f>
        <v>ITEM504-A</v>
      </c>
      <c r="B505" s="6" t="str">
        <f>'Inventory master'!B505</f>
        <v>48-Port Fiber Patch Panel</v>
      </c>
      <c r="C505" s="6" t="str">
        <f>'Inventory master'!C505</f>
        <v>Patch Panels</v>
      </c>
      <c r="D505" s="6" t="str">
        <f>'Inventory master'!D505</f>
        <v>CommScope</v>
      </c>
      <c r="E505" s="10" t="str">
        <f>'Inventory master'!E505</f>
        <v>1698.15</v>
      </c>
      <c r="F505" s="10" t="str">
        <f>'Inventory master'!F505</f>
        <v>2721.11</v>
      </c>
      <c r="G505" s="10" t="str">
        <f>'Inventory master'!G505</f>
        <v>61</v>
      </c>
      <c r="H505" s="8">
        <f>IFERROR(_xlfn.XLOOKUP(A505, 'Opening stock'!A505:A1104, 'Opening stock'!E505:E1104), "")</f>
        <v>915</v>
      </c>
      <c r="I505" s="8">
        <f>IFERROR(SUMIF(Table3[Item ID],'Inventory calculations'!A505,Table3[Quantity]),0)</f>
        <v>124</v>
      </c>
      <c r="J505" s="8">
        <f>IFERROR(SUMIF(Table4[Item ID],'Inventory calculations'!A505,Table4[Quantity Purchased]),0)</f>
        <v>1</v>
      </c>
      <c r="K505" s="10">
        <f t="shared" si="30"/>
        <v>792</v>
      </c>
      <c r="L505" s="6" t="str">
        <f t="shared" si="31"/>
        <v>OK</v>
      </c>
      <c r="M505" s="13">
        <f t="shared" si="28"/>
        <v>1344934.8</v>
      </c>
      <c r="N505" s="8">
        <f>Table5[[#This Row],[Total Qty Sold]]*Table5[[#This Row],[Unit Price]]</f>
        <v>337417.64</v>
      </c>
      <c r="O505" s="9">
        <f>IFERROR(_xlfn.MAXIFS(Table3[Date],Table3[Item ID],Table5[[#This Row],[Item ID]]),"")</f>
        <v>45642</v>
      </c>
      <c r="P505" s="40">
        <f ca="1">IF(Table5[[#This Row],[Last sale Date]]="","Never Sold",TODAY()-Table5[[#This Row],[Last sale Date]])</f>
        <v>410</v>
      </c>
      <c r="Q505" s="6" t="str">
        <f>IF(Table5[[#This Row],[Re order Level]]&lt;=Table5[[#This Row],[Current stock]],"ORDERASAP","OK BUT BE CHECKING")</f>
        <v>OK BUT BE CHECKING</v>
      </c>
      <c r="R505" s="6" t="str">
        <f t="shared" si="29"/>
        <v>ACTIVE</v>
      </c>
      <c r="S505" s="8">
        <f>IF(Table5[[#This Row],[DEADSTOCK FLAG]]="DEAD",Table5[[#This Row],[Inventory Value]],0)</f>
        <v>0</v>
      </c>
    </row>
    <row r="506" spans="1:19" x14ac:dyDescent="0.25">
      <c r="A506" s="24" t="str">
        <f>'Inventory master'!A506</f>
        <v>ITEM505-A</v>
      </c>
      <c r="B506" s="6" t="str">
        <f>'Inventory master'!B506</f>
        <v>Fixed Attenuator 15dB</v>
      </c>
      <c r="C506" s="6" t="str">
        <f>'Inventory master'!C506</f>
        <v>Attenuators</v>
      </c>
      <c r="D506" s="6" t="str">
        <f>'Inventory master'!D506</f>
        <v>Prysmian Group</v>
      </c>
      <c r="E506" s="10" t="str">
        <f>'Inventory master'!E506</f>
        <v>1692.59</v>
      </c>
      <c r="F506" s="10" t="str">
        <f>'Inventory master'!F506</f>
        <v>3278.94</v>
      </c>
      <c r="G506" s="10" t="str">
        <f>'Inventory master'!G506</f>
        <v>69</v>
      </c>
      <c r="H506" s="8">
        <f>IFERROR(_xlfn.XLOOKUP(A506, 'Opening stock'!A506:A1105, 'Opening stock'!E506:E1105), "")</f>
        <v>1035</v>
      </c>
      <c r="I506" s="8">
        <f>IFERROR(SUMIF(Table3[Item ID],'Inventory calculations'!A506,Table3[Quantity]),0)</f>
        <v>0</v>
      </c>
      <c r="J506" s="8">
        <f>IFERROR(SUMIF(Table4[Item ID],'Inventory calculations'!A506,Table4[Quantity Purchased]),0)</f>
        <v>0</v>
      </c>
      <c r="K506" s="10">
        <f t="shared" si="30"/>
        <v>1035</v>
      </c>
      <c r="L506" s="6" t="str">
        <f t="shared" si="31"/>
        <v>OK</v>
      </c>
      <c r="M506" s="13">
        <f t="shared" si="28"/>
        <v>1751830.65</v>
      </c>
      <c r="N506" s="8">
        <f>Table5[[#This Row],[Total Qty Sold]]*Table5[[#This Row],[Unit Price]]</f>
        <v>0</v>
      </c>
      <c r="O506" s="9"/>
      <c r="P506" s="40" t="str">
        <f ca="1">IF(Table5[[#This Row],[Last sale Date]]="","Never Sold",TODAY()-Table5[[#This Row],[Last sale Date]])</f>
        <v>Never Sold</v>
      </c>
      <c r="Q506" s="6" t="str">
        <f>IF(Table5[[#This Row],[Re order Level]]&lt;=Table5[[#This Row],[Current stock]],"ORDERASAP","OK BUT BE CHECKING")</f>
        <v>OK BUT BE CHECKING</v>
      </c>
      <c r="R506" s="6" t="str">
        <f t="shared" si="29"/>
        <v>ACTIVE</v>
      </c>
      <c r="S506" s="8">
        <f>IF(Table5[[#This Row],[DEADSTOCK FLAG]]="DEAD",Table5[[#This Row],[Inventory Value]],0)</f>
        <v>0</v>
      </c>
    </row>
    <row r="507" spans="1:19" x14ac:dyDescent="0.25">
      <c r="A507" s="24" t="str">
        <f>'Inventory master'!A507</f>
        <v>ITEM506-A</v>
      </c>
      <c r="B507" s="6" t="str">
        <f>'Inventory master'!B507</f>
        <v>Armored Fiber Cable 500m</v>
      </c>
      <c r="C507" s="6" t="str">
        <f>'Inventory master'!C507</f>
        <v>Fiber Optic Cables</v>
      </c>
      <c r="D507" s="6" t="str">
        <f>'Inventory master'!D507</f>
        <v>Prysmian Group</v>
      </c>
      <c r="E507" s="10" t="str">
        <f>'Inventory master'!E507</f>
        <v>501.55</v>
      </c>
      <c r="F507" s="10" t="str">
        <f>'Inventory master'!F507</f>
        <v>847.52</v>
      </c>
      <c r="G507" s="10" t="str">
        <f>'Inventory master'!G507</f>
        <v>51</v>
      </c>
      <c r="H507" s="8">
        <f>IFERROR(_xlfn.XLOOKUP(A507, 'Opening stock'!A507:A1106, 'Opening stock'!E507:E1106), "")</f>
        <v>765</v>
      </c>
      <c r="I507" s="8">
        <f>IFERROR(SUMIF(Table3[Item ID],'Inventory calculations'!A507,Table3[Quantity]),0)</f>
        <v>9</v>
      </c>
      <c r="J507" s="8">
        <f>IFERROR(SUMIF(Table4[Item ID],'Inventory calculations'!A507,Table4[Quantity Purchased]),0)</f>
        <v>5</v>
      </c>
      <c r="K507" s="10">
        <f t="shared" si="30"/>
        <v>761</v>
      </c>
      <c r="L507" s="6" t="str">
        <f t="shared" si="31"/>
        <v>OK</v>
      </c>
      <c r="M507" s="13">
        <f t="shared" si="28"/>
        <v>381679.55</v>
      </c>
      <c r="N507" s="8">
        <f>Table5[[#This Row],[Total Qty Sold]]*Table5[[#This Row],[Unit Price]]</f>
        <v>7627.68</v>
      </c>
      <c r="O507" s="9">
        <f>IFERROR(_xlfn.MAXIFS(Table3[Date],Table3[Item ID],Table5[[#This Row],[Item ID]]),"")</f>
        <v>45909</v>
      </c>
      <c r="P507" s="40">
        <f ca="1">IF(Table5[[#This Row],[Last sale Date]]="","Never Sold",TODAY()-Table5[[#This Row],[Last sale Date]])</f>
        <v>143</v>
      </c>
      <c r="Q507" s="6" t="str">
        <f>IF(Table5[[#This Row],[Re order Level]]&lt;=Table5[[#This Row],[Current stock]],"ORDERASAP","OK BUT BE CHECKING")</f>
        <v>OK BUT BE CHECKING</v>
      </c>
      <c r="R507" s="6" t="str">
        <f t="shared" si="29"/>
        <v>ACTIVE</v>
      </c>
      <c r="S507" s="8">
        <f>IF(Table5[[#This Row],[DEADSTOCK FLAG]]="DEAD",Table5[[#This Row],[Inventory Value]],0)</f>
        <v>0</v>
      </c>
    </row>
    <row r="508" spans="1:19" x14ac:dyDescent="0.25">
      <c r="A508" s="24" t="str">
        <f>'Inventory master'!A508</f>
        <v>ITEM507-A</v>
      </c>
      <c r="B508" s="6" t="str">
        <f>'Inventory master'!B508</f>
        <v>72-Port Fiber Patch Panel</v>
      </c>
      <c r="C508" s="6" t="str">
        <f>'Inventory master'!C508</f>
        <v>Patch Panels</v>
      </c>
      <c r="D508" s="6" t="str">
        <f>'Inventory master'!D508</f>
        <v>AFL</v>
      </c>
      <c r="E508" s="10" t="str">
        <f>'Inventory master'!E508</f>
        <v>1066.95</v>
      </c>
      <c r="F508" s="10" t="str">
        <f>'Inventory master'!F508</f>
        <v>1968.14</v>
      </c>
      <c r="G508" s="10" t="str">
        <f>'Inventory master'!G508</f>
        <v>43</v>
      </c>
      <c r="H508" s="8">
        <f>IFERROR(_xlfn.XLOOKUP(A508, 'Opening stock'!A508:A1107, 'Opening stock'!E508:E1107), "")</f>
        <v>645</v>
      </c>
      <c r="I508" s="8">
        <f>IFERROR(SUMIF(Table3[Item ID],'Inventory calculations'!A508,Table3[Quantity]),0)</f>
        <v>0</v>
      </c>
      <c r="J508" s="8">
        <f>IFERROR(SUMIF(Table4[Item ID],'Inventory calculations'!A508,Table4[Quantity Purchased]),0)</f>
        <v>0</v>
      </c>
      <c r="K508" s="10">
        <f t="shared" si="30"/>
        <v>645</v>
      </c>
      <c r="L508" s="6" t="str">
        <f t="shared" si="31"/>
        <v>OK</v>
      </c>
      <c r="M508" s="13">
        <f t="shared" si="28"/>
        <v>688182.75</v>
      </c>
      <c r="N508" s="8">
        <f>Table5[[#This Row],[Total Qty Sold]]*Table5[[#This Row],[Unit Price]]</f>
        <v>0</v>
      </c>
      <c r="O508" s="9"/>
      <c r="P508" s="40" t="str">
        <f ca="1">IF(Table5[[#This Row],[Last sale Date]]="","Never Sold",TODAY()-Table5[[#This Row],[Last sale Date]])</f>
        <v>Never Sold</v>
      </c>
      <c r="Q508" s="6" t="str">
        <f>IF(Table5[[#This Row],[Re order Level]]&lt;=Table5[[#This Row],[Current stock]],"ORDERASAP","OK BUT BE CHECKING")</f>
        <v>OK BUT BE CHECKING</v>
      </c>
      <c r="R508" s="6" t="str">
        <f t="shared" si="29"/>
        <v>ACTIVE</v>
      </c>
      <c r="S508" s="8">
        <f>IF(Table5[[#This Row],[DEADSTOCK FLAG]]="DEAD",Table5[[#This Row],[Inventory Value]],0)</f>
        <v>0</v>
      </c>
    </row>
    <row r="509" spans="1:19" x14ac:dyDescent="0.25">
      <c r="A509" s="24" t="str">
        <f>'Inventory master'!A509</f>
        <v>ITEM508-A</v>
      </c>
      <c r="B509" s="6" t="str">
        <f>'Inventory master'!B509</f>
        <v>Armored Fiber Cable 100m</v>
      </c>
      <c r="C509" s="6" t="str">
        <f>'Inventory master'!C509</f>
        <v>Fiber Optic Cables</v>
      </c>
      <c r="D509" s="6" t="str">
        <f>'Inventory master'!D509</f>
        <v>CommScope</v>
      </c>
      <c r="E509" s="10" t="str">
        <f>'Inventory master'!E509</f>
        <v>1557.7</v>
      </c>
      <c r="F509" s="10" t="str">
        <f>'Inventory master'!F509</f>
        <v>2621.2</v>
      </c>
      <c r="G509" s="10" t="str">
        <f>'Inventory master'!G509</f>
        <v>18</v>
      </c>
      <c r="H509" s="8">
        <f>IFERROR(_xlfn.XLOOKUP(A509, 'Opening stock'!A509:A1108, 'Opening stock'!E509:E1108), "")</f>
        <v>270</v>
      </c>
      <c r="I509" s="8">
        <f>IFERROR(SUMIF(Table3[Item ID],'Inventory calculations'!A509,Table3[Quantity]),0)</f>
        <v>0</v>
      </c>
      <c r="J509" s="8">
        <f>IFERROR(SUMIF(Table4[Item ID],'Inventory calculations'!A509,Table4[Quantity Purchased]),0)</f>
        <v>3</v>
      </c>
      <c r="K509" s="10">
        <f t="shared" si="30"/>
        <v>273</v>
      </c>
      <c r="L509" s="6" t="str">
        <f t="shared" si="31"/>
        <v>OK</v>
      </c>
      <c r="M509" s="13">
        <f t="shared" si="28"/>
        <v>425252.10000000003</v>
      </c>
      <c r="N509" s="8">
        <f>Table5[[#This Row],[Total Qty Sold]]*Table5[[#This Row],[Unit Price]]</f>
        <v>0</v>
      </c>
      <c r="O509" s="9"/>
      <c r="P509" s="40" t="str">
        <f ca="1">IF(Table5[[#This Row],[Last sale Date]]="","Never Sold",TODAY()-Table5[[#This Row],[Last sale Date]])</f>
        <v>Never Sold</v>
      </c>
      <c r="Q509" s="6" t="str">
        <f>IF(Table5[[#This Row],[Re order Level]]&lt;=Table5[[#This Row],[Current stock]],"ORDERASAP","OK BUT BE CHECKING")</f>
        <v>OK BUT BE CHECKING</v>
      </c>
      <c r="R509" s="6" t="str">
        <f t="shared" si="29"/>
        <v>ACTIVE</v>
      </c>
      <c r="S509" s="8">
        <f>IF(Table5[[#This Row],[DEADSTOCK FLAG]]="DEAD",Table5[[#This Row],[Inventory Value]],0)</f>
        <v>0</v>
      </c>
    </row>
    <row r="510" spans="1:19" x14ac:dyDescent="0.25">
      <c r="A510" s="24" t="str">
        <f>'Inventory master'!A510</f>
        <v>ITEM509-A</v>
      </c>
      <c r="B510" s="6" t="str">
        <f>'Inventory master'!B510</f>
        <v>Fiber Optic Crimper</v>
      </c>
      <c r="C510" s="6" t="str">
        <f>'Inventory master'!C510</f>
        <v>Tools</v>
      </c>
      <c r="D510" s="6" t="str">
        <f>'Inventory master'!D510</f>
        <v>Leviton</v>
      </c>
      <c r="E510" s="10" t="str">
        <f>'Inventory master'!E510</f>
        <v>1293.76</v>
      </c>
      <c r="F510" s="10" t="str">
        <f>'Inventory master'!F510</f>
        <v>1972.61</v>
      </c>
      <c r="G510" s="10" t="str">
        <f>'Inventory master'!G510</f>
        <v>36</v>
      </c>
      <c r="H510" s="8">
        <f>IFERROR(_xlfn.XLOOKUP(A510, 'Opening stock'!A510:A1109, 'Opening stock'!E510:E1109), "")</f>
        <v>540</v>
      </c>
      <c r="I510" s="8">
        <f>IFERROR(SUMIF(Table3[Item ID],'Inventory calculations'!A510,Table3[Quantity]),0)</f>
        <v>0</v>
      </c>
      <c r="J510" s="8">
        <f>IFERROR(SUMIF(Table4[Item ID],'Inventory calculations'!A510,Table4[Quantity Purchased]),0)</f>
        <v>12</v>
      </c>
      <c r="K510" s="10">
        <f t="shared" si="30"/>
        <v>552</v>
      </c>
      <c r="L510" s="6" t="str">
        <f t="shared" si="31"/>
        <v>OK</v>
      </c>
      <c r="M510" s="13">
        <f t="shared" si="28"/>
        <v>714155.52000000002</v>
      </c>
      <c r="N510" s="8">
        <f>Table5[[#This Row],[Total Qty Sold]]*Table5[[#This Row],[Unit Price]]</f>
        <v>0</v>
      </c>
      <c r="O510" s="9"/>
      <c r="P510" s="40" t="str">
        <f ca="1">IF(Table5[[#This Row],[Last sale Date]]="","Never Sold",TODAY()-Table5[[#This Row],[Last sale Date]])</f>
        <v>Never Sold</v>
      </c>
      <c r="Q510" s="6" t="str">
        <f>IF(Table5[[#This Row],[Re order Level]]&lt;=Table5[[#This Row],[Current stock]],"ORDERASAP","OK BUT BE CHECKING")</f>
        <v>OK BUT BE CHECKING</v>
      </c>
      <c r="R510" s="6" t="str">
        <f t="shared" si="29"/>
        <v>ACTIVE</v>
      </c>
      <c r="S510" s="8">
        <f>IF(Table5[[#This Row],[DEADSTOCK FLAG]]="DEAD",Table5[[#This Row],[Inventory Value]],0)</f>
        <v>0</v>
      </c>
    </row>
    <row r="511" spans="1:19" x14ac:dyDescent="0.25">
      <c r="A511" s="24" t="str">
        <f>'Inventory master'!A511</f>
        <v>ITEM510-A</v>
      </c>
      <c r="B511" s="6" t="str">
        <f>'Inventory master'!B511</f>
        <v>CFP Transceiver</v>
      </c>
      <c r="C511" s="6" t="str">
        <f>'Inventory master'!C511</f>
        <v>Transceivers</v>
      </c>
      <c r="D511" s="6" t="str">
        <f>'Inventory master'!D511</f>
        <v>Corning Inc.</v>
      </c>
      <c r="E511" s="10" t="str">
        <f>'Inventory master'!E511</f>
        <v>494.2</v>
      </c>
      <c r="F511" s="10" t="str">
        <f>'Inventory master'!F511</f>
        <v>557.82</v>
      </c>
      <c r="G511" s="10" t="str">
        <f>'Inventory master'!G511</f>
        <v>89</v>
      </c>
      <c r="H511" s="8">
        <f>IFERROR(_xlfn.XLOOKUP(A511, 'Opening stock'!A511:A1110, 'Opening stock'!E511:E1110), "")</f>
        <v>1335</v>
      </c>
      <c r="I511" s="8">
        <f>IFERROR(SUMIF(Table3[Item ID],'Inventory calculations'!A511,Table3[Quantity]),0)</f>
        <v>0</v>
      </c>
      <c r="J511" s="8">
        <f>IFERROR(SUMIF(Table4[Item ID],'Inventory calculations'!A511,Table4[Quantity Purchased]),0)</f>
        <v>20</v>
      </c>
      <c r="K511" s="10">
        <f t="shared" si="30"/>
        <v>1355</v>
      </c>
      <c r="L511" s="6" t="str">
        <f t="shared" si="31"/>
        <v>OK</v>
      </c>
      <c r="M511" s="13">
        <f t="shared" si="28"/>
        <v>669641</v>
      </c>
      <c r="N511" s="8">
        <f>Table5[[#This Row],[Total Qty Sold]]*Table5[[#This Row],[Unit Price]]</f>
        <v>0</v>
      </c>
      <c r="O511" s="9"/>
      <c r="P511" s="40" t="str">
        <f ca="1">IF(Table5[[#This Row],[Last sale Date]]="","Never Sold",TODAY()-Table5[[#This Row],[Last sale Date]])</f>
        <v>Never Sold</v>
      </c>
      <c r="Q511" s="6" t="str">
        <f>IF(Table5[[#This Row],[Re order Level]]&lt;=Table5[[#This Row],[Current stock]],"ORDERASAP","OK BUT BE CHECKING")</f>
        <v>OK BUT BE CHECKING</v>
      </c>
      <c r="R511" s="6" t="str">
        <f t="shared" si="29"/>
        <v>ACTIVE</v>
      </c>
      <c r="S511" s="8">
        <f>IF(Table5[[#This Row],[DEADSTOCK FLAG]]="DEAD",Table5[[#This Row],[Inventory Value]],0)</f>
        <v>0</v>
      </c>
    </row>
    <row r="512" spans="1:19" x14ac:dyDescent="0.25">
      <c r="A512" s="24" t="str">
        <f>'Inventory master'!A512</f>
        <v>ITEM511-A</v>
      </c>
      <c r="B512" s="6" t="str">
        <f>'Inventory master'!B512</f>
        <v>QSFP Transceiver</v>
      </c>
      <c r="C512" s="6" t="str">
        <f>'Inventory master'!C512</f>
        <v>Transceivers</v>
      </c>
      <c r="D512" s="6" t="str">
        <f>'Inventory master'!D512</f>
        <v>Corning Inc.</v>
      </c>
      <c r="E512" s="10" t="str">
        <f>'Inventory master'!E512</f>
        <v>106.38</v>
      </c>
      <c r="F512" s="10" t="str">
        <f>'Inventory master'!F512</f>
        <v>150.4</v>
      </c>
      <c r="G512" s="10" t="str">
        <f>'Inventory master'!G512</f>
        <v>99</v>
      </c>
      <c r="H512" s="8">
        <f>IFERROR(_xlfn.XLOOKUP(A512, 'Opening stock'!A512:A1111, 'Opening stock'!E512:E1111), "")</f>
        <v>1485</v>
      </c>
      <c r="I512" s="8">
        <f>IFERROR(SUMIF(Table3[Item ID],'Inventory calculations'!A512,Table3[Quantity]),0)</f>
        <v>0</v>
      </c>
      <c r="J512" s="8">
        <f>IFERROR(SUMIF(Table4[Item ID],'Inventory calculations'!A512,Table4[Quantity Purchased]),0)</f>
        <v>7</v>
      </c>
      <c r="K512" s="10">
        <f t="shared" si="30"/>
        <v>1492</v>
      </c>
      <c r="L512" s="6" t="str">
        <f t="shared" si="31"/>
        <v>OK</v>
      </c>
      <c r="M512" s="13">
        <f t="shared" si="28"/>
        <v>158718.96</v>
      </c>
      <c r="N512" s="8">
        <f>Table5[[#This Row],[Total Qty Sold]]*Table5[[#This Row],[Unit Price]]</f>
        <v>0</v>
      </c>
      <c r="O512" s="9"/>
      <c r="P512" s="40" t="str">
        <f ca="1">IF(Table5[[#This Row],[Last sale Date]]="","Never Sold",TODAY()-Table5[[#This Row],[Last sale Date]])</f>
        <v>Never Sold</v>
      </c>
      <c r="Q512" s="6" t="str">
        <f>IF(Table5[[#This Row],[Re order Level]]&lt;=Table5[[#This Row],[Current stock]],"ORDERASAP","OK BUT BE CHECKING")</f>
        <v>OK BUT BE CHECKING</v>
      </c>
      <c r="R512" s="6" t="str">
        <f t="shared" si="29"/>
        <v>ACTIVE</v>
      </c>
      <c r="S512" s="8">
        <f>IF(Table5[[#This Row],[DEADSTOCK FLAG]]="DEAD",Table5[[#This Row],[Inventory Value]],0)</f>
        <v>0</v>
      </c>
    </row>
    <row r="513" spans="1:19" x14ac:dyDescent="0.25">
      <c r="A513" s="24" t="str">
        <f>'Inventory master'!A513</f>
        <v>ITEM512-A</v>
      </c>
      <c r="B513" s="6" t="str">
        <f>'Inventory master'!B513</f>
        <v>12-Port Fiber Patch Panel</v>
      </c>
      <c r="C513" s="6" t="str">
        <f>'Inventory master'!C513</f>
        <v>Patch Panels</v>
      </c>
      <c r="D513" s="6" t="str">
        <f>'Inventory master'!D513</f>
        <v>CommScope</v>
      </c>
      <c r="E513" s="10" t="str">
        <f>'Inventory master'!E513</f>
        <v>1932.79</v>
      </c>
      <c r="F513" s="10" t="str">
        <f>'Inventory master'!F513</f>
        <v>3118.28</v>
      </c>
      <c r="G513" s="10" t="str">
        <f>'Inventory master'!G513</f>
        <v>25</v>
      </c>
      <c r="H513" s="8">
        <f>IFERROR(_xlfn.XLOOKUP(A513, 'Opening stock'!A513:A1112, 'Opening stock'!E513:E1112), "")</f>
        <v>375</v>
      </c>
      <c r="I513" s="8">
        <f>IFERROR(SUMIF(Table3[Item ID],'Inventory calculations'!A513,Table3[Quantity]),0)</f>
        <v>9</v>
      </c>
      <c r="J513" s="8">
        <f>IFERROR(SUMIF(Table4[Item ID],'Inventory calculations'!A513,Table4[Quantity Purchased]),0)</f>
        <v>0</v>
      </c>
      <c r="K513" s="10">
        <f t="shared" si="30"/>
        <v>366</v>
      </c>
      <c r="L513" s="6" t="str">
        <f t="shared" si="31"/>
        <v>OK</v>
      </c>
      <c r="M513" s="13">
        <f t="shared" si="28"/>
        <v>707401.14</v>
      </c>
      <c r="N513" s="8">
        <f>Table5[[#This Row],[Total Qty Sold]]*Table5[[#This Row],[Unit Price]]</f>
        <v>28064.52</v>
      </c>
      <c r="O513" s="9">
        <f>IFERROR(_xlfn.MAXIFS(Table3[Date],Table3[Item ID],Table5[[#This Row],[Item ID]]),"")</f>
        <v>45919</v>
      </c>
      <c r="P513" s="40">
        <f ca="1">IF(Table5[[#This Row],[Last sale Date]]="","Never Sold",TODAY()-Table5[[#This Row],[Last sale Date]])</f>
        <v>133</v>
      </c>
      <c r="Q513" s="6" t="str">
        <f>IF(Table5[[#This Row],[Re order Level]]&lt;=Table5[[#This Row],[Current stock]],"ORDERASAP","OK BUT BE CHECKING")</f>
        <v>OK BUT BE CHECKING</v>
      </c>
      <c r="R513" s="6" t="str">
        <f t="shared" si="29"/>
        <v>ACTIVE</v>
      </c>
      <c r="S513" s="8">
        <f>IF(Table5[[#This Row],[DEADSTOCK FLAG]]="DEAD",Table5[[#This Row],[Inventory Value]],0)</f>
        <v>0</v>
      </c>
    </row>
    <row r="514" spans="1:19" x14ac:dyDescent="0.25">
      <c r="A514" s="24" t="str">
        <f>'Inventory master'!A514</f>
        <v>ITEM513-A</v>
      </c>
      <c r="B514" s="6" t="str">
        <f>'Inventory master'!B514</f>
        <v>Outdoor Fiber Cable 300m</v>
      </c>
      <c r="C514" s="6" t="str">
        <f>'Inventory master'!C514</f>
        <v>Fiber Optic Cables</v>
      </c>
      <c r="D514" s="6" t="str">
        <f>'Inventory master'!D514</f>
        <v>Prysmian Group</v>
      </c>
      <c r="E514" s="10" t="str">
        <f>'Inventory master'!E514</f>
        <v>399.42</v>
      </c>
      <c r="F514" s="10" t="str">
        <f>'Inventory master'!F514</f>
        <v>673.43</v>
      </c>
      <c r="G514" s="10" t="str">
        <f>'Inventory master'!G514</f>
        <v>84</v>
      </c>
      <c r="H514" s="8">
        <f>IFERROR(_xlfn.XLOOKUP(A514, 'Opening stock'!A514:A1113, 'Opening stock'!E514:E1113), "")</f>
        <v>1260</v>
      </c>
      <c r="I514" s="8">
        <f>IFERROR(SUMIF(Table3[Item ID],'Inventory calculations'!A514,Table3[Quantity]),0)</f>
        <v>0</v>
      </c>
      <c r="J514" s="8">
        <f>IFERROR(SUMIF(Table4[Item ID],'Inventory calculations'!A514,Table4[Quantity Purchased]),0)</f>
        <v>6</v>
      </c>
      <c r="K514" s="10">
        <f t="shared" si="30"/>
        <v>1266</v>
      </c>
      <c r="L514" s="6" t="str">
        <f t="shared" si="31"/>
        <v>OK</v>
      </c>
      <c r="M514" s="13">
        <f t="shared" ref="M514:M577" si="32">K514*E514</f>
        <v>505665.72000000003</v>
      </c>
      <c r="N514" s="8">
        <f>Table5[[#This Row],[Total Qty Sold]]*Table5[[#This Row],[Unit Price]]</f>
        <v>0</v>
      </c>
      <c r="O514" s="9"/>
      <c r="P514" s="40" t="str">
        <f ca="1">IF(Table5[[#This Row],[Last sale Date]]="","Never Sold",TODAY()-Table5[[#This Row],[Last sale Date]])</f>
        <v>Never Sold</v>
      </c>
      <c r="Q514" s="6" t="str">
        <f>IF(Table5[[#This Row],[Re order Level]]&lt;=Table5[[#This Row],[Current stock]],"ORDERASAP","OK BUT BE CHECKING")</f>
        <v>OK BUT BE CHECKING</v>
      </c>
      <c r="R514" s="6" t="str">
        <f t="shared" ref="R514:R577" si="33">IF(AND(ISNUMBER(B514), B514 &gt; 60), "DEAD", "ACTIVE")</f>
        <v>ACTIVE</v>
      </c>
      <c r="S514" s="8">
        <f>IF(Table5[[#This Row],[DEADSTOCK FLAG]]="DEAD",Table5[[#This Row],[Inventory Value]],0)</f>
        <v>0</v>
      </c>
    </row>
    <row r="515" spans="1:19" x14ac:dyDescent="0.25">
      <c r="A515" s="24" t="str">
        <f>'Inventory master'!A515</f>
        <v>ITEM514-A</v>
      </c>
      <c r="B515" s="6" t="str">
        <f>'Inventory master'!B515</f>
        <v>1x2 PLC Splitter</v>
      </c>
      <c r="C515" s="6" t="str">
        <f>'Inventory master'!C515</f>
        <v>Splitters</v>
      </c>
      <c r="D515" s="6" t="str">
        <f>'Inventory master'!D515</f>
        <v>Prysmian Group</v>
      </c>
      <c r="E515" s="10" t="str">
        <f>'Inventory master'!E515</f>
        <v>1873.61</v>
      </c>
      <c r="F515" s="10" t="str">
        <f>'Inventory master'!F515</f>
        <v>2882.84</v>
      </c>
      <c r="G515" s="10" t="str">
        <f>'Inventory master'!G515</f>
        <v>51</v>
      </c>
      <c r="H515" s="8">
        <f>IFERROR(_xlfn.XLOOKUP(A515, 'Opening stock'!A515:A1114, 'Opening stock'!E515:E1114), "")</f>
        <v>765</v>
      </c>
      <c r="I515" s="8">
        <f>IFERROR(SUMIF(Table3[Item ID],'Inventory calculations'!A515,Table3[Quantity]),0)</f>
        <v>0</v>
      </c>
      <c r="J515" s="8">
        <f>IFERROR(SUMIF(Table4[Item ID],'Inventory calculations'!A515,Table4[Quantity Purchased]),0)</f>
        <v>2</v>
      </c>
      <c r="K515" s="10">
        <f t="shared" ref="K515:K578" si="34">H515+J515-I515</f>
        <v>767</v>
      </c>
      <c r="L515" s="6" t="str">
        <f t="shared" ref="L515:L578" si="35">IF(K515&lt;0,"STOCK ISSUE","OK")</f>
        <v>OK</v>
      </c>
      <c r="M515" s="13">
        <f t="shared" si="32"/>
        <v>1437058.8699999999</v>
      </c>
      <c r="N515" s="8">
        <f>Table5[[#This Row],[Total Qty Sold]]*Table5[[#This Row],[Unit Price]]</f>
        <v>0</v>
      </c>
      <c r="O515" s="9"/>
      <c r="P515" s="40" t="str">
        <f ca="1">IF(Table5[[#This Row],[Last sale Date]]="","Never Sold",TODAY()-Table5[[#This Row],[Last sale Date]])</f>
        <v>Never Sold</v>
      </c>
      <c r="Q515" s="6" t="str">
        <f>IF(Table5[[#This Row],[Re order Level]]&lt;=Table5[[#This Row],[Current stock]],"ORDERASAP","OK BUT BE CHECKING")</f>
        <v>OK BUT BE CHECKING</v>
      </c>
      <c r="R515" s="6" t="str">
        <f t="shared" si="33"/>
        <v>ACTIVE</v>
      </c>
      <c r="S515" s="8">
        <f>IF(Table5[[#This Row],[DEADSTOCK FLAG]]="DEAD",Table5[[#This Row],[Inventory Value]],0)</f>
        <v>0</v>
      </c>
    </row>
    <row r="516" spans="1:19" x14ac:dyDescent="0.25">
      <c r="A516" s="24" t="str">
        <f>'Inventory master'!A516</f>
        <v>ITEM515-A</v>
      </c>
      <c r="B516" s="6" t="str">
        <f>'Inventory master'!B516</f>
        <v>SFP+ Transceiver</v>
      </c>
      <c r="C516" s="6" t="str">
        <f>'Inventory master'!C516</f>
        <v>Transceivers</v>
      </c>
      <c r="D516" s="6" t="str">
        <f>'Inventory master'!D516</f>
        <v>Corning Inc.</v>
      </c>
      <c r="E516" s="10" t="str">
        <f>'Inventory master'!E516</f>
        <v>1178.0</v>
      </c>
      <c r="F516" s="10" t="str">
        <f>'Inventory master'!F516</f>
        <v>1595.78</v>
      </c>
      <c r="G516" s="10" t="str">
        <f>'Inventory master'!G516</f>
        <v>62</v>
      </c>
      <c r="H516" s="8">
        <f>IFERROR(_xlfn.XLOOKUP(A516, 'Opening stock'!A516:A1115, 'Opening stock'!E516:E1115), "")</f>
        <v>930</v>
      </c>
      <c r="I516" s="8">
        <f>IFERROR(SUMIF(Table3[Item ID],'Inventory calculations'!A516,Table3[Quantity]),0)</f>
        <v>0</v>
      </c>
      <c r="J516" s="8">
        <f>IFERROR(SUMIF(Table4[Item ID],'Inventory calculations'!A516,Table4[Quantity Purchased]),0)</f>
        <v>4</v>
      </c>
      <c r="K516" s="10">
        <f t="shared" si="34"/>
        <v>934</v>
      </c>
      <c r="L516" s="6" t="str">
        <f t="shared" si="35"/>
        <v>OK</v>
      </c>
      <c r="M516" s="13">
        <f t="shared" si="32"/>
        <v>1100252</v>
      </c>
      <c r="N516" s="8">
        <f>Table5[[#This Row],[Total Qty Sold]]*Table5[[#This Row],[Unit Price]]</f>
        <v>0</v>
      </c>
      <c r="O516" s="9"/>
      <c r="P516" s="40" t="str">
        <f ca="1">IF(Table5[[#This Row],[Last sale Date]]="","Never Sold",TODAY()-Table5[[#This Row],[Last sale Date]])</f>
        <v>Never Sold</v>
      </c>
      <c r="Q516" s="6" t="str">
        <f>IF(Table5[[#This Row],[Re order Level]]&lt;=Table5[[#This Row],[Current stock]],"ORDERASAP","OK BUT BE CHECKING")</f>
        <v>OK BUT BE CHECKING</v>
      </c>
      <c r="R516" s="6" t="str">
        <f t="shared" si="33"/>
        <v>ACTIVE</v>
      </c>
      <c r="S516" s="8">
        <f>IF(Table5[[#This Row],[DEADSTOCK FLAG]]="DEAD",Table5[[#This Row],[Inventory Value]],0)</f>
        <v>0</v>
      </c>
    </row>
    <row r="517" spans="1:19" x14ac:dyDescent="0.25">
      <c r="A517" s="24" t="str">
        <f>'Inventory master'!A517</f>
        <v>ITEM516-A</v>
      </c>
      <c r="B517" s="6" t="str">
        <f>'Inventory master'!B517</f>
        <v>SFP Transceiver</v>
      </c>
      <c r="C517" s="6" t="str">
        <f>'Inventory master'!C517</f>
        <v>Transceivers</v>
      </c>
      <c r="D517" s="6" t="str">
        <f>'Inventory master'!D517</f>
        <v>Amphenol</v>
      </c>
      <c r="E517" s="10" t="str">
        <f>'Inventory master'!E517</f>
        <v>326.19</v>
      </c>
      <c r="F517" s="10" t="str">
        <f>'Inventory master'!F517</f>
        <v>482.71</v>
      </c>
      <c r="G517" s="10" t="str">
        <f>'Inventory master'!G517</f>
        <v>28</v>
      </c>
      <c r="H517" s="8">
        <f>IFERROR(_xlfn.XLOOKUP(A517, 'Opening stock'!A517:A1116, 'Opening stock'!E517:E1116), "")</f>
        <v>420</v>
      </c>
      <c r="I517" s="8">
        <f>IFERROR(SUMIF(Table3[Item ID],'Inventory calculations'!A517,Table3[Quantity]),0)</f>
        <v>0</v>
      </c>
      <c r="J517" s="8">
        <f>IFERROR(SUMIF(Table4[Item ID],'Inventory calculations'!A517,Table4[Quantity Purchased]),0)</f>
        <v>0</v>
      </c>
      <c r="K517" s="10">
        <f t="shared" si="34"/>
        <v>420</v>
      </c>
      <c r="L517" s="6" t="str">
        <f t="shared" si="35"/>
        <v>OK</v>
      </c>
      <c r="M517" s="13">
        <f t="shared" si="32"/>
        <v>136999.79999999999</v>
      </c>
      <c r="N517" s="8">
        <f>Table5[[#This Row],[Total Qty Sold]]*Table5[[#This Row],[Unit Price]]</f>
        <v>0</v>
      </c>
      <c r="O517" s="9"/>
      <c r="P517" s="40" t="str">
        <f ca="1">IF(Table5[[#This Row],[Last sale Date]]="","Never Sold",TODAY()-Table5[[#This Row],[Last sale Date]])</f>
        <v>Never Sold</v>
      </c>
      <c r="Q517" s="6" t="str">
        <f>IF(Table5[[#This Row],[Re order Level]]&lt;=Table5[[#This Row],[Current stock]],"ORDERASAP","OK BUT BE CHECKING")</f>
        <v>OK BUT BE CHECKING</v>
      </c>
      <c r="R517" s="6" t="str">
        <f t="shared" si="33"/>
        <v>ACTIVE</v>
      </c>
      <c r="S517" s="8">
        <f>IF(Table5[[#This Row],[DEADSTOCK FLAG]]="DEAD",Table5[[#This Row],[Inventory Value]],0)</f>
        <v>0</v>
      </c>
    </row>
    <row r="518" spans="1:19" x14ac:dyDescent="0.25">
      <c r="A518" s="24" t="str">
        <f>'Inventory master'!A518</f>
        <v>ITEM517-A</v>
      </c>
      <c r="B518" s="6" t="str">
        <f>'Inventory master'!B518</f>
        <v>1x32 PLC Splitter</v>
      </c>
      <c r="C518" s="6" t="str">
        <f>'Inventory master'!C518</f>
        <v>Splitters</v>
      </c>
      <c r="D518" s="6" t="str">
        <f>'Inventory master'!D518</f>
        <v>Panduit</v>
      </c>
      <c r="E518" s="10" t="str">
        <f>'Inventory master'!E518</f>
        <v>861.83</v>
      </c>
      <c r="F518" s="10" t="str">
        <f>'Inventory master'!F518</f>
        <v>1269.93</v>
      </c>
      <c r="G518" s="10" t="str">
        <f>'Inventory master'!G518</f>
        <v>85</v>
      </c>
      <c r="H518" s="8">
        <f>IFERROR(_xlfn.XLOOKUP(A518, 'Opening stock'!A518:A1117, 'Opening stock'!E518:E1117), "")</f>
        <v>1275</v>
      </c>
      <c r="I518" s="8">
        <f>IFERROR(SUMIF(Table3[Item ID],'Inventory calculations'!A518,Table3[Quantity]),0)</f>
        <v>0</v>
      </c>
      <c r="J518" s="8">
        <f>IFERROR(SUMIF(Table4[Item ID],'Inventory calculations'!A518,Table4[Quantity Purchased]),0)</f>
        <v>4</v>
      </c>
      <c r="K518" s="10">
        <f t="shared" si="34"/>
        <v>1279</v>
      </c>
      <c r="L518" s="6" t="str">
        <f t="shared" si="35"/>
        <v>OK</v>
      </c>
      <c r="M518" s="13">
        <f t="shared" si="32"/>
        <v>1102280.57</v>
      </c>
      <c r="N518" s="8">
        <f>Table5[[#This Row],[Total Qty Sold]]*Table5[[#This Row],[Unit Price]]</f>
        <v>0</v>
      </c>
      <c r="O518" s="9"/>
      <c r="P518" s="40" t="str">
        <f ca="1">IF(Table5[[#This Row],[Last sale Date]]="","Never Sold",TODAY()-Table5[[#This Row],[Last sale Date]])</f>
        <v>Never Sold</v>
      </c>
      <c r="Q518" s="6" t="str">
        <f>IF(Table5[[#This Row],[Re order Level]]&lt;=Table5[[#This Row],[Current stock]],"ORDERASAP","OK BUT BE CHECKING")</f>
        <v>OK BUT BE CHECKING</v>
      </c>
      <c r="R518" s="6" t="str">
        <f t="shared" si="33"/>
        <v>ACTIVE</v>
      </c>
      <c r="S518" s="8">
        <f>IF(Table5[[#This Row],[DEADSTOCK FLAG]]="DEAD",Table5[[#This Row],[Inventory Value]],0)</f>
        <v>0</v>
      </c>
    </row>
    <row r="519" spans="1:19" x14ac:dyDescent="0.25">
      <c r="A519" s="24" t="str">
        <f>'Inventory master'!A519</f>
        <v>ITEM518-A</v>
      </c>
      <c r="B519" s="6" t="str">
        <f>'Inventory master'!B519</f>
        <v>FC APC Connector</v>
      </c>
      <c r="C519" s="6" t="str">
        <f>'Inventory master'!C519</f>
        <v>Connectors</v>
      </c>
      <c r="D519" s="6" t="str">
        <f>'Inventory master'!D519</f>
        <v>Corning Inc.</v>
      </c>
      <c r="E519" s="10" t="str">
        <f>'Inventory master'!E519</f>
        <v>950.65</v>
      </c>
      <c r="F519" s="10" t="str">
        <f>'Inventory master'!F519</f>
        <v>1439.51</v>
      </c>
      <c r="G519" s="10" t="str">
        <f>'Inventory master'!G519</f>
        <v>31</v>
      </c>
      <c r="H519" s="8">
        <f>IFERROR(_xlfn.XLOOKUP(A519, 'Opening stock'!A519:A1118, 'Opening stock'!E519:E1118), "")</f>
        <v>465</v>
      </c>
      <c r="I519" s="8">
        <f>IFERROR(SUMIF(Table3[Item ID],'Inventory calculations'!A519,Table3[Quantity]),0)</f>
        <v>16</v>
      </c>
      <c r="J519" s="8">
        <f>IFERROR(SUMIF(Table4[Item ID],'Inventory calculations'!A519,Table4[Quantity Purchased]),0)</f>
        <v>7</v>
      </c>
      <c r="K519" s="10">
        <f t="shared" si="34"/>
        <v>456</v>
      </c>
      <c r="L519" s="6" t="str">
        <f t="shared" si="35"/>
        <v>OK</v>
      </c>
      <c r="M519" s="13">
        <f t="shared" si="32"/>
        <v>433496.39999999997</v>
      </c>
      <c r="N519" s="8">
        <f>Table5[[#This Row],[Total Qty Sold]]*Table5[[#This Row],[Unit Price]]</f>
        <v>23032.16</v>
      </c>
      <c r="O519" s="9">
        <f>IFERROR(_xlfn.MAXIFS(Table3[Date],Table3[Item ID],Table5[[#This Row],[Item ID]]),"")</f>
        <v>45651</v>
      </c>
      <c r="P519" s="40">
        <f ca="1">IF(Table5[[#This Row],[Last sale Date]]="","Never Sold",TODAY()-Table5[[#This Row],[Last sale Date]])</f>
        <v>401</v>
      </c>
      <c r="Q519" s="6" t="str">
        <f>IF(Table5[[#This Row],[Re order Level]]&lt;=Table5[[#This Row],[Current stock]],"ORDERASAP","OK BUT BE CHECKING")</f>
        <v>OK BUT BE CHECKING</v>
      </c>
      <c r="R519" s="6" t="str">
        <f t="shared" si="33"/>
        <v>ACTIVE</v>
      </c>
      <c r="S519" s="8">
        <f>IF(Table5[[#This Row],[DEADSTOCK FLAG]]="DEAD",Table5[[#This Row],[Inventory Value]],0)</f>
        <v>0</v>
      </c>
    </row>
    <row r="520" spans="1:19" x14ac:dyDescent="0.25">
      <c r="A520" s="24" t="str">
        <f>'Inventory master'!A520</f>
        <v>ITEM519-A</v>
      </c>
      <c r="B520" s="6" t="str">
        <f>'Inventory master'!B520</f>
        <v>Multi-Mode Fiber Cable 100m</v>
      </c>
      <c r="C520" s="6" t="str">
        <f>'Inventory master'!C520</f>
        <v>Fiber Optic Cables</v>
      </c>
      <c r="D520" s="6" t="str">
        <f>'Inventory master'!D520</f>
        <v>Leviton</v>
      </c>
      <c r="E520" s="10" t="str">
        <f>'Inventory master'!E520</f>
        <v>1665.41</v>
      </c>
      <c r="F520" s="10" t="str">
        <f>'Inventory master'!F520</f>
        <v>3051.83</v>
      </c>
      <c r="G520" s="10" t="str">
        <f>'Inventory master'!G520</f>
        <v>18</v>
      </c>
      <c r="H520" s="8">
        <f>IFERROR(_xlfn.XLOOKUP(A520, 'Opening stock'!A520:A1119, 'Opening stock'!E520:E1119), "")</f>
        <v>270</v>
      </c>
      <c r="I520" s="8">
        <f>IFERROR(SUMIF(Table3[Item ID],'Inventory calculations'!A520,Table3[Quantity]),0)</f>
        <v>0</v>
      </c>
      <c r="J520" s="8">
        <f>IFERROR(SUMIF(Table4[Item ID],'Inventory calculations'!A520,Table4[Quantity Purchased]),0)</f>
        <v>0</v>
      </c>
      <c r="K520" s="10">
        <f t="shared" si="34"/>
        <v>270</v>
      </c>
      <c r="L520" s="6" t="str">
        <f t="shared" si="35"/>
        <v>OK</v>
      </c>
      <c r="M520" s="13">
        <f t="shared" si="32"/>
        <v>449660.7</v>
      </c>
      <c r="N520" s="8">
        <f>Table5[[#This Row],[Total Qty Sold]]*Table5[[#This Row],[Unit Price]]</f>
        <v>0</v>
      </c>
      <c r="O520" s="9"/>
      <c r="P520" s="40" t="str">
        <f ca="1">IF(Table5[[#This Row],[Last sale Date]]="","Never Sold",TODAY()-Table5[[#This Row],[Last sale Date]])</f>
        <v>Never Sold</v>
      </c>
      <c r="Q520" s="6" t="str">
        <f>IF(Table5[[#This Row],[Re order Level]]&lt;=Table5[[#This Row],[Current stock]],"ORDERASAP","OK BUT BE CHECKING")</f>
        <v>OK BUT BE CHECKING</v>
      </c>
      <c r="R520" s="6" t="str">
        <f t="shared" si="33"/>
        <v>ACTIVE</v>
      </c>
      <c r="S520" s="8">
        <f>IF(Table5[[#This Row],[DEADSTOCK FLAG]]="DEAD",Table5[[#This Row],[Inventory Value]],0)</f>
        <v>0</v>
      </c>
    </row>
    <row r="521" spans="1:19" x14ac:dyDescent="0.25">
      <c r="A521" s="24" t="str">
        <f>'Inventory master'!A521</f>
        <v>ITEM520-A</v>
      </c>
      <c r="B521" s="6" t="str">
        <f>'Inventory master'!B521</f>
        <v>SFP Transceiver</v>
      </c>
      <c r="C521" s="6" t="str">
        <f>'Inventory master'!C521</f>
        <v>Transceivers</v>
      </c>
      <c r="D521" s="6" t="str">
        <f>'Inventory master'!D521</f>
        <v>Prysmian Group</v>
      </c>
      <c r="E521" s="10" t="str">
        <f>'Inventory master'!E521</f>
        <v>1993.04</v>
      </c>
      <c r="F521" s="10" t="str">
        <f>'Inventory master'!F521</f>
        <v>2666.31</v>
      </c>
      <c r="G521" s="10" t="str">
        <f>'Inventory master'!G521</f>
        <v>32</v>
      </c>
      <c r="H521" s="8">
        <f>IFERROR(_xlfn.XLOOKUP(A521, 'Opening stock'!A521:A1120, 'Opening stock'!E521:E1120), "")</f>
        <v>480</v>
      </c>
      <c r="I521" s="8">
        <f>IFERROR(SUMIF(Table3[Item ID],'Inventory calculations'!A521,Table3[Quantity]),0)</f>
        <v>0</v>
      </c>
      <c r="J521" s="8">
        <f>IFERROR(SUMIF(Table4[Item ID],'Inventory calculations'!A521,Table4[Quantity Purchased]),0)</f>
        <v>19</v>
      </c>
      <c r="K521" s="10">
        <f t="shared" si="34"/>
        <v>499</v>
      </c>
      <c r="L521" s="6" t="str">
        <f t="shared" si="35"/>
        <v>OK</v>
      </c>
      <c r="M521" s="13">
        <f t="shared" si="32"/>
        <v>994526.96</v>
      </c>
      <c r="N521" s="8">
        <f>Table5[[#This Row],[Total Qty Sold]]*Table5[[#This Row],[Unit Price]]</f>
        <v>0</v>
      </c>
      <c r="O521" s="9"/>
      <c r="P521" s="40" t="str">
        <f ca="1">IF(Table5[[#This Row],[Last sale Date]]="","Never Sold",TODAY()-Table5[[#This Row],[Last sale Date]])</f>
        <v>Never Sold</v>
      </c>
      <c r="Q521" s="6" t="str">
        <f>IF(Table5[[#This Row],[Re order Level]]&lt;=Table5[[#This Row],[Current stock]],"ORDERASAP","OK BUT BE CHECKING")</f>
        <v>OK BUT BE CHECKING</v>
      </c>
      <c r="R521" s="6" t="str">
        <f t="shared" si="33"/>
        <v>ACTIVE</v>
      </c>
      <c r="S521" s="8">
        <f>IF(Table5[[#This Row],[DEADSTOCK FLAG]]="DEAD",Table5[[#This Row],[Inventory Value]],0)</f>
        <v>0</v>
      </c>
    </row>
    <row r="522" spans="1:19" x14ac:dyDescent="0.25">
      <c r="A522" s="24" t="str">
        <f>'Inventory master'!A522</f>
        <v>ITEM521-A</v>
      </c>
      <c r="B522" s="6" t="str">
        <f>'Inventory master'!B522</f>
        <v>QSFP28 Transceiver</v>
      </c>
      <c r="C522" s="6" t="str">
        <f>'Inventory master'!C522</f>
        <v>Transceivers</v>
      </c>
      <c r="D522" s="6" t="str">
        <f>'Inventory master'!D522</f>
        <v>TE Connectivity</v>
      </c>
      <c r="E522" s="10" t="str">
        <f>'Inventory master'!E522</f>
        <v>317.11</v>
      </c>
      <c r="F522" s="10" t="str">
        <f>'Inventory master'!F522</f>
        <v>569.51</v>
      </c>
      <c r="G522" s="10" t="str">
        <f>'Inventory master'!G522</f>
        <v>35</v>
      </c>
      <c r="H522" s="8">
        <f>IFERROR(_xlfn.XLOOKUP(A522, 'Opening stock'!A522:A1121, 'Opening stock'!E522:E1121), "")</f>
        <v>525</v>
      </c>
      <c r="I522" s="8">
        <f>IFERROR(SUMIF(Table3[Item ID],'Inventory calculations'!A522,Table3[Quantity]),0)</f>
        <v>4</v>
      </c>
      <c r="J522" s="8">
        <f>IFERROR(SUMIF(Table4[Item ID],'Inventory calculations'!A522,Table4[Quantity Purchased]),0)</f>
        <v>10</v>
      </c>
      <c r="K522" s="10">
        <f t="shared" si="34"/>
        <v>531</v>
      </c>
      <c r="L522" s="6" t="str">
        <f t="shared" si="35"/>
        <v>OK</v>
      </c>
      <c r="M522" s="13">
        <f t="shared" si="32"/>
        <v>168385.41</v>
      </c>
      <c r="N522" s="8">
        <f>Table5[[#This Row],[Total Qty Sold]]*Table5[[#This Row],[Unit Price]]</f>
        <v>2278.04</v>
      </c>
      <c r="O522" s="9">
        <f>IFERROR(_xlfn.MAXIFS(Table3[Date],Table3[Item ID],Table5[[#This Row],[Item ID]]),"")</f>
        <v>45914</v>
      </c>
      <c r="P522" s="40">
        <f ca="1">IF(Table5[[#This Row],[Last sale Date]]="","Never Sold",TODAY()-Table5[[#This Row],[Last sale Date]])</f>
        <v>138</v>
      </c>
      <c r="Q522" s="6" t="str">
        <f>IF(Table5[[#This Row],[Re order Level]]&lt;=Table5[[#This Row],[Current stock]],"ORDERASAP","OK BUT BE CHECKING")</f>
        <v>OK BUT BE CHECKING</v>
      </c>
      <c r="R522" s="6" t="str">
        <f t="shared" si="33"/>
        <v>ACTIVE</v>
      </c>
      <c r="S522" s="8">
        <f>IF(Table5[[#This Row],[DEADSTOCK FLAG]]="DEAD",Table5[[#This Row],[Inventory Value]],0)</f>
        <v>0</v>
      </c>
    </row>
    <row r="523" spans="1:19" x14ac:dyDescent="0.25">
      <c r="A523" s="24" t="str">
        <f>'Inventory master'!A523</f>
        <v>ITEM522-A</v>
      </c>
      <c r="B523" s="6" t="str">
        <f>'Inventory master'!B523</f>
        <v>1x32 PLC Splitter</v>
      </c>
      <c r="C523" s="6" t="str">
        <f>'Inventory master'!C523</f>
        <v>Splitters</v>
      </c>
      <c r="D523" s="6" t="str">
        <f>'Inventory master'!D523</f>
        <v>Prysmian Group</v>
      </c>
      <c r="E523" s="10" t="str">
        <f>'Inventory master'!E523</f>
        <v>51.04</v>
      </c>
      <c r="F523" s="10" t="str">
        <f>'Inventory master'!F523</f>
        <v>70.69</v>
      </c>
      <c r="G523" s="10" t="str">
        <f>'Inventory master'!G523</f>
        <v>12</v>
      </c>
      <c r="H523" s="8">
        <f>IFERROR(_xlfn.XLOOKUP(A523, 'Opening stock'!A523:A1122, 'Opening stock'!E523:E1122), "")</f>
        <v>180</v>
      </c>
      <c r="I523" s="8">
        <f>IFERROR(SUMIF(Table3[Item ID],'Inventory calculations'!A523,Table3[Quantity]),0)</f>
        <v>0</v>
      </c>
      <c r="J523" s="8">
        <f>IFERROR(SUMIF(Table4[Item ID],'Inventory calculations'!A523,Table4[Quantity Purchased]),0)</f>
        <v>0</v>
      </c>
      <c r="K523" s="10">
        <f t="shared" si="34"/>
        <v>180</v>
      </c>
      <c r="L523" s="6" t="str">
        <f t="shared" si="35"/>
        <v>OK</v>
      </c>
      <c r="M523" s="13">
        <f t="shared" si="32"/>
        <v>9187.2000000000007</v>
      </c>
      <c r="N523" s="8">
        <f>Table5[[#This Row],[Total Qty Sold]]*Table5[[#This Row],[Unit Price]]</f>
        <v>0</v>
      </c>
      <c r="O523" s="9"/>
      <c r="P523" s="40" t="str">
        <f ca="1">IF(Table5[[#This Row],[Last sale Date]]="","Never Sold",TODAY()-Table5[[#This Row],[Last sale Date]])</f>
        <v>Never Sold</v>
      </c>
      <c r="Q523" s="6" t="str">
        <f>IF(Table5[[#This Row],[Re order Level]]&lt;=Table5[[#This Row],[Current stock]],"ORDERASAP","OK BUT BE CHECKING")</f>
        <v>OK BUT BE CHECKING</v>
      </c>
      <c r="R523" s="6" t="str">
        <f t="shared" si="33"/>
        <v>ACTIVE</v>
      </c>
      <c r="S523" s="8">
        <f>IF(Table5[[#This Row],[DEADSTOCK FLAG]]="DEAD",Table5[[#This Row],[Inventory Value]],0)</f>
        <v>0</v>
      </c>
    </row>
    <row r="524" spans="1:19" x14ac:dyDescent="0.25">
      <c r="A524" s="24" t="str">
        <f>'Inventory master'!A524</f>
        <v>ITEM523-A</v>
      </c>
      <c r="B524" s="6" t="str">
        <f>'Inventory master'!B524</f>
        <v>QSFP Transceiver</v>
      </c>
      <c r="C524" s="6" t="str">
        <f>'Inventory master'!C524</f>
        <v>Transceivers</v>
      </c>
      <c r="D524" s="6" t="str">
        <f>'Inventory master'!D524</f>
        <v>Huber+Suhner</v>
      </c>
      <c r="E524" s="10" t="str">
        <f>'Inventory master'!E524</f>
        <v>74.9</v>
      </c>
      <c r="F524" s="10" t="str">
        <f>'Inventory master'!F524</f>
        <v>133.59</v>
      </c>
      <c r="G524" s="10" t="str">
        <f>'Inventory master'!G524</f>
        <v>29</v>
      </c>
      <c r="H524" s="8">
        <f>IFERROR(_xlfn.XLOOKUP(A524, 'Opening stock'!A524:A1123, 'Opening stock'!E524:E1123), "")</f>
        <v>435</v>
      </c>
      <c r="I524" s="8">
        <f>IFERROR(SUMIF(Table3[Item ID],'Inventory calculations'!A524,Table3[Quantity]),0)</f>
        <v>0</v>
      </c>
      <c r="J524" s="8">
        <f>IFERROR(SUMIF(Table4[Item ID],'Inventory calculations'!A524,Table4[Quantity Purchased]),0)</f>
        <v>0</v>
      </c>
      <c r="K524" s="10">
        <f t="shared" si="34"/>
        <v>435</v>
      </c>
      <c r="L524" s="6" t="str">
        <f t="shared" si="35"/>
        <v>OK</v>
      </c>
      <c r="M524" s="13">
        <f t="shared" si="32"/>
        <v>32581.500000000004</v>
      </c>
      <c r="N524" s="8">
        <f>Table5[[#This Row],[Total Qty Sold]]*Table5[[#This Row],[Unit Price]]</f>
        <v>0</v>
      </c>
      <c r="O524" s="9"/>
      <c r="P524" s="40" t="str">
        <f ca="1">IF(Table5[[#This Row],[Last sale Date]]="","Never Sold",TODAY()-Table5[[#This Row],[Last sale Date]])</f>
        <v>Never Sold</v>
      </c>
      <c r="Q524" s="6" t="str">
        <f>IF(Table5[[#This Row],[Re order Level]]&lt;=Table5[[#This Row],[Current stock]],"ORDERASAP","OK BUT BE CHECKING")</f>
        <v>OK BUT BE CHECKING</v>
      </c>
      <c r="R524" s="6" t="str">
        <f t="shared" si="33"/>
        <v>ACTIVE</v>
      </c>
      <c r="S524" s="8">
        <f>IF(Table5[[#This Row],[DEADSTOCK FLAG]]="DEAD",Table5[[#This Row],[Inventory Value]],0)</f>
        <v>0</v>
      </c>
    </row>
    <row r="525" spans="1:19" x14ac:dyDescent="0.25">
      <c r="A525" s="24" t="str">
        <f>'Inventory master'!A525</f>
        <v>ITEM524-A</v>
      </c>
      <c r="B525" s="6" t="str">
        <f>'Inventory master'!B525</f>
        <v>SFP Transceiver</v>
      </c>
      <c r="C525" s="6" t="str">
        <f>'Inventory master'!C525</f>
        <v>Transceivers</v>
      </c>
      <c r="D525" s="6" t="str">
        <f>'Inventory master'!D525</f>
        <v>Siemon</v>
      </c>
      <c r="E525" s="10" t="str">
        <f>'Inventory master'!E525</f>
        <v>487.05</v>
      </c>
      <c r="F525" s="10" t="str">
        <f>'Inventory master'!F525</f>
        <v>665.1</v>
      </c>
      <c r="G525" s="10" t="str">
        <f>'Inventory master'!G525</f>
        <v>47</v>
      </c>
      <c r="H525" s="8">
        <f>IFERROR(_xlfn.XLOOKUP(A525, 'Opening stock'!A525:A1124, 'Opening stock'!E525:E1124), "")</f>
        <v>705</v>
      </c>
      <c r="I525" s="8">
        <f>IFERROR(SUMIF(Table3[Item ID],'Inventory calculations'!A525,Table3[Quantity]),0)</f>
        <v>0</v>
      </c>
      <c r="J525" s="8">
        <f>IFERROR(SUMIF(Table4[Item ID],'Inventory calculations'!A525,Table4[Quantity Purchased]),0)</f>
        <v>0</v>
      </c>
      <c r="K525" s="10">
        <f t="shared" si="34"/>
        <v>705</v>
      </c>
      <c r="L525" s="6" t="str">
        <f t="shared" si="35"/>
        <v>OK</v>
      </c>
      <c r="M525" s="13">
        <f t="shared" si="32"/>
        <v>343370.25</v>
      </c>
      <c r="N525" s="8">
        <f>Table5[[#This Row],[Total Qty Sold]]*Table5[[#This Row],[Unit Price]]</f>
        <v>0</v>
      </c>
      <c r="O525" s="9"/>
      <c r="P525" s="40" t="str">
        <f ca="1">IF(Table5[[#This Row],[Last sale Date]]="","Never Sold",TODAY()-Table5[[#This Row],[Last sale Date]])</f>
        <v>Never Sold</v>
      </c>
      <c r="Q525" s="6" t="str">
        <f>IF(Table5[[#This Row],[Re order Level]]&lt;=Table5[[#This Row],[Current stock]],"ORDERASAP","OK BUT BE CHECKING")</f>
        <v>OK BUT BE CHECKING</v>
      </c>
      <c r="R525" s="6" t="str">
        <f t="shared" si="33"/>
        <v>ACTIVE</v>
      </c>
      <c r="S525" s="8">
        <f>IF(Table5[[#This Row],[DEADSTOCK FLAG]]="DEAD",Table5[[#This Row],[Inventory Value]],0)</f>
        <v>0</v>
      </c>
    </row>
    <row r="526" spans="1:19" x14ac:dyDescent="0.25">
      <c r="A526" s="24" t="str">
        <f>'Inventory master'!A526</f>
        <v>ITEM525-A</v>
      </c>
      <c r="B526" s="6" t="str">
        <f>'Inventory master'!B526</f>
        <v>Fiber Cleaner</v>
      </c>
      <c r="C526" s="6" t="str">
        <f>'Inventory master'!C526</f>
        <v>Accessories</v>
      </c>
      <c r="D526" s="6" t="str">
        <f>'Inventory master'!D526</f>
        <v>Corning Inc.</v>
      </c>
      <c r="E526" s="10" t="str">
        <f>'Inventory master'!E526</f>
        <v>1544.88</v>
      </c>
      <c r="F526" s="10" t="str">
        <f>'Inventory master'!F526</f>
        <v>2094.2</v>
      </c>
      <c r="G526" s="10" t="str">
        <f>'Inventory master'!G526</f>
        <v>35</v>
      </c>
      <c r="H526" s="8">
        <f>IFERROR(_xlfn.XLOOKUP(A526, 'Opening stock'!A526:A1125, 'Opening stock'!E526:E1125), "")</f>
        <v>525</v>
      </c>
      <c r="I526" s="8">
        <f>IFERROR(SUMIF(Table3[Item ID],'Inventory calculations'!A526,Table3[Quantity]),0)</f>
        <v>0</v>
      </c>
      <c r="J526" s="8">
        <f>IFERROR(SUMIF(Table4[Item ID],'Inventory calculations'!A526,Table4[Quantity Purchased]),0)</f>
        <v>1</v>
      </c>
      <c r="K526" s="10">
        <f t="shared" si="34"/>
        <v>526</v>
      </c>
      <c r="L526" s="6" t="str">
        <f t="shared" si="35"/>
        <v>OK</v>
      </c>
      <c r="M526" s="13">
        <f t="shared" si="32"/>
        <v>812606.88</v>
      </c>
      <c r="N526" s="8">
        <f>Table5[[#This Row],[Total Qty Sold]]*Table5[[#This Row],[Unit Price]]</f>
        <v>0</v>
      </c>
      <c r="O526" s="9"/>
      <c r="P526" s="40" t="str">
        <f ca="1">IF(Table5[[#This Row],[Last sale Date]]="","Never Sold",TODAY()-Table5[[#This Row],[Last sale Date]])</f>
        <v>Never Sold</v>
      </c>
      <c r="Q526" s="6" t="str">
        <f>IF(Table5[[#This Row],[Re order Level]]&lt;=Table5[[#This Row],[Current stock]],"ORDERASAP","OK BUT BE CHECKING")</f>
        <v>OK BUT BE CHECKING</v>
      </c>
      <c r="R526" s="6" t="str">
        <f t="shared" si="33"/>
        <v>ACTIVE</v>
      </c>
      <c r="S526" s="8">
        <f>IF(Table5[[#This Row],[DEADSTOCK FLAG]]="DEAD",Table5[[#This Row],[Inventory Value]],0)</f>
        <v>0</v>
      </c>
    </row>
    <row r="527" spans="1:19" x14ac:dyDescent="0.25">
      <c r="A527" s="24" t="str">
        <f>'Inventory master'!A527</f>
        <v>ITEM526-A</v>
      </c>
      <c r="B527" s="6" t="str">
        <f>'Inventory master'!B527</f>
        <v>FC UPC Connector</v>
      </c>
      <c r="C527" s="6" t="str">
        <f>'Inventory master'!C527</f>
        <v>Connectors</v>
      </c>
      <c r="D527" s="6" t="str">
        <f>'Inventory master'!D527</f>
        <v>Huber+Suhner</v>
      </c>
      <c r="E527" s="10" t="str">
        <f>'Inventory master'!E527</f>
        <v>1512.79</v>
      </c>
      <c r="F527" s="10" t="str">
        <f>'Inventory master'!F527</f>
        <v>2231.6</v>
      </c>
      <c r="G527" s="10" t="str">
        <f>'Inventory master'!G527</f>
        <v>24</v>
      </c>
      <c r="H527" s="8">
        <f>IFERROR(_xlfn.XLOOKUP(A527, 'Opening stock'!A527:A1126, 'Opening stock'!E527:E1126), "")</f>
        <v>360</v>
      </c>
      <c r="I527" s="8">
        <f>IFERROR(SUMIF(Table3[Item ID],'Inventory calculations'!A527,Table3[Quantity]),0)</f>
        <v>0</v>
      </c>
      <c r="J527" s="8">
        <f>IFERROR(SUMIF(Table4[Item ID],'Inventory calculations'!A527,Table4[Quantity Purchased]),0)</f>
        <v>0</v>
      </c>
      <c r="K527" s="10">
        <f t="shared" si="34"/>
        <v>360</v>
      </c>
      <c r="L527" s="6" t="str">
        <f t="shared" si="35"/>
        <v>OK</v>
      </c>
      <c r="M527" s="13">
        <f t="shared" si="32"/>
        <v>544604.4</v>
      </c>
      <c r="N527" s="8">
        <f>Table5[[#This Row],[Total Qty Sold]]*Table5[[#This Row],[Unit Price]]</f>
        <v>0</v>
      </c>
      <c r="O527" s="9"/>
      <c r="P527" s="40" t="str">
        <f ca="1">IF(Table5[[#This Row],[Last sale Date]]="","Never Sold",TODAY()-Table5[[#This Row],[Last sale Date]])</f>
        <v>Never Sold</v>
      </c>
      <c r="Q527" s="6" t="str">
        <f>IF(Table5[[#This Row],[Re order Level]]&lt;=Table5[[#This Row],[Current stock]],"ORDERASAP","OK BUT BE CHECKING")</f>
        <v>OK BUT BE CHECKING</v>
      </c>
      <c r="R527" s="6" t="str">
        <f t="shared" si="33"/>
        <v>ACTIVE</v>
      </c>
      <c r="S527" s="8">
        <f>IF(Table5[[#This Row],[DEADSTOCK FLAG]]="DEAD",Table5[[#This Row],[Inventory Value]],0)</f>
        <v>0</v>
      </c>
    </row>
    <row r="528" spans="1:19" x14ac:dyDescent="0.25">
      <c r="A528" s="24" t="str">
        <f>'Inventory master'!A528</f>
        <v>ITEM527-A</v>
      </c>
      <c r="B528" s="6" t="str">
        <f>'Inventory master'!B528</f>
        <v>MTP APC Connector</v>
      </c>
      <c r="C528" s="6" t="str">
        <f>'Inventory master'!C528</f>
        <v>Connectors</v>
      </c>
      <c r="D528" s="6" t="str">
        <f>'Inventory master'!D528</f>
        <v>Amphenol</v>
      </c>
      <c r="E528" s="10" t="str">
        <f>'Inventory master'!E528</f>
        <v>1460.72</v>
      </c>
      <c r="F528" s="10" t="str">
        <f>'Inventory master'!F528</f>
        <v>2356.74</v>
      </c>
      <c r="G528" s="10" t="str">
        <f>'Inventory master'!G528</f>
        <v>84</v>
      </c>
      <c r="H528" s="8">
        <f>IFERROR(_xlfn.XLOOKUP(A528, 'Opening stock'!A528:A1127, 'Opening stock'!E528:E1127), "")</f>
        <v>1260</v>
      </c>
      <c r="I528" s="8">
        <f>IFERROR(SUMIF(Table3[Item ID],'Inventory calculations'!A528,Table3[Quantity]),0)</f>
        <v>0</v>
      </c>
      <c r="J528" s="8">
        <f>IFERROR(SUMIF(Table4[Item ID],'Inventory calculations'!A528,Table4[Quantity Purchased]),0)</f>
        <v>0</v>
      </c>
      <c r="K528" s="10">
        <f t="shared" si="34"/>
        <v>1260</v>
      </c>
      <c r="L528" s="6" t="str">
        <f t="shared" si="35"/>
        <v>OK</v>
      </c>
      <c r="M528" s="13">
        <f t="shared" si="32"/>
        <v>1840507.2</v>
      </c>
      <c r="N528" s="8">
        <f>Table5[[#This Row],[Total Qty Sold]]*Table5[[#This Row],[Unit Price]]</f>
        <v>0</v>
      </c>
      <c r="O528" s="9"/>
      <c r="P528" s="40" t="str">
        <f ca="1">IF(Table5[[#This Row],[Last sale Date]]="","Never Sold",TODAY()-Table5[[#This Row],[Last sale Date]])</f>
        <v>Never Sold</v>
      </c>
      <c r="Q528" s="6" t="str">
        <f>IF(Table5[[#This Row],[Re order Level]]&lt;=Table5[[#This Row],[Current stock]],"ORDERASAP","OK BUT BE CHECKING")</f>
        <v>OK BUT BE CHECKING</v>
      </c>
      <c r="R528" s="6" t="str">
        <f t="shared" si="33"/>
        <v>ACTIVE</v>
      </c>
      <c r="S528" s="8">
        <f>IF(Table5[[#This Row],[DEADSTOCK FLAG]]="DEAD",Table5[[#This Row],[Inventory Value]],0)</f>
        <v>0</v>
      </c>
    </row>
    <row r="529" spans="1:19" x14ac:dyDescent="0.25">
      <c r="A529" s="24" t="str">
        <f>'Inventory master'!A529</f>
        <v>ITEM528-A</v>
      </c>
      <c r="B529" s="6" t="str">
        <f>'Inventory master'!B529</f>
        <v>Fiber Optic Tester</v>
      </c>
      <c r="C529" s="6" t="str">
        <f>'Inventory master'!C529</f>
        <v>Tools</v>
      </c>
      <c r="D529" s="6" t="str">
        <f>'Inventory master'!D529</f>
        <v>Huber+Suhner</v>
      </c>
      <c r="E529" s="10" t="str">
        <f>'Inventory master'!E529</f>
        <v>1404.29</v>
      </c>
      <c r="F529" s="10" t="str">
        <f>'Inventory master'!F529</f>
        <v>2318.16</v>
      </c>
      <c r="G529" s="10" t="str">
        <f>'Inventory master'!G529</f>
        <v>87</v>
      </c>
      <c r="H529" s="8">
        <f>IFERROR(_xlfn.XLOOKUP(A529, 'Opening stock'!A529:A1128, 'Opening stock'!E529:E1128), "")</f>
        <v>1305</v>
      </c>
      <c r="I529" s="8">
        <f>IFERROR(SUMIF(Table3[Item ID],'Inventory calculations'!A529,Table3[Quantity]),0)</f>
        <v>0</v>
      </c>
      <c r="J529" s="8">
        <f>IFERROR(SUMIF(Table4[Item ID],'Inventory calculations'!A529,Table4[Quantity Purchased]),0)</f>
        <v>8</v>
      </c>
      <c r="K529" s="10">
        <f t="shared" si="34"/>
        <v>1313</v>
      </c>
      <c r="L529" s="6" t="str">
        <f t="shared" si="35"/>
        <v>OK</v>
      </c>
      <c r="M529" s="13">
        <f t="shared" si="32"/>
        <v>1843832.77</v>
      </c>
      <c r="N529" s="8">
        <f>Table5[[#This Row],[Total Qty Sold]]*Table5[[#This Row],[Unit Price]]</f>
        <v>0</v>
      </c>
      <c r="O529" s="9"/>
      <c r="P529" s="40" t="str">
        <f ca="1">IF(Table5[[#This Row],[Last sale Date]]="","Never Sold",TODAY()-Table5[[#This Row],[Last sale Date]])</f>
        <v>Never Sold</v>
      </c>
      <c r="Q529" s="6" t="str">
        <f>IF(Table5[[#This Row],[Re order Level]]&lt;=Table5[[#This Row],[Current stock]],"ORDERASAP","OK BUT BE CHECKING")</f>
        <v>OK BUT BE CHECKING</v>
      </c>
      <c r="R529" s="6" t="str">
        <f t="shared" si="33"/>
        <v>ACTIVE</v>
      </c>
      <c r="S529" s="8">
        <f>IF(Table5[[#This Row],[DEADSTOCK FLAG]]="DEAD",Table5[[#This Row],[Inventory Value]],0)</f>
        <v>0</v>
      </c>
    </row>
    <row r="530" spans="1:19" x14ac:dyDescent="0.25">
      <c r="A530" s="24" t="str">
        <f>'Inventory master'!A530</f>
        <v>ITEM529-A</v>
      </c>
      <c r="B530" s="6" t="str">
        <f>'Inventory master'!B530</f>
        <v>48-Port Fiber Patch Panel</v>
      </c>
      <c r="C530" s="6" t="str">
        <f>'Inventory master'!C530</f>
        <v>Patch Panels</v>
      </c>
      <c r="D530" s="6" t="str">
        <f>'Inventory master'!D530</f>
        <v>Prysmian Group</v>
      </c>
      <c r="E530" s="10" t="str">
        <f>'Inventory master'!E530</f>
        <v>446.62</v>
      </c>
      <c r="F530" s="10" t="str">
        <f>'Inventory master'!F530</f>
        <v>653.67</v>
      </c>
      <c r="G530" s="10" t="str">
        <f>'Inventory master'!G530</f>
        <v>72</v>
      </c>
      <c r="H530" s="8">
        <f>IFERROR(_xlfn.XLOOKUP(A530, 'Opening stock'!A530:A1129, 'Opening stock'!E530:E1129), "")</f>
        <v>1080</v>
      </c>
      <c r="I530" s="8">
        <f>IFERROR(SUMIF(Table3[Item ID],'Inventory calculations'!A530,Table3[Quantity]),0)</f>
        <v>0</v>
      </c>
      <c r="J530" s="8">
        <f>IFERROR(SUMIF(Table4[Item ID],'Inventory calculations'!A530,Table4[Quantity Purchased]),0)</f>
        <v>0</v>
      </c>
      <c r="K530" s="10">
        <f t="shared" si="34"/>
        <v>1080</v>
      </c>
      <c r="L530" s="6" t="str">
        <f t="shared" si="35"/>
        <v>OK</v>
      </c>
      <c r="M530" s="13">
        <f t="shared" si="32"/>
        <v>482349.6</v>
      </c>
      <c r="N530" s="8">
        <f>Table5[[#This Row],[Total Qty Sold]]*Table5[[#This Row],[Unit Price]]</f>
        <v>0</v>
      </c>
      <c r="O530" s="9"/>
      <c r="P530" s="40" t="str">
        <f ca="1">IF(Table5[[#This Row],[Last sale Date]]="","Never Sold",TODAY()-Table5[[#This Row],[Last sale Date]])</f>
        <v>Never Sold</v>
      </c>
      <c r="Q530" s="6" t="str">
        <f>IF(Table5[[#This Row],[Re order Level]]&lt;=Table5[[#This Row],[Current stock]],"ORDERASAP","OK BUT BE CHECKING")</f>
        <v>OK BUT BE CHECKING</v>
      </c>
      <c r="R530" s="6" t="str">
        <f t="shared" si="33"/>
        <v>ACTIVE</v>
      </c>
      <c r="S530" s="8">
        <f>IF(Table5[[#This Row],[DEADSTOCK FLAG]]="DEAD",Table5[[#This Row],[Inventory Value]],0)</f>
        <v>0</v>
      </c>
    </row>
    <row r="531" spans="1:19" x14ac:dyDescent="0.25">
      <c r="A531" s="24" t="str">
        <f>'Inventory master'!A531</f>
        <v>ITEM530-A</v>
      </c>
      <c r="B531" s="6" t="str">
        <f>'Inventory master'!B531</f>
        <v>Fixed Attenuator 2dB</v>
      </c>
      <c r="C531" s="6" t="str">
        <f>'Inventory master'!C531</f>
        <v>Attenuators</v>
      </c>
      <c r="D531" s="6" t="str">
        <f>'Inventory master'!D531</f>
        <v>Corning Inc.</v>
      </c>
      <c r="E531" s="10" t="str">
        <f>'Inventory master'!E531</f>
        <v>376.77</v>
      </c>
      <c r="F531" s="10" t="str">
        <f>'Inventory master'!F531</f>
        <v>466.67</v>
      </c>
      <c r="G531" s="10" t="str">
        <f>'Inventory master'!G531</f>
        <v>37</v>
      </c>
      <c r="H531" s="8">
        <f>IFERROR(_xlfn.XLOOKUP(A531, 'Opening stock'!A531:A1130, 'Opening stock'!E531:E1130), "")</f>
        <v>555</v>
      </c>
      <c r="I531" s="8">
        <f>IFERROR(SUMIF(Table3[Item ID],'Inventory calculations'!A531,Table3[Quantity]),0)</f>
        <v>0</v>
      </c>
      <c r="J531" s="8">
        <f>IFERROR(SUMIF(Table4[Item ID],'Inventory calculations'!A531,Table4[Quantity Purchased]),0)</f>
        <v>0</v>
      </c>
      <c r="K531" s="10">
        <f t="shared" si="34"/>
        <v>555</v>
      </c>
      <c r="L531" s="6" t="str">
        <f t="shared" si="35"/>
        <v>OK</v>
      </c>
      <c r="M531" s="13">
        <f t="shared" si="32"/>
        <v>209107.34999999998</v>
      </c>
      <c r="N531" s="8">
        <f>Table5[[#This Row],[Total Qty Sold]]*Table5[[#This Row],[Unit Price]]</f>
        <v>0</v>
      </c>
      <c r="O531" s="9"/>
      <c r="P531" s="40" t="str">
        <f ca="1">IF(Table5[[#This Row],[Last sale Date]]="","Never Sold",TODAY()-Table5[[#This Row],[Last sale Date]])</f>
        <v>Never Sold</v>
      </c>
      <c r="Q531" s="6" t="str">
        <f>IF(Table5[[#This Row],[Re order Level]]&lt;=Table5[[#This Row],[Current stock]],"ORDERASAP","OK BUT BE CHECKING")</f>
        <v>OK BUT BE CHECKING</v>
      </c>
      <c r="R531" s="6" t="str">
        <f t="shared" si="33"/>
        <v>ACTIVE</v>
      </c>
      <c r="S531" s="8">
        <f>IF(Table5[[#This Row],[DEADSTOCK FLAG]]="DEAD",Table5[[#This Row],[Inventory Value]],0)</f>
        <v>0</v>
      </c>
    </row>
    <row r="532" spans="1:19" x14ac:dyDescent="0.25">
      <c r="A532" s="24" t="str">
        <f>'Inventory master'!A532</f>
        <v>ITEM531-A</v>
      </c>
      <c r="B532" s="6" t="str">
        <f>'Inventory master'!B532</f>
        <v>Multi-Mode Fiber Cable 300m</v>
      </c>
      <c r="C532" s="6" t="str">
        <f>'Inventory master'!C532</f>
        <v>Fiber Optic Cables</v>
      </c>
      <c r="D532" s="6" t="str">
        <f>'Inventory master'!D532</f>
        <v>Leviton</v>
      </c>
      <c r="E532" s="10" t="str">
        <f>'Inventory master'!E532</f>
        <v>12.93</v>
      </c>
      <c r="F532" s="10" t="str">
        <f>'Inventory master'!F532</f>
        <v>25.39</v>
      </c>
      <c r="G532" s="10" t="str">
        <f>'Inventory master'!G532</f>
        <v>72</v>
      </c>
      <c r="H532" s="8">
        <f>IFERROR(_xlfn.XLOOKUP(A532, 'Opening stock'!A532:A1131, 'Opening stock'!E532:E1131), "")</f>
        <v>1080</v>
      </c>
      <c r="I532" s="8">
        <f>IFERROR(SUMIF(Table3[Item ID],'Inventory calculations'!A532,Table3[Quantity]),0)</f>
        <v>0</v>
      </c>
      <c r="J532" s="8">
        <f>IFERROR(SUMIF(Table4[Item ID],'Inventory calculations'!A532,Table4[Quantity Purchased]),0)</f>
        <v>5</v>
      </c>
      <c r="K532" s="10">
        <f t="shared" si="34"/>
        <v>1085</v>
      </c>
      <c r="L532" s="6" t="str">
        <f t="shared" si="35"/>
        <v>OK</v>
      </c>
      <c r="M532" s="13">
        <f t="shared" si="32"/>
        <v>14029.05</v>
      </c>
      <c r="N532" s="8">
        <f>Table5[[#This Row],[Total Qty Sold]]*Table5[[#This Row],[Unit Price]]</f>
        <v>0</v>
      </c>
      <c r="O532" s="9"/>
      <c r="P532" s="40" t="str">
        <f ca="1">IF(Table5[[#This Row],[Last sale Date]]="","Never Sold",TODAY()-Table5[[#This Row],[Last sale Date]])</f>
        <v>Never Sold</v>
      </c>
      <c r="Q532" s="6" t="str">
        <f>IF(Table5[[#This Row],[Re order Level]]&lt;=Table5[[#This Row],[Current stock]],"ORDERASAP","OK BUT BE CHECKING")</f>
        <v>OK BUT BE CHECKING</v>
      </c>
      <c r="R532" s="6" t="str">
        <f t="shared" si="33"/>
        <v>ACTIVE</v>
      </c>
      <c r="S532" s="8">
        <f>IF(Table5[[#This Row],[DEADSTOCK FLAG]]="DEAD",Table5[[#This Row],[Inventory Value]],0)</f>
        <v>0</v>
      </c>
    </row>
    <row r="533" spans="1:19" x14ac:dyDescent="0.25">
      <c r="A533" s="24" t="str">
        <f>'Inventory master'!A533</f>
        <v>ITEM532-A</v>
      </c>
      <c r="B533" s="6" t="str">
        <f>'Inventory master'!B533</f>
        <v>Fixed Attenuator 1dB</v>
      </c>
      <c r="C533" s="6" t="str">
        <f>'Inventory master'!C533</f>
        <v>Attenuators</v>
      </c>
      <c r="D533" s="6" t="str">
        <f>'Inventory master'!D533</f>
        <v>Leviton</v>
      </c>
      <c r="E533" s="10" t="str">
        <f>'Inventory master'!E533</f>
        <v>734.87</v>
      </c>
      <c r="F533" s="10" t="str">
        <f>'Inventory master'!F533</f>
        <v>950.98</v>
      </c>
      <c r="G533" s="10" t="str">
        <f>'Inventory master'!G533</f>
        <v>70</v>
      </c>
      <c r="H533" s="8">
        <f>IFERROR(_xlfn.XLOOKUP(A533, 'Opening stock'!A533:A1132, 'Opening stock'!E533:E1132), "")</f>
        <v>1050</v>
      </c>
      <c r="I533" s="8">
        <f>IFERROR(SUMIF(Table3[Item ID],'Inventory calculations'!A533,Table3[Quantity]),0)</f>
        <v>0</v>
      </c>
      <c r="J533" s="8">
        <f>IFERROR(SUMIF(Table4[Item ID],'Inventory calculations'!A533,Table4[Quantity Purchased]),0)</f>
        <v>3</v>
      </c>
      <c r="K533" s="10">
        <f t="shared" si="34"/>
        <v>1053</v>
      </c>
      <c r="L533" s="6" t="str">
        <f t="shared" si="35"/>
        <v>OK</v>
      </c>
      <c r="M533" s="13">
        <f t="shared" si="32"/>
        <v>773818.11</v>
      </c>
      <c r="N533" s="8">
        <f>Table5[[#This Row],[Total Qty Sold]]*Table5[[#This Row],[Unit Price]]</f>
        <v>0</v>
      </c>
      <c r="O533" s="9"/>
      <c r="P533" s="40" t="str">
        <f ca="1">IF(Table5[[#This Row],[Last sale Date]]="","Never Sold",TODAY()-Table5[[#This Row],[Last sale Date]])</f>
        <v>Never Sold</v>
      </c>
      <c r="Q533" s="6" t="str">
        <f>IF(Table5[[#This Row],[Re order Level]]&lt;=Table5[[#This Row],[Current stock]],"ORDERASAP","OK BUT BE CHECKING")</f>
        <v>OK BUT BE CHECKING</v>
      </c>
      <c r="R533" s="6" t="str">
        <f t="shared" si="33"/>
        <v>ACTIVE</v>
      </c>
      <c r="S533" s="8">
        <f>IF(Table5[[#This Row],[DEADSTOCK FLAG]]="DEAD",Table5[[#This Row],[Inventory Value]],0)</f>
        <v>0</v>
      </c>
    </row>
    <row r="534" spans="1:19" x14ac:dyDescent="0.25">
      <c r="A534" s="24" t="str">
        <f>'Inventory master'!A534</f>
        <v>ITEM533-A</v>
      </c>
      <c r="B534" s="6" t="str">
        <f>'Inventory master'!B534</f>
        <v>12-Port Fiber Patch Panel</v>
      </c>
      <c r="C534" s="6" t="str">
        <f>'Inventory master'!C534</f>
        <v>Patch Panels</v>
      </c>
      <c r="D534" s="6" t="str">
        <f>'Inventory master'!D534</f>
        <v>CommScope</v>
      </c>
      <c r="E534" s="10" t="str">
        <f>'Inventory master'!E534</f>
        <v>51.07</v>
      </c>
      <c r="F534" s="10" t="str">
        <f>'Inventory master'!F534</f>
        <v>60.9</v>
      </c>
      <c r="G534" s="10" t="str">
        <f>'Inventory master'!G534</f>
        <v>94</v>
      </c>
      <c r="H534" s="8">
        <f>IFERROR(_xlfn.XLOOKUP(A534, 'Opening stock'!A534:A1133, 'Opening stock'!E534:E1133), "")</f>
        <v>1410</v>
      </c>
      <c r="I534" s="8">
        <f>IFERROR(SUMIF(Table3[Item ID],'Inventory calculations'!A534,Table3[Quantity]),0)</f>
        <v>9</v>
      </c>
      <c r="J534" s="8">
        <f>IFERROR(SUMIF(Table4[Item ID],'Inventory calculations'!A534,Table4[Quantity Purchased]),0)</f>
        <v>0</v>
      </c>
      <c r="K534" s="10">
        <f t="shared" si="34"/>
        <v>1401</v>
      </c>
      <c r="L534" s="6" t="str">
        <f t="shared" si="35"/>
        <v>OK</v>
      </c>
      <c r="M534" s="13">
        <f t="shared" si="32"/>
        <v>71549.070000000007</v>
      </c>
      <c r="N534" s="8">
        <f>Table5[[#This Row],[Total Qty Sold]]*Table5[[#This Row],[Unit Price]]</f>
        <v>548.1</v>
      </c>
      <c r="O534" s="9">
        <f>IFERROR(_xlfn.MAXIFS(Table3[Date],Table3[Item ID],Table5[[#This Row],[Item ID]]),"")</f>
        <v>45802</v>
      </c>
      <c r="P534" s="40">
        <f ca="1">IF(Table5[[#This Row],[Last sale Date]]="","Never Sold",TODAY()-Table5[[#This Row],[Last sale Date]])</f>
        <v>250</v>
      </c>
      <c r="Q534" s="6" t="str">
        <f>IF(Table5[[#This Row],[Re order Level]]&lt;=Table5[[#This Row],[Current stock]],"ORDERASAP","OK BUT BE CHECKING")</f>
        <v>OK BUT BE CHECKING</v>
      </c>
      <c r="R534" s="6" t="str">
        <f t="shared" si="33"/>
        <v>ACTIVE</v>
      </c>
      <c r="S534" s="8">
        <f>IF(Table5[[#This Row],[DEADSTOCK FLAG]]="DEAD",Table5[[#This Row],[Inventory Value]],0)</f>
        <v>0</v>
      </c>
    </row>
    <row r="535" spans="1:19" x14ac:dyDescent="0.25">
      <c r="A535" s="24" t="str">
        <f>'Inventory master'!A535</f>
        <v>ITEM534-A</v>
      </c>
      <c r="B535" s="6" t="str">
        <f>'Inventory master'!B535</f>
        <v>Fiber Optic Tester</v>
      </c>
      <c r="C535" s="6" t="str">
        <f>'Inventory master'!C535</f>
        <v>Tools</v>
      </c>
      <c r="D535" s="6" t="str">
        <f>'Inventory master'!D535</f>
        <v>AFL</v>
      </c>
      <c r="E535" s="10" t="str">
        <f>'Inventory master'!E535</f>
        <v>901.17</v>
      </c>
      <c r="F535" s="10" t="str">
        <f>'Inventory master'!F535</f>
        <v>1220.59</v>
      </c>
      <c r="G535" s="10" t="str">
        <f>'Inventory master'!G535</f>
        <v>49</v>
      </c>
      <c r="H535" s="8">
        <f>IFERROR(_xlfn.XLOOKUP(A535, 'Opening stock'!A535:A1134, 'Opening stock'!E535:E1134), "")</f>
        <v>735</v>
      </c>
      <c r="I535" s="8">
        <f>IFERROR(SUMIF(Table3[Item ID],'Inventory calculations'!A535,Table3[Quantity]),0)</f>
        <v>12</v>
      </c>
      <c r="J535" s="8">
        <f>IFERROR(SUMIF(Table4[Item ID],'Inventory calculations'!A535,Table4[Quantity Purchased]),0)</f>
        <v>8</v>
      </c>
      <c r="K535" s="10">
        <f t="shared" si="34"/>
        <v>731</v>
      </c>
      <c r="L535" s="6" t="str">
        <f t="shared" si="35"/>
        <v>OK</v>
      </c>
      <c r="M535" s="13">
        <f t="shared" si="32"/>
        <v>658755.27</v>
      </c>
      <c r="N535" s="8">
        <f>Table5[[#This Row],[Total Qty Sold]]*Table5[[#This Row],[Unit Price]]</f>
        <v>14647.079999999998</v>
      </c>
      <c r="O535" s="9">
        <f>IFERROR(_xlfn.MAXIFS(Table3[Date],Table3[Item ID],Table5[[#This Row],[Item ID]]),"")</f>
        <v>45849</v>
      </c>
      <c r="P535" s="40">
        <f ca="1">IF(Table5[[#This Row],[Last sale Date]]="","Never Sold",TODAY()-Table5[[#This Row],[Last sale Date]])</f>
        <v>203</v>
      </c>
      <c r="Q535" s="6" t="str">
        <f>IF(Table5[[#This Row],[Re order Level]]&lt;=Table5[[#This Row],[Current stock]],"ORDERASAP","OK BUT BE CHECKING")</f>
        <v>OK BUT BE CHECKING</v>
      </c>
      <c r="R535" s="6" t="str">
        <f t="shared" si="33"/>
        <v>ACTIVE</v>
      </c>
      <c r="S535" s="8">
        <f>IF(Table5[[#This Row],[DEADSTOCK FLAG]]="DEAD",Table5[[#This Row],[Inventory Value]],0)</f>
        <v>0</v>
      </c>
    </row>
    <row r="536" spans="1:19" x14ac:dyDescent="0.25">
      <c r="A536" s="24" t="str">
        <f>'Inventory master'!A536</f>
        <v>ITEM535-A</v>
      </c>
      <c r="B536" s="6" t="str">
        <f>'Inventory master'!B536</f>
        <v>96-Port Fiber Patch Panel</v>
      </c>
      <c r="C536" s="6" t="str">
        <f>'Inventory master'!C536</f>
        <v>Patch Panels</v>
      </c>
      <c r="D536" s="6" t="str">
        <f>'Inventory master'!D536</f>
        <v>Prysmian Group</v>
      </c>
      <c r="E536" s="10" t="str">
        <f>'Inventory master'!E536</f>
        <v>403.85</v>
      </c>
      <c r="F536" s="10" t="str">
        <f>'Inventory master'!F536</f>
        <v>506.72</v>
      </c>
      <c r="G536" s="10" t="str">
        <f>'Inventory master'!G536</f>
        <v>98</v>
      </c>
      <c r="H536" s="8">
        <f>IFERROR(_xlfn.XLOOKUP(A536, 'Opening stock'!A536:A1135, 'Opening stock'!E536:E1135), "")</f>
        <v>1470</v>
      </c>
      <c r="I536" s="8">
        <f>IFERROR(SUMIF(Table3[Item ID],'Inventory calculations'!A536,Table3[Quantity]),0)</f>
        <v>0</v>
      </c>
      <c r="J536" s="8">
        <f>IFERROR(SUMIF(Table4[Item ID],'Inventory calculations'!A536,Table4[Quantity Purchased]),0)</f>
        <v>0</v>
      </c>
      <c r="K536" s="10">
        <f t="shared" si="34"/>
        <v>1470</v>
      </c>
      <c r="L536" s="6" t="str">
        <f t="shared" si="35"/>
        <v>OK</v>
      </c>
      <c r="M536" s="13">
        <f t="shared" si="32"/>
        <v>593659.5</v>
      </c>
      <c r="N536" s="8">
        <f>Table5[[#This Row],[Total Qty Sold]]*Table5[[#This Row],[Unit Price]]</f>
        <v>0</v>
      </c>
      <c r="O536" s="9"/>
      <c r="P536" s="40" t="str">
        <f ca="1">IF(Table5[[#This Row],[Last sale Date]]="","Never Sold",TODAY()-Table5[[#This Row],[Last sale Date]])</f>
        <v>Never Sold</v>
      </c>
      <c r="Q536" s="6" t="str">
        <f>IF(Table5[[#This Row],[Re order Level]]&lt;=Table5[[#This Row],[Current stock]],"ORDERASAP","OK BUT BE CHECKING")</f>
        <v>OK BUT BE CHECKING</v>
      </c>
      <c r="R536" s="6" t="str">
        <f t="shared" si="33"/>
        <v>ACTIVE</v>
      </c>
      <c r="S536" s="8">
        <f>IF(Table5[[#This Row],[DEADSTOCK FLAG]]="DEAD",Table5[[#This Row],[Inventory Value]],0)</f>
        <v>0</v>
      </c>
    </row>
    <row r="537" spans="1:19" x14ac:dyDescent="0.25">
      <c r="A537" s="24" t="str">
        <f>'Inventory master'!A537</f>
        <v>ITEM536-A</v>
      </c>
      <c r="B537" s="6" t="str">
        <f>'Inventory master'!B537</f>
        <v>Fiber Pigtail</v>
      </c>
      <c r="C537" s="6" t="str">
        <f>'Inventory master'!C537</f>
        <v>Accessories</v>
      </c>
      <c r="D537" s="6" t="str">
        <f>'Inventory master'!D537</f>
        <v>CommScope</v>
      </c>
      <c r="E537" s="10" t="str">
        <f>'Inventory master'!E537</f>
        <v>462.12</v>
      </c>
      <c r="F537" s="10" t="str">
        <f>'Inventory master'!F537</f>
        <v>559.71</v>
      </c>
      <c r="G537" s="10" t="str">
        <f>'Inventory master'!G537</f>
        <v>84</v>
      </c>
      <c r="H537" s="8">
        <f>IFERROR(_xlfn.XLOOKUP(A537, 'Opening stock'!A537:A1136, 'Opening stock'!E537:E1136), "")</f>
        <v>1260</v>
      </c>
      <c r="I537" s="8">
        <f>IFERROR(SUMIF(Table3[Item ID],'Inventory calculations'!A537,Table3[Quantity]),0)</f>
        <v>0</v>
      </c>
      <c r="J537" s="8">
        <f>IFERROR(SUMIF(Table4[Item ID],'Inventory calculations'!A537,Table4[Quantity Purchased]),0)</f>
        <v>0</v>
      </c>
      <c r="K537" s="10">
        <f t="shared" si="34"/>
        <v>1260</v>
      </c>
      <c r="L537" s="6" t="str">
        <f t="shared" si="35"/>
        <v>OK</v>
      </c>
      <c r="M537" s="13">
        <f t="shared" si="32"/>
        <v>582271.19999999995</v>
      </c>
      <c r="N537" s="8">
        <f>Table5[[#This Row],[Total Qty Sold]]*Table5[[#This Row],[Unit Price]]</f>
        <v>0</v>
      </c>
      <c r="O537" s="9"/>
      <c r="P537" s="40" t="str">
        <f ca="1">IF(Table5[[#This Row],[Last sale Date]]="","Never Sold",TODAY()-Table5[[#This Row],[Last sale Date]])</f>
        <v>Never Sold</v>
      </c>
      <c r="Q537" s="6" t="str">
        <f>IF(Table5[[#This Row],[Re order Level]]&lt;=Table5[[#This Row],[Current stock]],"ORDERASAP","OK BUT BE CHECKING")</f>
        <v>OK BUT BE CHECKING</v>
      </c>
      <c r="R537" s="6" t="str">
        <f t="shared" si="33"/>
        <v>ACTIVE</v>
      </c>
      <c r="S537" s="8">
        <f>IF(Table5[[#This Row],[DEADSTOCK FLAG]]="DEAD",Table5[[#This Row],[Inventory Value]],0)</f>
        <v>0</v>
      </c>
    </row>
    <row r="538" spans="1:19" x14ac:dyDescent="0.25">
      <c r="A538" s="24" t="str">
        <f>'Inventory master'!A538</f>
        <v>ITEM537-A</v>
      </c>
      <c r="B538" s="6" t="str">
        <f>'Inventory master'!B538</f>
        <v>Wall-Mount Enclosure</v>
      </c>
      <c r="C538" s="6" t="str">
        <f>'Inventory master'!C538</f>
        <v>Enclosures</v>
      </c>
      <c r="D538" s="6" t="str">
        <f>'Inventory master'!D538</f>
        <v>AFL</v>
      </c>
      <c r="E538" s="10" t="str">
        <f>'Inventory master'!E538</f>
        <v>115.01</v>
      </c>
      <c r="F538" s="10" t="str">
        <f>'Inventory master'!F538</f>
        <v>151.05</v>
      </c>
      <c r="G538" s="10" t="str">
        <f>'Inventory master'!G538</f>
        <v>91</v>
      </c>
      <c r="H538" s="8">
        <f>IFERROR(_xlfn.XLOOKUP(A538, 'Opening stock'!A538:A1137, 'Opening stock'!E538:E1137), "")</f>
        <v>1365</v>
      </c>
      <c r="I538" s="8">
        <f>IFERROR(SUMIF(Table3[Item ID],'Inventory calculations'!A538,Table3[Quantity]),0)</f>
        <v>0</v>
      </c>
      <c r="J538" s="8">
        <f>IFERROR(SUMIF(Table4[Item ID],'Inventory calculations'!A538,Table4[Quantity Purchased]),0)</f>
        <v>26</v>
      </c>
      <c r="K538" s="10">
        <f t="shared" si="34"/>
        <v>1391</v>
      </c>
      <c r="L538" s="6" t="str">
        <f t="shared" si="35"/>
        <v>OK</v>
      </c>
      <c r="M538" s="13">
        <f t="shared" si="32"/>
        <v>159978.91</v>
      </c>
      <c r="N538" s="8">
        <f>Table5[[#This Row],[Total Qty Sold]]*Table5[[#This Row],[Unit Price]]</f>
        <v>0</v>
      </c>
      <c r="O538" s="9"/>
      <c r="P538" s="40" t="str">
        <f ca="1">IF(Table5[[#This Row],[Last sale Date]]="","Never Sold",TODAY()-Table5[[#This Row],[Last sale Date]])</f>
        <v>Never Sold</v>
      </c>
      <c r="Q538" s="6" t="str">
        <f>IF(Table5[[#This Row],[Re order Level]]&lt;=Table5[[#This Row],[Current stock]],"ORDERASAP","OK BUT BE CHECKING")</f>
        <v>OK BUT BE CHECKING</v>
      </c>
      <c r="R538" s="6" t="str">
        <f t="shared" si="33"/>
        <v>ACTIVE</v>
      </c>
      <c r="S538" s="8">
        <f>IF(Table5[[#This Row],[DEADSTOCK FLAG]]="DEAD",Table5[[#This Row],[Inventory Value]],0)</f>
        <v>0</v>
      </c>
    </row>
    <row r="539" spans="1:19" x14ac:dyDescent="0.25">
      <c r="A539" s="24" t="str">
        <f>'Inventory master'!A539</f>
        <v>ITEM538-A</v>
      </c>
      <c r="B539" s="6" t="str">
        <f>'Inventory master'!B539</f>
        <v>QSFP28 Transceiver</v>
      </c>
      <c r="C539" s="6" t="str">
        <f>'Inventory master'!C539</f>
        <v>Transceivers</v>
      </c>
      <c r="D539" s="6" t="str">
        <f>'Inventory master'!D539</f>
        <v>Amphenol</v>
      </c>
      <c r="E539" s="10" t="str">
        <f>'Inventory master'!E539</f>
        <v>1628.24</v>
      </c>
      <c r="F539" s="10" t="str">
        <f>'Inventory master'!F539</f>
        <v>2937.17</v>
      </c>
      <c r="G539" s="10" t="str">
        <f>'Inventory master'!G539</f>
        <v>81</v>
      </c>
      <c r="H539" s="8">
        <f>IFERROR(_xlfn.XLOOKUP(A539, 'Opening stock'!A539:A1138, 'Opening stock'!E539:E1138), "")</f>
        <v>1215</v>
      </c>
      <c r="I539" s="8">
        <f>IFERROR(SUMIF(Table3[Item ID],'Inventory calculations'!A539,Table3[Quantity]),0)</f>
        <v>0</v>
      </c>
      <c r="J539" s="8">
        <f>IFERROR(SUMIF(Table4[Item ID],'Inventory calculations'!A539,Table4[Quantity Purchased]),0)</f>
        <v>7</v>
      </c>
      <c r="K539" s="10">
        <f t="shared" si="34"/>
        <v>1222</v>
      </c>
      <c r="L539" s="6" t="str">
        <f t="shared" si="35"/>
        <v>OK</v>
      </c>
      <c r="M539" s="13">
        <f t="shared" si="32"/>
        <v>1989709.28</v>
      </c>
      <c r="N539" s="8">
        <f>Table5[[#This Row],[Total Qty Sold]]*Table5[[#This Row],[Unit Price]]</f>
        <v>0</v>
      </c>
      <c r="O539" s="9"/>
      <c r="P539" s="40" t="str">
        <f ca="1">IF(Table5[[#This Row],[Last sale Date]]="","Never Sold",TODAY()-Table5[[#This Row],[Last sale Date]])</f>
        <v>Never Sold</v>
      </c>
      <c r="Q539" s="6" t="str">
        <f>IF(Table5[[#This Row],[Re order Level]]&lt;=Table5[[#This Row],[Current stock]],"ORDERASAP","OK BUT BE CHECKING")</f>
        <v>OK BUT BE CHECKING</v>
      </c>
      <c r="R539" s="6" t="str">
        <f t="shared" si="33"/>
        <v>ACTIVE</v>
      </c>
      <c r="S539" s="8">
        <f>IF(Table5[[#This Row],[DEADSTOCK FLAG]]="DEAD",Table5[[#This Row],[Inventory Value]],0)</f>
        <v>0</v>
      </c>
    </row>
    <row r="540" spans="1:19" x14ac:dyDescent="0.25">
      <c r="A540" s="24" t="str">
        <f>'Inventory master'!A540</f>
        <v>ITEM539-A</v>
      </c>
      <c r="B540" s="6" t="str">
        <f>'Inventory master'!B540</f>
        <v>Mechanical Splicer</v>
      </c>
      <c r="C540" s="6" t="str">
        <f>'Inventory master'!C540</f>
        <v>Splicers</v>
      </c>
      <c r="D540" s="6" t="str">
        <f>'Inventory master'!D540</f>
        <v>Corning Inc.</v>
      </c>
      <c r="E540" s="10" t="str">
        <f>'Inventory master'!E540</f>
        <v>1933.01</v>
      </c>
      <c r="F540" s="10" t="str">
        <f>'Inventory master'!F540</f>
        <v>2137.52</v>
      </c>
      <c r="G540" s="10" t="str">
        <f>'Inventory master'!G540</f>
        <v>47</v>
      </c>
      <c r="H540" s="8">
        <f>IFERROR(_xlfn.XLOOKUP(A540, 'Opening stock'!A540:A1139, 'Opening stock'!E540:E1139), "")</f>
        <v>705</v>
      </c>
      <c r="I540" s="8">
        <f>IFERROR(SUMIF(Table3[Item ID],'Inventory calculations'!A540,Table3[Quantity]),0)</f>
        <v>0</v>
      </c>
      <c r="J540" s="8">
        <f>IFERROR(SUMIF(Table4[Item ID],'Inventory calculations'!A540,Table4[Quantity Purchased]),0)</f>
        <v>6</v>
      </c>
      <c r="K540" s="10">
        <f t="shared" si="34"/>
        <v>711</v>
      </c>
      <c r="L540" s="6" t="str">
        <f t="shared" si="35"/>
        <v>OK</v>
      </c>
      <c r="M540" s="13">
        <f t="shared" si="32"/>
        <v>1374370.11</v>
      </c>
      <c r="N540" s="8">
        <f>Table5[[#This Row],[Total Qty Sold]]*Table5[[#This Row],[Unit Price]]</f>
        <v>0</v>
      </c>
      <c r="O540" s="9"/>
      <c r="P540" s="40" t="str">
        <f ca="1">IF(Table5[[#This Row],[Last sale Date]]="","Never Sold",TODAY()-Table5[[#This Row],[Last sale Date]])</f>
        <v>Never Sold</v>
      </c>
      <c r="Q540" s="6" t="str">
        <f>IF(Table5[[#This Row],[Re order Level]]&lt;=Table5[[#This Row],[Current stock]],"ORDERASAP","OK BUT BE CHECKING")</f>
        <v>OK BUT BE CHECKING</v>
      </c>
      <c r="R540" s="6" t="str">
        <f t="shared" si="33"/>
        <v>ACTIVE</v>
      </c>
      <c r="S540" s="8">
        <f>IF(Table5[[#This Row],[DEADSTOCK FLAG]]="DEAD",Table5[[#This Row],[Inventory Value]],0)</f>
        <v>0</v>
      </c>
    </row>
    <row r="541" spans="1:19" x14ac:dyDescent="0.25">
      <c r="A541" s="24" t="str">
        <f>'Inventory master'!A541</f>
        <v>ITEM540-A</v>
      </c>
      <c r="B541" s="6" t="str">
        <f>'Inventory master'!B541</f>
        <v>MPO APC Connector</v>
      </c>
      <c r="C541" s="6" t="str">
        <f>'Inventory master'!C541</f>
        <v>Connectors</v>
      </c>
      <c r="D541" s="6" t="str">
        <f>'Inventory master'!D541</f>
        <v>Corning Inc.</v>
      </c>
      <c r="E541" s="10" t="str">
        <f>'Inventory master'!E541</f>
        <v>695.37</v>
      </c>
      <c r="F541" s="10" t="str">
        <f>'Inventory master'!F541</f>
        <v>1088.58</v>
      </c>
      <c r="G541" s="10" t="str">
        <f>'Inventory master'!G541</f>
        <v>84</v>
      </c>
      <c r="H541" s="8">
        <f>IFERROR(_xlfn.XLOOKUP(A541, 'Opening stock'!A541:A1140, 'Opening stock'!E541:E1140), "")</f>
        <v>1260</v>
      </c>
      <c r="I541" s="8">
        <f>IFERROR(SUMIF(Table3[Item ID],'Inventory calculations'!A541,Table3[Quantity]),0)</f>
        <v>0</v>
      </c>
      <c r="J541" s="8">
        <f>IFERROR(SUMIF(Table4[Item ID],'Inventory calculations'!A541,Table4[Quantity Purchased]),0)</f>
        <v>2</v>
      </c>
      <c r="K541" s="10">
        <f t="shared" si="34"/>
        <v>1262</v>
      </c>
      <c r="L541" s="6" t="str">
        <f t="shared" si="35"/>
        <v>OK</v>
      </c>
      <c r="M541" s="13">
        <f t="shared" si="32"/>
        <v>877556.94000000006</v>
      </c>
      <c r="N541" s="8">
        <f>Table5[[#This Row],[Total Qty Sold]]*Table5[[#This Row],[Unit Price]]</f>
        <v>0</v>
      </c>
      <c r="O541" s="9"/>
      <c r="P541" s="40" t="str">
        <f ca="1">IF(Table5[[#This Row],[Last sale Date]]="","Never Sold",TODAY()-Table5[[#This Row],[Last sale Date]])</f>
        <v>Never Sold</v>
      </c>
      <c r="Q541" s="6" t="str">
        <f>IF(Table5[[#This Row],[Re order Level]]&lt;=Table5[[#This Row],[Current stock]],"ORDERASAP","OK BUT BE CHECKING")</f>
        <v>OK BUT BE CHECKING</v>
      </c>
      <c r="R541" s="6" t="str">
        <f t="shared" si="33"/>
        <v>ACTIVE</v>
      </c>
      <c r="S541" s="8">
        <f>IF(Table5[[#This Row],[DEADSTOCK FLAG]]="DEAD",Table5[[#This Row],[Inventory Value]],0)</f>
        <v>0</v>
      </c>
    </row>
    <row r="542" spans="1:19" x14ac:dyDescent="0.25">
      <c r="A542" s="24" t="str">
        <f>'Inventory master'!A542</f>
        <v>ITEM541-A</v>
      </c>
      <c r="B542" s="6" t="str">
        <f>'Inventory master'!B542</f>
        <v>1x16 PLC Splitter</v>
      </c>
      <c r="C542" s="6" t="str">
        <f>'Inventory master'!C542</f>
        <v>Splitters</v>
      </c>
      <c r="D542" s="6" t="str">
        <f>'Inventory master'!D542</f>
        <v>Siemon</v>
      </c>
      <c r="E542" s="10" t="str">
        <f>'Inventory master'!E542</f>
        <v>715.44</v>
      </c>
      <c r="F542" s="10" t="str">
        <f>'Inventory master'!F542</f>
        <v>898.58</v>
      </c>
      <c r="G542" s="10" t="str">
        <f>'Inventory master'!G542</f>
        <v>93</v>
      </c>
      <c r="H542" s="8">
        <f>IFERROR(_xlfn.XLOOKUP(A542, 'Opening stock'!A542:A1141, 'Opening stock'!E542:E1141), "")</f>
        <v>1395</v>
      </c>
      <c r="I542" s="8">
        <f>IFERROR(SUMIF(Table3[Item ID],'Inventory calculations'!A542,Table3[Quantity]),0)</f>
        <v>0</v>
      </c>
      <c r="J542" s="8">
        <f>IFERROR(SUMIF(Table4[Item ID],'Inventory calculations'!A542,Table4[Quantity Purchased]),0)</f>
        <v>4</v>
      </c>
      <c r="K542" s="10">
        <f t="shared" si="34"/>
        <v>1399</v>
      </c>
      <c r="L542" s="6" t="str">
        <f t="shared" si="35"/>
        <v>OK</v>
      </c>
      <c r="M542" s="13">
        <f t="shared" si="32"/>
        <v>1000900.56</v>
      </c>
      <c r="N542" s="8">
        <f>Table5[[#This Row],[Total Qty Sold]]*Table5[[#This Row],[Unit Price]]</f>
        <v>0</v>
      </c>
      <c r="O542" s="9"/>
      <c r="P542" s="40" t="str">
        <f ca="1">IF(Table5[[#This Row],[Last sale Date]]="","Never Sold",TODAY()-Table5[[#This Row],[Last sale Date]])</f>
        <v>Never Sold</v>
      </c>
      <c r="Q542" s="6" t="str">
        <f>IF(Table5[[#This Row],[Re order Level]]&lt;=Table5[[#This Row],[Current stock]],"ORDERASAP","OK BUT BE CHECKING")</f>
        <v>OK BUT BE CHECKING</v>
      </c>
      <c r="R542" s="6" t="str">
        <f t="shared" si="33"/>
        <v>ACTIVE</v>
      </c>
      <c r="S542" s="8">
        <f>IF(Table5[[#This Row],[DEADSTOCK FLAG]]="DEAD",Table5[[#This Row],[Inventory Value]],0)</f>
        <v>0</v>
      </c>
    </row>
    <row r="543" spans="1:19" x14ac:dyDescent="0.25">
      <c r="A543" s="24" t="str">
        <f>'Inventory master'!A543</f>
        <v>ITEM542-A</v>
      </c>
      <c r="B543" s="6" t="str">
        <f>'Inventory master'!B543</f>
        <v>LC UPC Connector</v>
      </c>
      <c r="C543" s="6" t="str">
        <f>'Inventory master'!C543</f>
        <v>Connectors</v>
      </c>
      <c r="D543" s="6" t="str">
        <f>'Inventory master'!D543</f>
        <v>TE Connectivity</v>
      </c>
      <c r="E543" s="10" t="str">
        <f>'Inventory master'!E543</f>
        <v>8.04</v>
      </c>
      <c r="F543" s="10" t="str">
        <f>'Inventory master'!F543</f>
        <v>11.29</v>
      </c>
      <c r="G543" s="10" t="str">
        <f>'Inventory master'!G543</f>
        <v>25</v>
      </c>
      <c r="H543" s="8">
        <f>IFERROR(_xlfn.XLOOKUP(A543, 'Opening stock'!A543:A1142, 'Opening stock'!E543:E1142), "")</f>
        <v>375</v>
      </c>
      <c r="I543" s="8">
        <f>IFERROR(SUMIF(Table3[Item ID],'Inventory calculations'!A543,Table3[Quantity]),0)</f>
        <v>0</v>
      </c>
      <c r="J543" s="8">
        <f>IFERROR(SUMIF(Table4[Item ID],'Inventory calculations'!A543,Table4[Quantity Purchased]),0)</f>
        <v>1</v>
      </c>
      <c r="K543" s="10">
        <f t="shared" si="34"/>
        <v>376</v>
      </c>
      <c r="L543" s="6" t="str">
        <f t="shared" si="35"/>
        <v>OK</v>
      </c>
      <c r="M543" s="13">
        <f t="shared" si="32"/>
        <v>3023.0399999999995</v>
      </c>
      <c r="N543" s="8">
        <f>Table5[[#This Row],[Total Qty Sold]]*Table5[[#This Row],[Unit Price]]</f>
        <v>0</v>
      </c>
      <c r="O543" s="9"/>
      <c r="P543" s="40" t="str">
        <f ca="1">IF(Table5[[#This Row],[Last sale Date]]="","Never Sold",TODAY()-Table5[[#This Row],[Last sale Date]])</f>
        <v>Never Sold</v>
      </c>
      <c r="Q543" s="6" t="str">
        <f>IF(Table5[[#This Row],[Re order Level]]&lt;=Table5[[#This Row],[Current stock]],"ORDERASAP","OK BUT BE CHECKING")</f>
        <v>OK BUT BE CHECKING</v>
      </c>
      <c r="R543" s="6" t="str">
        <f t="shared" si="33"/>
        <v>ACTIVE</v>
      </c>
      <c r="S543" s="8">
        <f>IF(Table5[[#This Row],[DEADSTOCK FLAG]]="DEAD",Table5[[#This Row],[Inventory Value]],0)</f>
        <v>0</v>
      </c>
    </row>
    <row r="544" spans="1:19" x14ac:dyDescent="0.25">
      <c r="A544" s="24" t="str">
        <f>'Inventory master'!A544</f>
        <v>ITEM543-A</v>
      </c>
      <c r="B544" s="6" t="str">
        <f>'Inventory master'!B544</f>
        <v>MPO UPC Connector</v>
      </c>
      <c r="C544" s="6" t="str">
        <f>'Inventory master'!C544</f>
        <v>Connectors</v>
      </c>
      <c r="D544" s="6" t="str">
        <f>'Inventory master'!D544</f>
        <v>Leviton</v>
      </c>
      <c r="E544" s="10" t="str">
        <f>'Inventory master'!E544</f>
        <v>265.15</v>
      </c>
      <c r="F544" s="10" t="str">
        <f>'Inventory master'!F544</f>
        <v>305.0</v>
      </c>
      <c r="G544" s="10" t="str">
        <f>'Inventory master'!G544</f>
        <v>36</v>
      </c>
      <c r="H544" s="8">
        <f>IFERROR(_xlfn.XLOOKUP(A544, 'Opening stock'!A544:A1143, 'Opening stock'!E544:E1143), "")</f>
        <v>540</v>
      </c>
      <c r="I544" s="8">
        <f>IFERROR(SUMIF(Table3[Item ID],'Inventory calculations'!A544,Table3[Quantity]),0)</f>
        <v>2</v>
      </c>
      <c r="J544" s="8">
        <f>IFERROR(SUMIF(Table4[Item ID],'Inventory calculations'!A544,Table4[Quantity Purchased]),0)</f>
        <v>0</v>
      </c>
      <c r="K544" s="10">
        <f t="shared" si="34"/>
        <v>538</v>
      </c>
      <c r="L544" s="6" t="str">
        <f t="shared" si="35"/>
        <v>OK</v>
      </c>
      <c r="M544" s="13">
        <f t="shared" si="32"/>
        <v>142650.69999999998</v>
      </c>
      <c r="N544" s="8">
        <f>Table5[[#This Row],[Total Qty Sold]]*Table5[[#This Row],[Unit Price]]</f>
        <v>610</v>
      </c>
      <c r="O544" s="9">
        <f>IFERROR(_xlfn.MAXIFS(Table3[Date],Table3[Item ID],Table5[[#This Row],[Item ID]]),"")</f>
        <v>45690</v>
      </c>
      <c r="P544" s="40">
        <f ca="1">IF(Table5[[#This Row],[Last sale Date]]="","Never Sold",TODAY()-Table5[[#This Row],[Last sale Date]])</f>
        <v>362</v>
      </c>
      <c r="Q544" s="6" t="str">
        <f>IF(Table5[[#This Row],[Re order Level]]&lt;=Table5[[#This Row],[Current stock]],"ORDERASAP","OK BUT BE CHECKING")</f>
        <v>OK BUT BE CHECKING</v>
      </c>
      <c r="R544" s="6" t="str">
        <f t="shared" si="33"/>
        <v>ACTIVE</v>
      </c>
      <c r="S544" s="8">
        <f>IF(Table5[[#This Row],[DEADSTOCK FLAG]]="DEAD",Table5[[#This Row],[Inventory Value]],0)</f>
        <v>0</v>
      </c>
    </row>
    <row r="545" spans="1:19" x14ac:dyDescent="0.25">
      <c r="A545" s="24" t="str">
        <f>'Inventory master'!A545</f>
        <v>ITEM544-A</v>
      </c>
      <c r="B545" s="6" t="str">
        <f>'Inventory master'!B545</f>
        <v>1x32 PLC Splitter</v>
      </c>
      <c r="C545" s="6" t="str">
        <f>'Inventory master'!C545</f>
        <v>Splitters</v>
      </c>
      <c r="D545" s="6" t="str">
        <f>'Inventory master'!D545</f>
        <v>Leviton</v>
      </c>
      <c r="E545" s="10" t="str">
        <f>'Inventory master'!E545</f>
        <v>416.18</v>
      </c>
      <c r="F545" s="10" t="str">
        <f>'Inventory master'!F545</f>
        <v>656.9</v>
      </c>
      <c r="G545" s="10" t="str">
        <f>'Inventory master'!G545</f>
        <v>88</v>
      </c>
      <c r="H545" s="8">
        <f>IFERROR(_xlfn.XLOOKUP(A545, 'Opening stock'!A545:A1144, 'Opening stock'!E545:E1144), "")</f>
        <v>1320</v>
      </c>
      <c r="I545" s="8">
        <f>IFERROR(SUMIF(Table3[Item ID],'Inventory calculations'!A545,Table3[Quantity]),0)</f>
        <v>0</v>
      </c>
      <c r="J545" s="8">
        <f>IFERROR(SUMIF(Table4[Item ID],'Inventory calculations'!A545,Table4[Quantity Purchased]),0)</f>
        <v>58</v>
      </c>
      <c r="K545" s="10">
        <f t="shared" si="34"/>
        <v>1378</v>
      </c>
      <c r="L545" s="6" t="str">
        <f t="shared" si="35"/>
        <v>OK</v>
      </c>
      <c r="M545" s="13">
        <f t="shared" si="32"/>
        <v>573496.04</v>
      </c>
      <c r="N545" s="8">
        <f>Table5[[#This Row],[Total Qty Sold]]*Table5[[#This Row],[Unit Price]]</f>
        <v>0</v>
      </c>
      <c r="O545" s="9"/>
      <c r="P545" s="40" t="str">
        <f ca="1">IF(Table5[[#This Row],[Last sale Date]]="","Never Sold",TODAY()-Table5[[#This Row],[Last sale Date]])</f>
        <v>Never Sold</v>
      </c>
      <c r="Q545" s="6" t="str">
        <f>IF(Table5[[#This Row],[Re order Level]]&lt;=Table5[[#This Row],[Current stock]],"ORDERASAP","OK BUT BE CHECKING")</f>
        <v>OK BUT BE CHECKING</v>
      </c>
      <c r="R545" s="6" t="str">
        <f t="shared" si="33"/>
        <v>ACTIVE</v>
      </c>
      <c r="S545" s="8">
        <f>IF(Table5[[#This Row],[DEADSTOCK FLAG]]="DEAD",Table5[[#This Row],[Inventory Value]],0)</f>
        <v>0</v>
      </c>
    </row>
    <row r="546" spans="1:19" x14ac:dyDescent="0.25">
      <c r="A546" s="24" t="str">
        <f>'Inventory master'!A546</f>
        <v>ITEM545-A</v>
      </c>
      <c r="B546" s="6" t="str">
        <f>'Inventory master'!B546</f>
        <v>CFP Transceiver</v>
      </c>
      <c r="C546" s="6" t="str">
        <f>'Inventory master'!C546</f>
        <v>Transceivers</v>
      </c>
      <c r="D546" s="6" t="str">
        <f>'Inventory master'!D546</f>
        <v>Huber+Suhner</v>
      </c>
      <c r="E546" s="10" t="str">
        <f>'Inventory master'!E546</f>
        <v>1338.6</v>
      </c>
      <c r="F546" s="10" t="str">
        <f>'Inventory master'!F546</f>
        <v>2015.33</v>
      </c>
      <c r="G546" s="10" t="str">
        <f>'Inventory master'!G546</f>
        <v>18</v>
      </c>
      <c r="H546" s="8">
        <f>IFERROR(_xlfn.XLOOKUP(A546, 'Opening stock'!A546:A1145, 'Opening stock'!E546:E1145), "")</f>
        <v>270</v>
      </c>
      <c r="I546" s="8">
        <f>IFERROR(SUMIF(Table3[Item ID],'Inventory calculations'!A546,Table3[Quantity]),0)</f>
        <v>0</v>
      </c>
      <c r="J546" s="8">
        <f>IFERROR(SUMIF(Table4[Item ID],'Inventory calculations'!A546,Table4[Quantity Purchased]),0)</f>
        <v>0</v>
      </c>
      <c r="K546" s="10">
        <f t="shared" si="34"/>
        <v>270</v>
      </c>
      <c r="L546" s="6" t="str">
        <f t="shared" si="35"/>
        <v>OK</v>
      </c>
      <c r="M546" s="13">
        <f t="shared" si="32"/>
        <v>361422</v>
      </c>
      <c r="N546" s="8">
        <f>Table5[[#This Row],[Total Qty Sold]]*Table5[[#This Row],[Unit Price]]</f>
        <v>0</v>
      </c>
      <c r="O546" s="9"/>
      <c r="P546" s="40" t="str">
        <f ca="1">IF(Table5[[#This Row],[Last sale Date]]="","Never Sold",TODAY()-Table5[[#This Row],[Last sale Date]])</f>
        <v>Never Sold</v>
      </c>
      <c r="Q546" s="6" t="str">
        <f>IF(Table5[[#This Row],[Re order Level]]&lt;=Table5[[#This Row],[Current stock]],"ORDERASAP","OK BUT BE CHECKING")</f>
        <v>OK BUT BE CHECKING</v>
      </c>
      <c r="R546" s="6" t="str">
        <f t="shared" si="33"/>
        <v>ACTIVE</v>
      </c>
      <c r="S546" s="8">
        <f>IF(Table5[[#This Row],[DEADSTOCK FLAG]]="DEAD",Table5[[#This Row],[Inventory Value]],0)</f>
        <v>0</v>
      </c>
    </row>
    <row r="547" spans="1:19" x14ac:dyDescent="0.25">
      <c r="A547" s="24" t="str">
        <f>'Inventory master'!A547</f>
        <v>ITEM546-A</v>
      </c>
      <c r="B547" s="6" t="str">
        <f>'Inventory master'!B547</f>
        <v>1x4 PLC Splitter</v>
      </c>
      <c r="C547" s="6" t="str">
        <f>'Inventory master'!C547</f>
        <v>Splitters</v>
      </c>
      <c r="D547" s="6" t="str">
        <f>'Inventory master'!D547</f>
        <v>Panduit</v>
      </c>
      <c r="E547" s="10" t="str">
        <f>'Inventory master'!E547</f>
        <v>600.96</v>
      </c>
      <c r="F547" s="10" t="str">
        <f>'Inventory master'!F547</f>
        <v>1197.11</v>
      </c>
      <c r="G547" s="10" t="str">
        <f>'Inventory master'!G547</f>
        <v>91</v>
      </c>
      <c r="H547" s="8">
        <f>IFERROR(_xlfn.XLOOKUP(A547, 'Opening stock'!A547:A1146, 'Opening stock'!E547:E1146), "")</f>
        <v>1365</v>
      </c>
      <c r="I547" s="8">
        <f>IFERROR(SUMIF(Table3[Item ID],'Inventory calculations'!A547,Table3[Quantity]),0)</f>
        <v>0</v>
      </c>
      <c r="J547" s="8">
        <f>IFERROR(SUMIF(Table4[Item ID],'Inventory calculations'!A547,Table4[Quantity Purchased]),0)</f>
        <v>0</v>
      </c>
      <c r="K547" s="10">
        <f t="shared" si="34"/>
        <v>1365</v>
      </c>
      <c r="L547" s="6" t="str">
        <f t="shared" si="35"/>
        <v>OK</v>
      </c>
      <c r="M547" s="13">
        <f t="shared" si="32"/>
        <v>820310.4</v>
      </c>
      <c r="N547" s="8">
        <f>Table5[[#This Row],[Total Qty Sold]]*Table5[[#This Row],[Unit Price]]</f>
        <v>0</v>
      </c>
      <c r="O547" s="9"/>
      <c r="P547" s="40" t="str">
        <f ca="1">IF(Table5[[#This Row],[Last sale Date]]="","Never Sold",TODAY()-Table5[[#This Row],[Last sale Date]])</f>
        <v>Never Sold</v>
      </c>
      <c r="Q547" s="6" t="str">
        <f>IF(Table5[[#This Row],[Re order Level]]&lt;=Table5[[#This Row],[Current stock]],"ORDERASAP","OK BUT BE CHECKING")</f>
        <v>OK BUT BE CHECKING</v>
      </c>
      <c r="R547" s="6" t="str">
        <f t="shared" si="33"/>
        <v>ACTIVE</v>
      </c>
      <c r="S547" s="8">
        <f>IF(Table5[[#This Row],[DEADSTOCK FLAG]]="DEAD",Table5[[#This Row],[Inventory Value]],0)</f>
        <v>0</v>
      </c>
    </row>
    <row r="548" spans="1:19" x14ac:dyDescent="0.25">
      <c r="A548" s="24" t="str">
        <f>'Inventory master'!A548</f>
        <v>ITEM547-A</v>
      </c>
      <c r="B548" s="6" t="str">
        <f>'Inventory master'!B548</f>
        <v>QSFP Transceiver</v>
      </c>
      <c r="C548" s="6" t="str">
        <f>'Inventory master'!C548</f>
        <v>Transceivers</v>
      </c>
      <c r="D548" s="6" t="str">
        <f>'Inventory master'!D548</f>
        <v>Amphenol</v>
      </c>
      <c r="E548" s="10" t="str">
        <f>'Inventory master'!E548</f>
        <v>1052.16</v>
      </c>
      <c r="F548" s="10" t="str">
        <f>'Inventory master'!F548</f>
        <v>1496.43</v>
      </c>
      <c r="G548" s="10" t="str">
        <f>'Inventory master'!G548</f>
        <v>29</v>
      </c>
      <c r="H548" s="8">
        <f>IFERROR(_xlfn.XLOOKUP(A548, 'Opening stock'!A548:A1147, 'Opening stock'!E548:E1147), "")</f>
        <v>435</v>
      </c>
      <c r="I548" s="8">
        <f>IFERROR(SUMIF(Table3[Item ID],'Inventory calculations'!A548,Table3[Quantity]),0)</f>
        <v>0</v>
      </c>
      <c r="J548" s="8">
        <f>IFERROR(SUMIF(Table4[Item ID],'Inventory calculations'!A548,Table4[Quantity Purchased]),0)</f>
        <v>14</v>
      </c>
      <c r="K548" s="10">
        <f t="shared" si="34"/>
        <v>449</v>
      </c>
      <c r="L548" s="6" t="str">
        <f t="shared" si="35"/>
        <v>OK</v>
      </c>
      <c r="M548" s="13">
        <f t="shared" si="32"/>
        <v>472419.84000000003</v>
      </c>
      <c r="N548" s="8">
        <f>Table5[[#This Row],[Total Qty Sold]]*Table5[[#This Row],[Unit Price]]</f>
        <v>0</v>
      </c>
      <c r="O548" s="9"/>
      <c r="P548" s="40" t="str">
        <f ca="1">IF(Table5[[#This Row],[Last sale Date]]="","Never Sold",TODAY()-Table5[[#This Row],[Last sale Date]])</f>
        <v>Never Sold</v>
      </c>
      <c r="Q548" s="6" t="str">
        <f>IF(Table5[[#This Row],[Re order Level]]&lt;=Table5[[#This Row],[Current stock]],"ORDERASAP","OK BUT BE CHECKING")</f>
        <v>OK BUT BE CHECKING</v>
      </c>
      <c r="R548" s="6" t="str">
        <f t="shared" si="33"/>
        <v>ACTIVE</v>
      </c>
      <c r="S548" s="8">
        <f>IF(Table5[[#This Row],[DEADSTOCK FLAG]]="DEAD",Table5[[#This Row],[Inventory Value]],0)</f>
        <v>0</v>
      </c>
    </row>
    <row r="549" spans="1:19" x14ac:dyDescent="0.25">
      <c r="A549" s="24" t="str">
        <f>'Inventory master'!A549</f>
        <v>ITEM548-A</v>
      </c>
      <c r="B549" s="6" t="str">
        <f>'Inventory master'!B549</f>
        <v>96-Port Fiber Patch Panel</v>
      </c>
      <c r="C549" s="6" t="str">
        <f>'Inventory master'!C549</f>
        <v>Patch Panels</v>
      </c>
      <c r="D549" s="6" t="str">
        <f>'Inventory master'!D549</f>
        <v>Leviton</v>
      </c>
      <c r="E549" s="10" t="str">
        <f>'Inventory master'!E549</f>
        <v>1324.5</v>
      </c>
      <c r="F549" s="10" t="str">
        <f>'Inventory master'!F549</f>
        <v>2585.67</v>
      </c>
      <c r="G549" s="10" t="str">
        <f>'Inventory master'!G549</f>
        <v>95</v>
      </c>
      <c r="H549" s="8">
        <f>IFERROR(_xlfn.XLOOKUP(A549, 'Opening stock'!A549:A1148, 'Opening stock'!E549:E1148), "")</f>
        <v>1425</v>
      </c>
      <c r="I549" s="8">
        <f>IFERROR(SUMIF(Table3[Item ID],'Inventory calculations'!A549,Table3[Quantity]),0)</f>
        <v>0</v>
      </c>
      <c r="J549" s="8">
        <f>IFERROR(SUMIF(Table4[Item ID],'Inventory calculations'!A549,Table4[Quantity Purchased]),0)</f>
        <v>0</v>
      </c>
      <c r="K549" s="10">
        <f t="shared" si="34"/>
        <v>1425</v>
      </c>
      <c r="L549" s="6" t="str">
        <f t="shared" si="35"/>
        <v>OK</v>
      </c>
      <c r="M549" s="13">
        <f t="shared" si="32"/>
        <v>1887412.5</v>
      </c>
      <c r="N549" s="8">
        <f>Table5[[#This Row],[Total Qty Sold]]*Table5[[#This Row],[Unit Price]]</f>
        <v>0</v>
      </c>
      <c r="O549" s="9"/>
      <c r="P549" s="40" t="str">
        <f ca="1">IF(Table5[[#This Row],[Last sale Date]]="","Never Sold",TODAY()-Table5[[#This Row],[Last sale Date]])</f>
        <v>Never Sold</v>
      </c>
      <c r="Q549" s="6" t="str">
        <f>IF(Table5[[#This Row],[Re order Level]]&lt;=Table5[[#This Row],[Current stock]],"ORDERASAP","OK BUT BE CHECKING")</f>
        <v>OK BUT BE CHECKING</v>
      </c>
      <c r="R549" s="6" t="str">
        <f t="shared" si="33"/>
        <v>ACTIVE</v>
      </c>
      <c r="S549" s="8">
        <f>IF(Table5[[#This Row],[DEADSTOCK FLAG]]="DEAD",Table5[[#This Row],[Inventory Value]],0)</f>
        <v>0</v>
      </c>
    </row>
    <row r="550" spans="1:19" x14ac:dyDescent="0.25">
      <c r="A550" s="24" t="str">
        <f>'Inventory master'!A550</f>
        <v>ITEM549-A</v>
      </c>
      <c r="B550" s="6" t="str">
        <f>'Inventory master'!B550</f>
        <v>Fusion Splicer</v>
      </c>
      <c r="C550" s="6" t="str">
        <f>'Inventory master'!C550</f>
        <v>Splicers</v>
      </c>
      <c r="D550" s="6" t="str">
        <f>'Inventory master'!D550</f>
        <v>Corning Inc.</v>
      </c>
      <c r="E550" s="10" t="str">
        <f>'Inventory master'!E550</f>
        <v>1632.78</v>
      </c>
      <c r="F550" s="10" t="str">
        <f>'Inventory master'!F550</f>
        <v>2746.94</v>
      </c>
      <c r="G550" s="10" t="str">
        <f>'Inventory master'!G550</f>
        <v>10</v>
      </c>
      <c r="H550" s="8">
        <f>IFERROR(_xlfn.XLOOKUP(A550, 'Opening stock'!A550:A1149, 'Opening stock'!E550:E1149), "")</f>
        <v>150</v>
      </c>
      <c r="I550" s="8">
        <f>IFERROR(SUMIF(Table3[Item ID],'Inventory calculations'!A550,Table3[Quantity]),0)</f>
        <v>18</v>
      </c>
      <c r="J550" s="8">
        <f>IFERROR(SUMIF(Table4[Item ID],'Inventory calculations'!A550,Table4[Quantity Purchased]),0)</f>
        <v>1</v>
      </c>
      <c r="K550" s="10">
        <f t="shared" si="34"/>
        <v>133</v>
      </c>
      <c r="L550" s="6" t="str">
        <f t="shared" si="35"/>
        <v>OK</v>
      </c>
      <c r="M550" s="13">
        <f t="shared" si="32"/>
        <v>217159.74</v>
      </c>
      <c r="N550" s="8">
        <f>Table5[[#This Row],[Total Qty Sold]]*Table5[[#This Row],[Unit Price]]</f>
        <v>49444.92</v>
      </c>
      <c r="O550" s="9">
        <f>IFERROR(_xlfn.MAXIFS(Table3[Date],Table3[Item ID],Table5[[#This Row],[Item ID]]),"")</f>
        <v>45994</v>
      </c>
      <c r="P550" s="40">
        <f ca="1">IF(Table5[[#This Row],[Last sale Date]]="","Never Sold",TODAY()-Table5[[#This Row],[Last sale Date]])</f>
        <v>58</v>
      </c>
      <c r="Q550" s="6" t="str">
        <f>IF(Table5[[#This Row],[Re order Level]]&lt;=Table5[[#This Row],[Current stock]],"ORDERASAP","OK BUT BE CHECKING")</f>
        <v>OK BUT BE CHECKING</v>
      </c>
      <c r="R550" s="6" t="str">
        <f t="shared" si="33"/>
        <v>ACTIVE</v>
      </c>
      <c r="S550" s="8">
        <f>IF(Table5[[#This Row],[DEADSTOCK FLAG]]="DEAD",Table5[[#This Row],[Inventory Value]],0)</f>
        <v>0</v>
      </c>
    </row>
    <row r="551" spans="1:19" x14ac:dyDescent="0.25">
      <c r="A551" s="24" t="str">
        <f>'Inventory master'!A551</f>
        <v>ITEM550-A</v>
      </c>
      <c r="B551" s="6" t="str">
        <f>'Inventory master'!B551</f>
        <v>Multi-Mode Fiber Cable 200m</v>
      </c>
      <c r="C551" s="6" t="str">
        <f>'Inventory master'!C551</f>
        <v>Fiber Optic Cables</v>
      </c>
      <c r="D551" s="6" t="str">
        <f>'Inventory master'!D551</f>
        <v>Siemon</v>
      </c>
      <c r="E551" s="10" t="str">
        <f>'Inventory master'!E551</f>
        <v>1757.5</v>
      </c>
      <c r="F551" s="10" t="str">
        <f>'Inventory master'!F551</f>
        <v>1933.63</v>
      </c>
      <c r="G551" s="10" t="str">
        <f>'Inventory master'!G551</f>
        <v>63</v>
      </c>
      <c r="H551" s="8">
        <f>IFERROR(_xlfn.XLOOKUP(A551, 'Opening stock'!A551:A1150, 'Opening stock'!E551:E1150), "")</f>
        <v>945</v>
      </c>
      <c r="I551" s="8">
        <f>IFERROR(SUMIF(Table3[Item ID],'Inventory calculations'!A551,Table3[Quantity]),0)</f>
        <v>16</v>
      </c>
      <c r="J551" s="8">
        <f>IFERROR(SUMIF(Table4[Item ID],'Inventory calculations'!A551,Table4[Quantity Purchased]),0)</f>
        <v>13</v>
      </c>
      <c r="K551" s="10">
        <f t="shared" si="34"/>
        <v>942</v>
      </c>
      <c r="L551" s="6" t="str">
        <f t="shared" si="35"/>
        <v>OK</v>
      </c>
      <c r="M551" s="13">
        <f t="shared" si="32"/>
        <v>1655565</v>
      </c>
      <c r="N551" s="8">
        <f>Table5[[#This Row],[Total Qty Sold]]*Table5[[#This Row],[Unit Price]]</f>
        <v>30938.080000000002</v>
      </c>
      <c r="O551" s="9">
        <f>IFERROR(_xlfn.MAXIFS(Table3[Date],Table3[Item ID],Table5[[#This Row],[Item ID]]),"")</f>
        <v>45977</v>
      </c>
      <c r="P551" s="40">
        <f ca="1">IF(Table5[[#This Row],[Last sale Date]]="","Never Sold",TODAY()-Table5[[#This Row],[Last sale Date]])</f>
        <v>75</v>
      </c>
      <c r="Q551" s="6" t="str">
        <f>IF(Table5[[#This Row],[Re order Level]]&lt;=Table5[[#This Row],[Current stock]],"ORDERASAP","OK BUT BE CHECKING")</f>
        <v>OK BUT BE CHECKING</v>
      </c>
      <c r="R551" s="6" t="str">
        <f t="shared" si="33"/>
        <v>ACTIVE</v>
      </c>
      <c r="S551" s="8">
        <f>IF(Table5[[#This Row],[DEADSTOCK FLAG]]="DEAD",Table5[[#This Row],[Inventory Value]],0)</f>
        <v>0</v>
      </c>
    </row>
    <row r="552" spans="1:19" x14ac:dyDescent="0.25">
      <c r="A552" s="24" t="str">
        <f>'Inventory master'!A552</f>
        <v>ITEM551-A</v>
      </c>
      <c r="B552" s="6" t="str">
        <f>'Inventory master'!B552</f>
        <v>CFP Transceiver</v>
      </c>
      <c r="C552" s="6" t="str">
        <f>'Inventory master'!C552</f>
        <v>Transceivers</v>
      </c>
      <c r="D552" s="6" t="str">
        <f>'Inventory master'!D552</f>
        <v>AFL</v>
      </c>
      <c r="E552" s="10" t="str">
        <f>'Inventory master'!E552</f>
        <v>1484.89</v>
      </c>
      <c r="F552" s="10" t="str">
        <f>'Inventory master'!F552</f>
        <v>1912.19</v>
      </c>
      <c r="G552" s="10" t="str">
        <f>'Inventory master'!G552</f>
        <v>87</v>
      </c>
      <c r="H552" s="8">
        <f>IFERROR(_xlfn.XLOOKUP(A552, 'Opening stock'!A552:A1151, 'Opening stock'!E552:E1151), "")</f>
        <v>1305</v>
      </c>
      <c r="I552" s="8">
        <f>IFERROR(SUMIF(Table3[Item ID],'Inventory calculations'!A552,Table3[Quantity]),0)</f>
        <v>0</v>
      </c>
      <c r="J552" s="8">
        <f>IFERROR(SUMIF(Table4[Item ID],'Inventory calculations'!A552,Table4[Quantity Purchased]),0)</f>
        <v>2</v>
      </c>
      <c r="K552" s="10">
        <f t="shared" si="34"/>
        <v>1307</v>
      </c>
      <c r="L552" s="6" t="str">
        <f t="shared" si="35"/>
        <v>OK</v>
      </c>
      <c r="M552" s="13">
        <f t="shared" si="32"/>
        <v>1940751.2300000002</v>
      </c>
      <c r="N552" s="8">
        <f>Table5[[#This Row],[Total Qty Sold]]*Table5[[#This Row],[Unit Price]]</f>
        <v>0</v>
      </c>
      <c r="O552" s="9"/>
      <c r="P552" s="40" t="str">
        <f ca="1">IF(Table5[[#This Row],[Last sale Date]]="","Never Sold",TODAY()-Table5[[#This Row],[Last sale Date]])</f>
        <v>Never Sold</v>
      </c>
      <c r="Q552" s="6" t="str">
        <f>IF(Table5[[#This Row],[Re order Level]]&lt;=Table5[[#This Row],[Current stock]],"ORDERASAP","OK BUT BE CHECKING")</f>
        <v>OK BUT BE CHECKING</v>
      </c>
      <c r="R552" s="6" t="str">
        <f t="shared" si="33"/>
        <v>ACTIVE</v>
      </c>
      <c r="S552" s="8">
        <f>IF(Table5[[#This Row],[DEADSTOCK FLAG]]="DEAD",Table5[[#This Row],[Inventory Value]],0)</f>
        <v>0</v>
      </c>
    </row>
    <row r="553" spans="1:19" x14ac:dyDescent="0.25">
      <c r="A553" s="24" t="str">
        <f>'Inventory master'!A553</f>
        <v>ITEM552-A</v>
      </c>
      <c r="B553" s="6" t="str">
        <f>'Inventory master'!B553</f>
        <v>Rack-Mount Enclosure</v>
      </c>
      <c r="C553" s="6" t="str">
        <f>'Inventory master'!C553</f>
        <v>Enclosures</v>
      </c>
      <c r="D553" s="6" t="str">
        <f>'Inventory master'!D553</f>
        <v>Leviton</v>
      </c>
      <c r="E553" s="10" t="str">
        <f>'Inventory master'!E553</f>
        <v>144.41</v>
      </c>
      <c r="F553" s="10" t="str">
        <f>'Inventory master'!F553</f>
        <v>202.39</v>
      </c>
      <c r="G553" s="10" t="str">
        <f>'Inventory master'!G553</f>
        <v>98</v>
      </c>
      <c r="H553" s="8">
        <f>IFERROR(_xlfn.XLOOKUP(A553, 'Opening stock'!A553:A1152, 'Opening stock'!E553:E1152), "")</f>
        <v>1470</v>
      </c>
      <c r="I553" s="8">
        <f>IFERROR(SUMIF(Table3[Item ID],'Inventory calculations'!A553,Table3[Quantity]),0)</f>
        <v>143</v>
      </c>
      <c r="J553" s="8">
        <f>IFERROR(SUMIF(Table4[Item ID],'Inventory calculations'!A553,Table4[Quantity Purchased]),0)</f>
        <v>0</v>
      </c>
      <c r="K553" s="10">
        <f t="shared" si="34"/>
        <v>1327</v>
      </c>
      <c r="L553" s="6" t="str">
        <f t="shared" si="35"/>
        <v>OK</v>
      </c>
      <c r="M553" s="13">
        <f t="shared" si="32"/>
        <v>191632.07</v>
      </c>
      <c r="N553" s="8">
        <f>Table5[[#This Row],[Total Qty Sold]]*Table5[[#This Row],[Unit Price]]</f>
        <v>28941.769999999997</v>
      </c>
      <c r="O553" s="9">
        <f>IFERROR(_xlfn.MAXIFS(Table3[Date],Table3[Item ID],Table5[[#This Row],[Item ID]]),"")</f>
        <v>45645</v>
      </c>
      <c r="P553" s="40">
        <f ca="1">IF(Table5[[#This Row],[Last sale Date]]="","Never Sold",TODAY()-Table5[[#This Row],[Last sale Date]])</f>
        <v>407</v>
      </c>
      <c r="Q553" s="6" t="str">
        <f>IF(Table5[[#This Row],[Re order Level]]&lt;=Table5[[#This Row],[Current stock]],"ORDERASAP","OK BUT BE CHECKING")</f>
        <v>OK BUT BE CHECKING</v>
      </c>
      <c r="R553" s="6" t="str">
        <f t="shared" si="33"/>
        <v>ACTIVE</v>
      </c>
      <c r="S553" s="8">
        <f>IF(Table5[[#This Row],[DEADSTOCK FLAG]]="DEAD",Table5[[#This Row],[Inventory Value]],0)</f>
        <v>0</v>
      </c>
    </row>
    <row r="554" spans="1:19" x14ac:dyDescent="0.25">
      <c r="A554" s="24" t="str">
        <f>'Inventory master'!A554</f>
        <v>ITEM553-A</v>
      </c>
      <c r="B554" s="6" t="str">
        <f>'Inventory master'!B554</f>
        <v>1x4 PLC Splitter</v>
      </c>
      <c r="C554" s="6" t="str">
        <f>'Inventory master'!C554</f>
        <v>Splitters</v>
      </c>
      <c r="D554" s="6" t="str">
        <f>'Inventory master'!D554</f>
        <v>Corning Inc.</v>
      </c>
      <c r="E554" s="10" t="str">
        <f>'Inventory master'!E554</f>
        <v>26.29</v>
      </c>
      <c r="F554" s="10" t="str">
        <f>'Inventory master'!F554</f>
        <v>31.85</v>
      </c>
      <c r="G554" s="10" t="str">
        <f>'Inventory master'!G554</f>
        <v>92</v>
      </c>
      <c r="H554" s="8">
        <f>IFERROR(_xlfn.XLOOKUP(A554, 'Opening stock'!A554:A1153, 'Opening stock'!E554:E1153), "")</f>
        <v>1380</v>
      </c>
      <c r="I554" s="8">
        <f>IFERROR(SUMIF(Table3[Item ID],'Inventory calculations'!A554,Table3[Quantity]),0)</f>
        <v>0</v>
      </c>
      <c r="J554" s="8">
        <f>IFERROR(SUMIF(Table4[Item ID],'Inventory calculations'!A554,Table4[Quantity Purchased]),0)</f>
        <v>2</v>
      </c>
      <c r="K554" s="10">
        <f t="shared" si="34"/>
        <v>1382</v>
      </c>
      <c r="L554" s="6" t="str">
        <f t="shared" si="35"/>
        <v>OK</v>
      </c>
      <c r="M554" s="13">
        <f t="shared" si="32"/>
        <v>36332.78</v>
      </c>
      <c r="N554" s="8">
        <f>Table5[[#This Row],[Total Qty Sold]]*Table5[[#This Row],[Unit Price]]</f>
        <v>0</v>
      </c>
      <c r="O554" s="9"/>
      <c r="P554" s="40" t="str">
        <f ca="1">IF(Table5[[#This Row],[Last sale Date]]="","Never Sold",TODAY()-Table5[[#This Row],[Last sale Date]])</f>
        <v>Never Sold</v>
      </c>
      <c r="Q554" s="6" t="str">
        <f>IF(Table5[[#This Row],[Re order Level]]&lt;=Table5[[#This Row],[Current stock]],"ORDERASAP","OK BUT BE CHECKING")</f>
        <v>OK BUT BE CHECKING</v>
      </c>
      <c r="R554" s="6" t="str">
        <f t="shared" si="33"/>
        <v>ACTIVE</v>
      </c>
      <c r="S554" s="8">
        <f>IF(Table5[[#This Row],[DEADSTOCK FLAG]]="DEAD",Table5[[#This Row],[Inventory Value]],0)</f>
        <v>0</v>
      </c>
    </row>
    <row r="555" spans="1:19" x14ac:dyDescent="0.25">
      <c r="A555" s="24" t="str">
        <f>'Inventory master'!A555</f>
        <v>ITEM554-A</v>
      </c>
      <c r="B555" s="6" t="str">
        <f>'Inventory master'!B555</f>
        <v>Wall-Mount Enclosure</v>
      </c>
      <c r="C555" s="6" t="str">
        <f>'Inventory master'!C555</f>
        <v>Enclosures</v>
      </c>
      <c r="D555" s="6" t="str">
        <f>'Inventory master'!D555</f>
        <v>Corning Inc.</v>
      </c>
      <c r="E555" s="10" t="str">
        <f>'Inventory master'!E555</f>
        <v>1778.52</v>
      </c>
      <c r="F555" s="10" t="str">
        <f>'Inventory master'!F555</f>
        <v>3301.01</v>
      </c>
      <c r="G555" s="10" t="str">
        <f>'Inventory master'!G555</f>
        <v>30</v>
      </c>
      <c r="H555" s="8">
        <f>IFERROR(_xlfn.XLOOKUP(A555, 'Opening stock'!A555:A1154, 'Opening stock'!E555:E1154), "")</f>
        <v>450</v>
      </c>
      <c r="I555" s="8">
        <f>IFERROR(SUMIF(Table3[Item ID],'Inventory calculations'!A555,Table3[Quantity]),0)</f>
        <v>0</v>
      </c>
      <c r="J555" s="8">
        <f>IFERROR(SUMIF(Table4[Item ID],'Inventory calculations'!A555,Table4[Quantity Purchased]),0)</f>
        <v>4</v>
      </c>
      <c r="K555" s="10">
        <f t="shared" si="34"/>
        <v>454</v>
      </c>
      <c r="L555" s="6" t="str">
        <f t="shared" si="35"/>
        <v>OK</v>
      </c>
      <c r="M555" s="13">
        <f t="shared" si="32"/>
        <v>807448.08</v>
      </c>
      <c r="N555" s="8">
        <f>Table5[[#This Row],[Total Qty Sold]]*Table5[[#This Row],[Unit Price]]</f>
        <v>0</v>
      </c>
      <c r="O555" s="9"/>
      <c r="P555" s="40" t="str">
        <f ca="1">IF(Table5[[#This Row],[Last sale Date]]="","Never Sold",TODAY()-Table5[[#This Row],[Last sale Date]])</f>
        <v>Never Sold</v>
      </c>
      <c r="Q555" s="6" t="str">
        <f>IF(Table5[[#This Row],[Re order Level]]&lt;=Table5[[#This Row],[Current stock]],"ORDERASAP","OK BUT BE CHECKING")</f>
        <v>OK BUT BE CHECKING</v>
      </c>
      <c r="R555" s="6" t="str">
        <f t="shared" si="33"/>
        <v>ACTIVE</v>
      </c>
      <c r="S555" s="8">
        <f>IF(Table5[[#This Row],[DEADSTOCK FLAG]]="DEAD",Table5[[#This Row],[Inventory Value]],0)</f>
        <v>0</v>
      </c>
    </row>
    <row r="556" spans="1:19" x14ac:dyDescent="0.25">
      <c r="A556" s="24" t="str">
        <f>'Inventory master'!A556</f>
        <v>ITEM555-A</v>
      </c>
      <c r="B556" s="6" t="str">
        <f>'Inventory master'!B556</f>
        <v>96-Port Fiber Patch Panel</v>
      </c>
      <c r="C556" s="6" t="str">
        <f>'Inventory master'!C556</f>
        <v>Patch Panels</v>
      </c>
      <c r="D556" s="6" t="str">
        <f>'Inventory master'!D556</f>
        <v>Prysmian Group</v>
      </c>
      <c r="E556" s="10" t="str">
        <f>'Inventory master'!E556</f>
        <v>21.41</v>
      </c>
      <c r="F556" s="10" t="str">
        <f>'Inventory master'!F556</f>
        <v>33.4</v>
      </c>
      <c r="G556" s="10" t="str">
        <f>'Inventory master'!G556</f>
        <v>100</v>
      </c>
      <c r="H556" s="8">
        <f>IFERROR(_xlfn.XLOOKUP(A556, 'Opening stock'!A556:A1155, 'Opening stock'!E556:E1155), "")</f>
        <v>1500</v>
      </c>
      <c r="I556" s="8">
        <f>IFERROR(SUMIF(Table3[Item ID],'Inventory calculations'!A556,Table3[Quantity]),0)</f>
        <v>0</v>
      </c>
      <c r="J556" s="8">
        <f>IFERROR(SUMIF(Table4[Item ID],'Inventory calculations'!A556,Table4[Quantity Purchased]),0)</f>
        <v>0</v>
      </c>
      <c r="K556" s="10">
        <f t="shared" si="34"/>
        <v>1500</v>
      </c>
      <c r="L556" s="6" t="str">
        <f t="shared" si="35"/>
        <v>OK</v>
      </c>
      <c r="M556" s="13">
        <f t="shared" si="32"/>
        <v>32115</v>
      </c>
      <c r="N556" s="8">
        <f>Table5[[#This Row],[Total Qty Sold]]*Table5[[#This Row],[Unit Price]]</f>
        <v>0</v>
      </c>
      <c r="O556" s="9"/>
      <c r="P556" s="40" t="str">
        <f ca="1">IF(Table5[[#This Row],[Last sale Date]]="","Never Sold",TODAY()-Table5[[#This Row],[Last sale Date]])</f>
        <v>Never Sold</v>
      </c>
      <c r="Q556" s="6" t="str">
        <f>IF(Table5[[#This Row],[Re order Level]]&lt;=Table5[[#This Row],[Current stock]],"ORDERASAP","OK BUT BE CHECKING")</f>
        <v>OK BUT BE CHECKING</v>
      </c>
      <c r="R556" s="6" t="str">
        <f t="shared" si="33"/>
        <v>ACTIVE</v>
      </c>
      <c r="S556" s="8">
        <f>IF(Table5[[#This Row],[DEADSTOCK FLAG]]="DEAD",Table5[[#This Row],[Inventory Value]],0)</f>
        <v>0</v>
      </c>
    </row>
    <row r="557" spans="1:19" x14ac:dyDescent="0.25">
      <c r="A557" s="24" t="str">
        <f>'Inventory master'!A557</f>
        <v>ITEM556-A</v>
      </c>
      <c r="B557" s="6" t="str">
        <f>'Inventory master'!B557</f>
        <v>Mechanical Splicer</v>
      </c>
      <c r="C557" s="6" t="str">
        <f>'Inventory master'!C557</f>
        <v>Splicers</v>
      </c>
      <c r="D557" s="6" t="str">
        <f>'Inventory master'!D557</f>
        <v>HellermannTyton</v>
      </c>
      <c r="E557" s="10" t="str">
        <f>'Inventory master'!E557</f>
        <v>288.29</v>
      </c>
      <c r="F557" s="10" t="str">
        <f>'Inventory master'!F557</f>
        <v>401.23</v>
      </c>
      <c r="G557" s="10" t="str">
        <f>'Inventory master'!G557</f>
        <v>73</v>
      </c>
      <c r="H557" s="8">
        <f>IFERROR(_xlfn.XLOOKUP(A557, 'Opening stock'!A557:A1156, 'Opening stock'!E557:E1156), "")</f>
        <v>1095</v>
      </c>
      <c r="I557" s="8">
        <f>IFERROR(SUMIF(Table3[Item ID],'Inventory calculations'!A557,Table3[Quantity]),0)</f>
        <v>0</v>
      </c>
      <c r="J557" s="8">
        <f>IFERROR(SUMIF(Table4[Item ID],'Inventory calculations'!A557,Table4[Quantity Purchased]),0)</f>
        <v>5</v>
      </c>
      <c r="K557" s="10">
        <f t="shared" si="34"/>
        <v>1100</v>
      </c>
      <c r="L557" s="6" t="str">
        <f t="shared" si="35"/>
        <v>OK</v>
      </c>
      <c r="M557" s="13">
        <f t="shared" si="32"/>
        <v>317119</v>
      </c>
      <c r="N557" s="8">
        <f>Table5[[#This Row],[Total Qty Sold]]*Table5[[#This Row],[Unit Price]]</f>
        <v>0</v>
      </c>
      <c r="O557" s="9"/>
      <c r="P557" s="40" t="str">
        <f ca="1">IF(Table5[[#This Row],[Last sale Date]]="","Never Sold",TODAY()-Table5[[#This Row],[Last sale Date]])</f>
        <v>Never Sold</v>
      </c>
      <c r="Q557" s="6" t="str">
        <f>IF(Table5[[#This Row],[Re order Level]]&lt;=Table5[[#This Row],[Current stock]],"ORDERASAP","OK BUT BE CHECKING")</f>
        <v>OK BUT BE CHECKING</v>
      </c>
      <c r="R557" s="6" t="str">
        <f t="shared" si="33"/>
        <v>ACTIVE</v>
      </c>
      <c r="S557" s="8">
        <f>IF(Table5[[#This Row],[DEADSTOCK FLAG]]="DEAD",Table5[[#This Row],[Inventory Value]],0)</f>
        <v>0</v>
      </c>
    </row>
    <row r="558" spans="1:19" x14ac:dyDescent="0.25">
      <c r="A558" s="24" t="str">
        <f>'Inventory master'!A558</f>
        <v>ITEM557-A</v>
      </c>
      <c r="B558" s="6" t="str">
        <f>'Inventory master'!B558</f>
        <v>72-Port Fiber Patch Panel</v>
      </c>
      <c r="C558" s="6" t="str">
        <f>'Inventory master'!C558</f>
        <v>Patch Panels</v>
      </c>
      <c r="D558" s="6" t="str">
        <f>'Inventory master'!D558</f>
        <v>HellermannTyton</v>
      </c>
      <c r="E558" s="10" t="str">
        <f>'Inventory master'!E558</f>
        <v>226.68</v>
      </c>
      <c r="F558" s="10" t="str">
        <f>'Inventory master'!F558</f>
        <v>346.1</v>
      </c>
      <c r="G558" s="10" t="str">
        <f>'Inventory master'!G558</f>
        <v>34</v>
      </c>
      <c r="H558" s="8">
        <f>IFERROR(_xlfn.XLOOKUP(A558, 'Opening stock'!A558:A1157, 'Opening stock'!E558:E1157), "")</f>
        <v>510</v>
      </c>
      <c r="I558" s="8">
        <f>IFERROR(SUMIF(Table3[Item ID],'Inventory calculations'!A558,Table3[Quantity]),0)</f>
        <v>0</v>
      </c>
      <c r="J558" s="8">
        <f>IFERROR(SUMIF(Table4[Item ID],'Inventory calculations'!A558,Table4[Quantity Purchased]),0)</f>
        <v>4</v>
      </c>
      <c r="K558" s="10">
        <f t="shared" si="34"/>
        <v>514</v>
      </c>
      <c r="L558" s="6" t="str">
        <f t="shared" si="35"/>
        <v>OK</v>
      </c>
      <c r="M558" s="13">
        <f t="shared" si="32"/>
        <v>116513.52</v>
      </c>
      <c r="N558" s="8">
        <f>Table5[[#This Row],[Total Qty Sold]]*Table5[[#This Row],[Unit Price]]</f>
        <v>0</v>
      </c>
      <c r="O558" s="9"/>
      <c r="P558" s="40" t="str">
        <f ca="1">IF(Table5[[#This Row],[Last sale Date]]="","Never Sold",TODAY()-Table5[[#This Row],[Last sale Date]])</f>
        <v>Never Sold</v>
      </c>
      <c r="Q558" s="6" t="str">
        <f>IF(Table5[[#This Row],[Re order Level]]&lt;=Table5[[#This Row],[Current stock]],"ORDERASAP","OK BUT BE CHECKING")</f>
        <v>OK BUT BE CHECKING</v>
      </c>
      <c r="R558" s="6" t="str">
        <f t="shared" si="33"/>
        <v>ACTIVE</v>
      </c>
      <c r="S558" s="8">
        <f>IF(Table5[[#This Row],[DEADSTOCK FLAG]]="DEAD",Table5[[#This Row],[Inventory Value]],0)</f>
        <v>0</v>
      </c>
    </row>
    <row r="559" spans="1:19" x14ac:dyDescent="0.25">
      <c r="A559" s="24" t="str">
        <f>'Inventory master'!A559</f>
        <v>ITEM558-A</v>
      </c>
      <c r="B559" s="6" t="str">
        <f>'Inventory master'!B559</f>
        <v>Fiber Pigtail</v>
      </c>
      <c r="C559" s="6" t="str">
        <f>'Inventory master'!C559</f>
        <v>Accessories</v>
      </c>
      <c r="D559" s="6" t="str">
        <f>'Inventory master'!D559</f>
        <v>Leviton</v>
      </c>
      <c r="E559" s="10" t="str">
        <f>'Inventory master'!E559</f>
        <v>904.62</v>
      </c>
      <c r="F559" s="10" t="str">
        <f>'Inventory master'!F559</f>
        <v>1766.02</v>
      </c>
      <c r="G559" s="10" t="str">
        <f>'Inventory master'!G559</f>
        <v>23</v>
      </c>
      <c r="H559" s="8">
        <f>IFERROR(_xlfn.XLOOKUP(A559, 'Opening stock'!A559:A1158, 'Opening stock'!E559:E1158), "")</f>
        <v>345</v>
      </c>
      <c r="I559" s="8">
        <f>IFERROR(SUMIF(Table3[Item ID],'Inventory calculations'!A559,Table3[Quantity]),0)</f>
        <v>0</v>
      </c>
      <c r="J559" s="8">
        <f>IFERROR(SUMIF(Table4[Item ID],'Inventory calculations'!A559,Table4[Quantity Purchased]),0)</f>
        <v>0</v>
      </c>
      <c r="K559" s="10">
        <f t="shared" si="34"/>
        <v>345</v>
      </c>
      <c r="L559" s="6" t="str">
        <f t="shared" si="35"/>
        <v>OK</v>
      </c>
      <c r="M559" s="13">
        <f t="shared" si="32"/>
        <v>312093.90000000002</v>
      </c>
      <c r="N559" s="8">
        <f>Table5[[#This Row],[Total Qty Sold]]*Table5[[#This Row],[Unit Price]]</f>
        <v>0</v>
      </c>
      <c r="O559" s="9"/>
      <c r="P559" s="40" t="str">
        <f ca="1">IF(Table5[[#This Row],[Last sale Date]]="","Never Sold",TODAY()-Table5[[#This Row],[Last sale Date]])</f>
        <v>Never Sold</v>
      </c>
      <c r="Q559" s="6" t="str">
        <f>IF(Table5[[#This Row],[Re order Level]]&lt;=Table5[[#This Row],[Current stock]],"ORDERASAP","OK BUT BE CHECKING")</f>
        <v>OK BUT BE CHECKING</v>
      </c>
      <c r="R559" s="6" t="str">
        <f t="shared" si="33"/>
        <v>ACTIVE</v>
      </c>
      <c r="S559" s="8">
        <f>IF(Table5[[#This Row],[DEADSTOCK FLAG]]="DEAD",Table5[[#This Row],[Inventory Value]],0)</f>
        <v>0</v>
      </c>
    </row>
    <row r="560" spans="1:19" x14ac:dyDescent="0.25">
      <c r="A560" s="24" t="str">
        <f>'Inventory master'!A560</f>
        <v>ITEM559-A</v>
      </c>
      <c r="B560" s="6" t="str">
        <f>'Inventory master'!B560</f>
        <v>SFP Transceiver</v>
      </c>
      <c r="C560" s="6" t="str">
        <f>'Inventory master'!C560</f>
        <v>Transceivers</v>
      </c>
      <c r="D560" s="6" t="str">
        <f>'Inventory master'!D560</f>
        <v>Panduit</v>
      </c>
      <c r="E560" s="10" t="str">
        <f>'Inventory master'!E560</f>
        <v>219.91</v>
      </c>
      <c r="F560" s="10" t="str">
        <f>'Inventory master'!F560</f>
        <v>246.31</v>
      </c>
      <c r="G560" s="10" t="str">
        <f>'Inventory master'!G560</f>
        <v>46</v>
      </c>
      <c r="H560" s="8">
        <f>IFERROR(_xlfn.XLOOKUP(A560, 'Opening stock'!A560:A1159, 'Opening stock'!E560:E1159), "")</f>
        <v>690</v>
      </c>
      <c r="I560" s="8">
        <f>IFERROR(SUMIF(Table3[Item ID],'Inventory calculations'!A560,Table3[Quantity]),0)</f>
        <v>14</v>
      </c>
      <c r="J560" s="8">
        <f>IFERROR(SUMIF(Table4[Item ID],'Inventory calculations'!A560,Table4[Quantity Purchased]),0)</f>
        <v>4</v>
      </c>
      <c r="K560" s="10">
        <f t="shared" si="34"/>
        <v>680</v>
      </c>
      <c r="L560" s="6" t="str">
        <f t="shared" si="35"/>
        <v>OK</v>
      </c>
      <c r="M560" s="13">
        <f t="shared" si="32"/>
        <v>149538.79999999999</v>
      </c>
      <c r="N560" s="8">
        <f>Table5[[#This Row],[Total Qty Sold]]*Table5[[#This Row],[Unit Price]]</f>
        <v>3448.34</v>
      </c>
      <c r="O560" s="9">
        <f>IFERROR(_xlfn.MAXIFS(Table3[Date],Table3[Item ID],Table5[[#This Row],[Item ID]]),"")</f>
        <v>45984</v>
      </c>
      <c r="P560" s="40">
        <f ca="1">IF(Table5[[#This Row],[Last sale Date]]="","Never Sold",TODAY()-Table5[[#This Row],[Last sale Date]])</f>
        <v>68</v>
      </c>
      <c r="Q560" s="6" t="str">
        <f>IF(Table5[[#This Row],[Re order Level]]&lt;=Table5[[#This Row],[Current stock]],"ORDERASAP","OK BUT BE CHECKING")</f>
        <v>OK BUT BE CHECKING</v>
      </c>
      <c r="R560" s="6" t="str">
        <f t="shared" si="33"/>
        <v>ACTIVE</v>
      </c>
      <c r="S560" s="8">
        <f>IF(Table5[[#This Row],[DEADSTOCK FLAG]]="DEAD",Table5[[#This Row],[Inventory Value]],0)</f>
        <v>0</v>
      </c>
    </row>
    <row r="561" spans="1:19" x14ac:dyDescent="0.25">
      <c r="A561" s="24" t="str">
        <f>'Inventory master'!A561</f>
        <v>ITEM560-A</v>
      </c>
      <c r="B561" s="6" t="str">
        <f>'Inventory master'!B561</f>
        <v>Outdoor Fiber Cable 50m</v>
      </c>
      <c r="C561" s="6" t="str">
        <f>'Inventory master'!C561</f>
        <v>Fiber Optic Cables</v>
      </c>
      <c r="D561" s="6" t="str">
        <f>'Inventory master'!D561</f>
        <v>Siemon</v>
      </c>
      <c r="E561" s="10" t="str">
        <f>'Inventory master'!E561</f>
        <v>79.48</v>
      </c>
      <c r="F561" s="10" t="str">
        <f>'Inventory master'!F561</f>
        <v>134.28</v>
      </c>
      <c r="G561" s="10" t="str">
        <f>'Inventory master'!G561</f>
        <v>26</v>
      </c>
      <c r="H561" s="8">
        <f>IFERROR(_xlfn.XLOOKUP(A561, 'Opening stock'!A561:A1160, 'Opening stock'!E561:E1160), "")</f>
        <v>390</v>
      </c>
      <c r="I561" s="8">
        <f>IFERROR(SUMIF(Table3[Item ID],'Inventory calculations'!A561,Table3[Quantity]),0)</f>
        <v>0</v>
      </c>
      <c r="J561" s="8">
        <f>IFERROR(SUMIF(Table4[Item ID],'Inventory calculations'!A561,Table4[Quantity Purchased]),0)</f>
        <v>16</v>
      </c>
      <c r="K561" s="10">
        <f t="shared" si="34"/>
        <v>406</v>
      </c>
      <c r="L561" s="6" t="str">
        <f t="shared" si="35"/>
        <v>OK</v>
      </c>
      <c r="M561" s="13">
        <f t="shared" si="32"/>
        <v>32268.880000000001</v>
      </c>
      <c r="N561" s="8">
        <f>Table5[[#This Row],[Total Qty Sold]]*Table5[[#This Row],[Unit Price]]</f>
        <v>0</v>
      </c>
      <c r="O561" s="9"/>
      <c r="P561" s="40" t="str">
        <f ca="1">IF(Table5[[#This Row],[Last sale Date]]="","Never Sold",TODAY()-Table5[[#This Row],[Last sale Date]])</f>
        <v>Never Sold</v>
      </c>
      <c r="Q561" s="6" t="str">
        <f>IF(Table5[[#This Row],[Re order Level]]&lt;=Table5[[#This Row],[Current stock]],"ORDERASAP","OK BUT BE CHECKING")</f>
        <v>OK BUT BE CHECKING</v>
      </c>
      <c r="R561" s="6" t="str">
        <f t="shared" si="33"/>
        <v>ACTIVE</v>
      </c>
      <c r="S561" s="8">
        <f>IF(Table5[[#This Row],[DEADSTOCK FLAG]]="DEAD",Table5[[#This Row],[Inventory Value]],0)</f>
        <v>0</v>
      </c>
    </row>
    <row r="562" spans="1:19" x14ac:dyDescent="0.25">
      <c r="A562" s="24" t="str">
        <f>'Inventory master'!A562</f>
        <v>ITEM561-A</v>
      </c>
      <c r="B562" s="6" t="str">
        <f>'Inventory master'!B562</f>
        <v>SFP Transceiver</v>
      </c>
      <c r="C562" s="6" t="str">
        <f>'Inventory master'!C562</f>
        <v>Transceivers</v>
      </c>
      <c r="D562" s="6" t="str">
        <f>'Inventory master'!D562</f>
        <v>Leviton</v>
      </c>
      <c r="E562" s="10" t="str">
        <f>'Inventory master'!E562</f>
        <v>1749.72</v>
      </c>
      <c r="F562" s="10" t="str">
        <f>'Inventory master'!F562</f>
        <v>2284.26</v>
      </c>
      <c r="G562" s="10" t="str">
        <f>'Inventory master'!G562</f>
        <v>76</v>
      </c>
      <c r="H562" s="8">
        <f>IFERROR(_xlfn.XLOOKUP(A562, 'Opening stock'!A562:A1161, 'Opening stock'!E562:E1161), "")</f>
        <v>1140</v>
      </c>
      <c r="I562" s="8">
        <f>IFERROR(SUMIF(Table3[Item ID],'Inventory calculations'!A562,Table3[Quantity]),0)</f>
        <v>0</v>
      </c>
      <c r="J562" s="8">
        <f>IFERROR(SUMIF(Table4[Item ID],'Inventory calculations'!A562,Table4[Quantity Purchased]),0)</f>
        <v>0</v>
      </c>
      <c r="K562" s="10">
        <f t="shared" si="34"/>
        <v>1140</v>
      </c>
      <c r="L562" s="6" t="str">
        <f t="shared" si="35"/>
        <v>OK</v>
      </c>
      <c r="M562" s="13">
        <f t="shared" si="32"/>
        <v>1994680.8</v>
      </c>
      <c r="N562" s="8">
        <f>Table5[[#This Row],[Total Qty Sold]]*Table5[[#This Row],[Unit Price]]</f>
        <v>0</v>
      </c>
      <c r="O562" s="9"/>
      <c r="P562" s="40" t="str">
        <f ca="1">IF(Table5[[#This Row],[Last sale Date]]="","Never Sold",TODAY()-Table5[[#This Row],[Last sale Date]])</f>
        <v>Never Sold</v>
      </c>
      <c r="Q562" s="6" t="str">
        <f>IF(Table5[[#This Row],[Re order Level]]&lt;=Table5[[#This Row],[Current stock]],"ORDERASAP","OK BUT BE CHECKING")</f>
        <v>OK BUT BE CHECKING</v>
      </c>
      <c r="R562" s="6" t="str">
        <f t="shared" si="33"/>
        <v>ACTIVE</v>
      </c>
      <c r="S562" s="8">
        <f>IF(Table5[[#This Row],[DEADSTOCK FLAG]]="DEAD",Table5[[#This Row],[Inventory Value]],0)</f>
        <v>0</v>
      </c>
    </row>
    <row r="563" spans="1:19" x14ac:dyDescent="0.25">
      <c r="A563" s="24" t="str">
        <f>'Inventory master'!A563</f>
        <v>ITEM562-A</v>
      </c>
      <c r="B563" s="6" t="str">
        <f>'Inventory master'!B563</f>
        <v>MPO UPC Connector</v>
      </c>
      <c r="C563" s="6" t="str">
        <f>'Inventory master'!C563</f>
        <v>Connectors</v>
      </c>
      <c r="D563" s="6" t="str">
        <f>'Inventory master'!D563</f>
        <v>TE Connectivity</v>
      </c>
      <c r="E563" s="10" t="str">
        <f>'Inventory master'!E563</f>
        <v>87.18</v>
      </c>
      <c r="F563" s="10" t="str">
        <f>'Inventory master'!F563</f>
        <v>156.9</v>
      </c>
      <c r="G563" s="10" t="str">
        <f>'Inventory master'!G563</f>
        <v>60</v>
      </c>
      <c r="H563" s="8">
        <f>IFERROR(_xlfn.XLOOKUP(A563, 'Opening stock'!A563:A1162, 'Opening stock'!E563:E1162), "")</f>
        <v>900</v>
      </c>
      <c r="I563" s="8">
        <f>IFERROR(SUMIF(Table3[Item ID],'Inventory calculations'!A563,Table3[Quantity]),0)</f>
        <v>5</v>
      </c>
      <c r="J563" s="8">
        <f>IFERROR(SUMIF(Table4[Item ID],'Inventory calculations'!A563,Table4[Quantity Purchased]),0)</f>
        <v>18</v>
      </c>
      <c r="K563" s="10">
        <f t="shared" si="34"/>
        <v>913</v>
      </c>
      <c r="L563" s="6" t="str">
        <f t="shared" si="35"/>
        <v>OK</v>
      </c>
      <c r="M563" s="13">
        <f t="shared" si="32"/>
        <v>79595.340000000011</v>
      </c>
      <c r="N563" s="8">
        <f>Table5[[#This Row],[Total Qty Sold]]*Table5[[#This Row],[Unit Price]]</f>
        <v>784.5</v>
      </c>
      <c r="O563" s="9">
        <f>IFERROR(_xlfn.MAXIFS(Table3[Date],Table3[Item ID],Table5[[#This Row],[Item ID]]),"")</f>
        <v>45746</v>
      </c>
      <c r="P563" s="40">
        <f ca="1">IF(Table5[[#This Row],[Last sale Date]]="","Never Sold",TODAY()-Table5[[#This Row],[Last sale Date]])</f>
        <v>306</v>
      </c>
      <c r="Q563" s="6" t="str">
        <f>IF(Table5[[#This Row],[Re order Level]]&lt;=Table5[[#This Row],[Current stock]],"ORDERASAP","OK BUT BE CHECKING")</f>
        <v>OK BUT BE CHECKING</v>
      </c>
      <c r="R563" s="6" t="str">
        <f t="shared" si="33"/>
        <v>ACTIVE</v>
      </c>
      <c r="S563" s="8">
        <f>IF(Table5[[#This Row],[DEADSTOCK FLAG]]="DEAD",Table5[[#This Row],[Inventory Value]],0)</f>
        <v>0</v>
      </c>
    </row>
    <row r="564" spans="1:19" x14ac:dyDescent="0.25">
      <c r="A564" s="24" t="str">
        <f>'Inventory master'!A564</f>
        <v>ITEM563-A</v>
      </c>
      <c r="B564" s="6" t="str">
        <f>'Inventory master'!B564</f>
        <v>Rack-Mount Enclosure</v>
      </c>
      <c r="C564" s="6" t="str">
        <f>'Inventory master'!C564</f>
        <v>Enclosures</v>
      </c>
      <c r="D564" s="6" t="str">
        <f>'Inventory master'!D564</f>
        <v>Belden</v>
      </c>
      <c r="E564" s="10" t="str">
        <f>'Inventory master'!E564</f>
        <v>1233.08</v>
      </c>
      <c r="F564" s="10" t="str">
        <f>'Inventory master'!F564</f>
        <v>1468.93</v>
      </c>
      <c r="G564" s="10" t="str">
        <f>'Inventory master'!G564</f>
        <v>76</v>
      </c>
      <c r="H564" s="8">
        <f>IFERROR(_xlfn.XLOOKUP(A564, 'Opening stock'!A564:A1163, 'Opening stock'!E564:E1163), "")</f>
        <v>1140</v>
      </c>
      <c r="I564" s="8">
        <f>IFERROR(SUMIF(Table3[Item ID],'Inventory calculations'!A564,Table3[Quantity]),0)</f>
        <v>0</v>
      </c>
      <c r="J564" s="8">
        <f>IFERROR(SUMIF(Table4[Item ID],'Inventory calculations'!A564,Table4[Quantity Purchased]),0)</f>
        <v>2</v>
      </c>
      <c r="K564" s="10">
        <f t="shared" si="34"/>
        <v>1142</v>
      </c>
      <c r="L564" s="6" t="str">
        <f t="shared" si="35"/>
        <v>OK</v>
      </c>
      <c r="M564" s="13">
        <f t="shared" si="32"/>
        <v>1408177.3599999999</v>
      </c>
      <c r="N564" s="8">
        <f>Table5[[#This Row],[Total Qty Sold]]*Table5[[#This Row],[Unit Price]]</f>
        <v>0</v>
      </c>
      <c r="O564" s="9"/>
      <c r="P564" s="40" t="str">
        <f ca="1">IF(Table5[[#This Row],[Last sale Date]]="","Never Sold",TODAY()-Table5[[#This Row],[Last sale Date]])</f>
        <v>Never Sold</v>
      </c>
      <c r="Q564" s="6" t="str">
        <f>IF(Table5[[#This Row],[Re order Level]]&lt;=Table5[[#This Row],[Current stock]],"ORDERASAP","OK BUT BE CHECKING")</f>
        <v>OK BUT BE CHECKING</v>
      </c>
      <c r="R564" s="6" t="str">
        <f t="shared" si="33"/>
        <v>ACTIVE</v>
      </c>
      <c r="S564" s="8">
        <f>IF(Table5[[#This Row],[DEADSTOCK FLAG]]="DEAD",Table5[[#This Row],[Inventory Value]],0)</f>
        <v>0</v>
      </c>
    </row>
    <row r="565" spans="1:19" x14ac:dyDescent="0.25">
      <c r="A565" s="24" t="str">
        <f>'Inventory master'!A565</f>
        <v>ITEM564-A</v>
      </c>
      <c r="B565" s="6" t="str">
        <f>'Inventory master'!B565</f>
        <v>Mechanical Splicer</v>
      </c>
      <c r="C565" s="6" t="str">
        <f>'Inventory master'!C565</f>
        <v>Splicers</v>
      </c>
      <c r="D565" s="6" t="str">
        <f>'Inventory master'!D565</f>
        <v>Huber+Suhner</v>
      </c>
      <c r="E565" s="10" t="str">
        <f>'Inventory master'!E565</f>
        <v>1295.62</v>
      </c>
      <c r="F565" s="10" t="str">
        <f>'Inventory master'!F565</f>
        <v>2162.91</v>
      </c>
      <c r="G565" s="10" t="str">
        <f>'Inventory master'!G565</f>
        <v>40</v>
      </c>
      <c r="H565" s="8">
        <f>IFERROR(_xlfn.XLOOKUP(A565, 'Opening stock'!A565:A1164, 'Opening stock'!E565:E1164), "")</f>
        <v>600</v>
      </c>
      <c r="I565" s="8">
        <f>IFERROR(SUMIF(Table3[Item ID],'Inventory calculations'!A565,Table3[Quantity]),0)</f>
        <v>0</v>
      </c>
      <c r="J565" s="8">
        <f>IFERROR(SUMIF(Table4[Item ID],'Inventory calculations'!A565,Table4[Quantity Purchased]),0)</f>
        <v>4</v>
      </c>
      <c r="K565" s="10">
        <f t="shared" si="34"/>
        <v>604</v>
      </c>
      <c r="L565" s="6" t="str">
        <f t="shared" si="35"/>
        <v>OK</v>
      </c>
      <c r="M565" s="13">
        <f t="shared" si="32"/>
        <v>782554.48</v>
      </c>
      <c r="N565" s="8">
        <f>Table5[[#This Row],[Total Qty Sold]]*Table5[[#This Row],[Unit Price]]</f>
        <v>0</v>
      </c>
      <c r="O565" s="9"/>
      <c r="P565" s="40" t="str">
        <f ca="1">IF(Table5[[#This Row],[Last sale Date]]="","Never Sold",TODAY()-Table5[[#This Row],[Last sale Date]])</f>
        <v>Never Sold</v>
      </c>
      <c r="Q565" s="6" t="str">
        <f>IF(Table5[[#This Row],[Re order Level]]&lt;=Table5[[#This Row],[Current stock]],"ORDERASAP","OK BUT BE CHECKING")</f>
        <v>OK BUT BE CHECKING</v>
      </c>
      <c r="R565" s="6" t="str">
        <f t="shared" si="33"/>
        <v>ACTIVE</v>
      </c>
      <c r="S565" s="8">
        <f>IF(Table5[[#This Row],[DEADSTOCK FLAG]]="DEAD",Table5[[#This Row],[Inventory Value]],0)</f>
        <v>0</v>
      </c>
    </row>
    <row r="566" spans="1:19" x14ac:dyDescent="0.25">
      <c r="A566" s="24" t="str">
        <f>'Inventory master'!A566</f>
        <v>ITEM565-A</v>
      </c>
      <c r="B566" s="6" t="str">
        <f>'Inventory master'!B566</f>
        <v>Fiber Optic Stripper</v>
      </c>
      <c r="C566" s="6" t="str">
        <f>'Inventory master'!C566</f>
        <v>Tools</v>
      </c>
      <c r="D566" s="6" t="str">
        <f>'Inventory master'!D566</f>
        <v>Siemon</v>
      </c>
      <c r="E566" s="10" t="str">
        <f>'Inventory master'!E566</f>
        <v>1579.3</v>
      </c>
      <c r="F566" s="10" t="str">
        <f>'Inventory master'!F566</f>
        <v>2151.54</v>
      </c>
      <c r="G566" s="10" t="str">
        <f>'Inventory master'!G566</f>
        <v>83</v>
      </c>
      <c r="H566" s="8">
        <f>IFERROR(_xlfn.XLOOKUP(A566, 'Opening stock'!A566:A1165, 'Opening stock'!E566:E1165), "")</f>
        <v>1245</v>
      </c>
      <c r="I566" s="8">
        <f>IFERROR(SUMIF(Table3[Item ID],'Inventory calculations'!A566,Table3[Quantity]),0)</f>
        <v>0</v>
      </c>
      <c r="J566" s="8">
        <f>IFERROR(SUMIF(Table4[Item ID],'Inventory calculations'!A566,Table4[Quantity Purchased]),0)</f>
        <v>10</v>
      </c>
      <c r="K566" s="10">
        <f t="shared" si="34"/>
        <v>1255</v>
      </c>
      <c r="L566" s="6" t="str">
        <f t="shared" si="35"/>
        <v>OK</v>
      </c>
      <c r="M566" s="13">
        <f t="shared" si="32"/>
        <v>1982021.5</v>
      </c>
      <c r="N566" s="8">
        <f>Table5[[#This Row],[Total Qty Sold]]*Table5[[#This Row],[Unit Price]]</f>
        <v>0</v>
      </c>
      <c r="O566" s="9"/>
      <c r="P566" s="40" t="str">
        <f ca="1">IF(Table5[[#This Row],[Last sale Date]]="","Never Sold",TODAY()-Table5[[#This Row],[Last sale Date]])</f>
        <v>Never Sold</v>
      </c>
      <c r="Q566" s="6" t="str">
        <f>IF(Table5[[#This Row],[Re order Level]]&lt;=Table5[[#This Row],[Current stock]],"ORDERASAP","OK BUT BE CHECKING")</f>
        <v>OK BUT BE CHECKING</v>
      </c>
      <c r="R566" s="6" t="str">
        <f t="shared" si="33"/>
        <v>ACTIVE</v>
      </c>
      <c r="S566" s="8">
        <f>IF(Table5[[#This Row],[DEADSTOCK FLAG]]="DEAD",Table5[[#This Row],[Inventory Value]],0)</f>
        <v>0</v>
      </c>
    </row>
    <row r="567" spans="1:19" x14ac:dyDescent="0.25">
      <c r="A567" s="24" t="str">
        <f>'Inventory master'!A567</f>
        <v>ITEM566-A</v>
      </c>
      <c r="B567" s="6" t="str">
        <f>'Inventory master'!B567</f>
        <v>Fixed Attenuator 10dB</v>
      </c>
      <c r="C567" s="6" t="str">
        <f>'Inventory master'!C567</f>
        <v>Attenuators</v>
      </c>
      <c r="D567" s="6" t="str">
        <f>'Inventory master'!D567</f>
        <v>AFL</v>
      </c>
      <c r="E567" s="10" t="str">
        <f>'Inventory master'!E567</f>
        <v>512.2</v>
      </c>
      <c r="F567" s="10" t="str">
        <f>'Inventory master'!F567</f>
        <v>840.62</v>
      </c>
      <c r="G567" s="10" t="str">
        <f>'Inventory master'!G567</f>
        <v>98</v>
      </c>
      <c r="H567" s="8">
        <f>IFERROR(_xlfn.XLOOKUP(A567, 'Opening stock'!A567:A1166, 'Opening stock'!E567:E1166), "")</f>
        <v>1470</v>
      </c>
      <c r="I567" s="8">
        <f>IFERROR(SUMIF(Table3[Item ID],'Inventory calculations'!A567,Table3[Quantity]),0)</f>
        <v>0</v>
      </c>
      <c r="J567" s="8">
        <f>IFERROR(SUMIF(Table4[Item ID],'Inventory calculations'!A567,Table4[Quantity Purchased]),0)</f>
        <v>0</v>
      </c>
      <c r="K567" s="10">
        <f t="shared" si="34"/>
        <v>1470</v>
      </c>
      <c r="L567" s="6" t="str">
        <f t="shared" si="35"/>
        <v>OK</v>
      </c>
      <c r="M567" s="13">
        <f t="shared" si="32"/>
        <v>752934.00000000012</v>
      </c>
      <c r="N567" s="8">
        <f>Table5[[#This Row],[Total Qty Sold]]*Table5[[#This Row],[Unit Price]]</f>
        <v>0</v>
      </c>
      <c r="O567" s="9"/>
      <c r="P567" s="40" t="str">
        <f ca="1">IF(Table5[[#This Row],[Last sale Date]]="","Never Sold",TODAY()-Table5[[#This Row],[Last sale Date]])</f>
        <v>Never Sold</v>
      </c>
      <c r="Q567" s="6" t="str">
        <f>IF(Table5[[#This Row],[Re order Level]]&lt;=Table5[[#This Row],[Current stock]],"ORDERASAP","OK BUT BE CHECKING")</f>
        <v>OK BUT BE CHECKING</v>
      </c>
      <c r="R567" s="6" t="str">
        <f t="shared" si="33"/>
        <v>ACTIVE</v>
      </c>
      <c r="S567" s="8">
        <f>IF(Table5[[#This Row],[DEADSTOCK FLAG]]="DEAD",Table5[[#This Row],[Inventory Value]],0)</f>
        <v>0</v>
      </c>
    </row>
    <row r="568" spans="1:19" x14ac:dyDescent="0.25">
      <c r="A568" s="24" t="str">
        <f>'Inventory master'!A568</f>
        <v>ITEM567-A</v>
      </c>
      <c r="B568" s="6" t="str">
        <f>'Inventory master'!B568</f>
        <v>SFP Transceiver</v>
      </c>
      <c r="C568" s="6" t="str">
        <f>'Inventory master'!C568</f>
        <v>Transceivers</v>
      </c>
      <c r="D568" s="6" t="str">
        <f>'Inventory master'!D568</f>
        <v>Belden</v>
      </c>
      <c r="E568" s="10" t="str">
        <f>'Inventory master'!E568</f>
        <v>1089.27</v>
      </c>
      <c r="F568" s="10" t="str">
        <f>'Inventory master'!F568</f>
        <v>2052.75</v>
      </c>
      <c r="G568" s="10" t="str">
        <f>'Inventory master'!G568</f>
        <v>51</v>
      </c>
      <c r="H568" s="8">
        <f>IFERROR(_xlfn.XLOOKUP(A568, 'Opening stock'!A568:A1167, 'Opening stock'!E568:E1167), "")</f>
        <v>765</v>
      </c>
      <c r="I568" s="8">
        <f>IFERROR(SUMIF(Table3[Item ID],'Inventory calculations'!A568,Table3[Quantity]),0)</f>
        <v>0</v>
      </c>
      <c r="J568" s="8">
        <f>IFERROR(SUMIF(Table4[Item ID],'Inventory calculations'!A568,Table4[Quantity Purchased]),0)</f>
        <v>2</v>
      </c>
      <c r="K568" s="10">
        <f t="shared" si="34"/>
        <v>767</v>
      </c>
      <c r="L568" s="6" t="str">
        <f t="shared" si="35"/>
        <v>OK</v>
      </c>
      <c r="M568" s="13">
        <f t="shared" si="32"/>
        <v>835470.09</v>
      </c>
      <c r="N568" s="8">
        <f>Table5[[#This Row],[Total Qty Sold]]*Table5[[#This Row],[Unit Price]]</f>
        <v>0</v>
      </c>
      <c r="O568" s="9"/>
      <c r="P568" s="40" t="str">
        <f ca="1">IF(Table5[[#This Row],[Last sale Date]]="","Never Sold",TODAY()-Table5[[#This Row],[Last sale Date]])</f>
        <v>Never Sold</v>
      </c>
      <c r="Q568" s="6" t="str">
        <f>IF(Table5[[#This Row],[Re order Level]]&lt;=Table5[[#This Row],[Current stock]],"ORDERASAP","OK BUT BE CHECKING")</f>
        <v>OK BUT BE CHECKING</v>
      </c>
      <c r="R568" s="6" t="str">
        <f t="shared" si="33"/>
        <v>ACTIVE</v>
      </c>
      <c r="S568" s="8">
        <f>IF(Table5[[#This Row],[DEADSTOCK FLAG]]="DEAD",Table5[[#This Row],[Inventory Value]],0)</f>
        <v>0</v>
      </c>
    </row>
    <row r="569" spans="1:19" x14ac:dyDescent="0.25">
      <c r="A569" s="24" t="str">
        <f>'Inventory master'!A569</f>
        <v>ITEM568-A</v>
      </c>
      <c r="B569" s="6" t="str">
        <f>'Inventory master'!B569</f>
        <v>Fixed Attenuator 10dB</v>
      </c>
      <c r="C569" s="6" t="str">
        <f>'Inventory master'!C569</f>
        <v>Attenuators</v>
      </c>
      <c r="D569" s="6" t="str">
        <f>'Inventory master'!D569</f>
        <v>AFL</v>
      </c>
      <c r="E569" s="10" t="str">
        <f>'Inventory master'!E569</f>
        <v>1588.85</v>
      </c>
      <c r="F569" s="10" t="str">
        <f>'Inventory master'!F569</f>
        <v>3015.94</v>
      </c>
      <c r="G569" s="10" t="str">
        <f>'Inventory master'!G569</f>
        <v>47</v>
      </c>
      <c r="H569" s="8">
        <f>IFERROR(_xlfn.XLOOKUP(A569, 'Opening stock'!A569:A1168, 'Opening stock'!E569:E1168), "")</f>
        <v>705</v>
      </c>
      <c r="I569" s="8">
        <f>IFERROR(SUMIF(Table3[Item ID],'Inventory calculations'!A569,Table3[Quantity]),0)</f>
        <v>0</v>
      </c>
      <c r="J569" s="8">
        <f>IFERROR(SUMIF(Table4[Item ID],'Inventory calculations'!A569,Table4[Quantity Purchased]),0)</f>
        <v>24</v>
      </c>
      <c r="K569" s="10">
        <f t="shared" si="34"/>
        <v>729</v>
      </c>
      <c r="L569" s="6" t="str">
        <f t="shared" si="35"/>
        <v>OK</v>
      </c>
      <c r="M569" s="13">
        <f t="shared" si="32"/>
        <v>1158271.6499999999</v>
      </c>
      <c r="N569" s="8">
        <f>Table5[[#This Row],[Total Qty Sold]]*Table5[[#This Row],[Unit Price]]</f>
        <v>0</v>
      </c>
      <c r="O569" s="9"/>
      <c r="P569" s="40" t="str">
        <f ca="1">IF(Table5[[#This Row],[Last sale Date]]="","Never Sold",TODAY()-Table5[[#This Row],[Last sale Date]])</f>
        <v>Never Sold</v>
      </c>
      <c r="Q569" s="6" t="str">
        <f>IF(Table5[[#This Row],[Re order Level]]&lt;=Table5[[#This Row],[Current stock]],"ORDERASAP","OK BUT BE CHECKING")</f>
        <v>OK BUT BE CHECKING</v>
      </c>
      <c r="R569" s="6" t="str">
        <f t="shared" si="33"/>
        <v>ACTIVE</v>
      </c>
      <c r="S569" s="8">
        <f>IF(Table5[[#This Row],[DEADSTOCK FLAG]]="DEAD",Table5[[#This Row],[Inventory Value]],0)</f>
        <v>0</v>
      </c>
    </row>
    <row r="570" spans="1:19" x14ac:dyDescent="0.25">
      <c r="A570" s="24" t="str">
        <f>'Inventory master'!A570</f>
        <v>ITEM569-A</v>
      </c>
      <c r="B570" s="6" t="str">
        <f>'Inventory master'!B570</f>
        <v>Fiber Adapter</v>
      </c>
      <c r="C570" s="6" t="str">
        <f>'Inventory master'!C570</f>
        <v>Accessories</v>
      </c>
      <c r="D570" s="6" t="str">
        <f>'Inventory master'!D570</f>
        <v>Panduit</v>
      </c>
      <c r="E570" s="10" t="str">
        <f>'Inventory master'!E570</f>
        <v>1541.86</v>
      </c>
      <c r="F570" s="10" t="str">
        <f>'Inventory master'!F570</f>
        <v>1845.94</v>
      </c>
      <c r="G570" s="10" t="str">
        <f>'Inventory master'!G570</f>
        <v>94</v>
      </c>
      <c r="H570" s="8">
        <f>IFERROR(_xlfn.XLOOKUP(A570, 'Opening stock'!A570:A1169, 'Opening stock'!E570:E1169), "")</f>
        <v>1410</v>
      </c>
      <c r="I570" s="8">
        <f>IFERROR(SUMIF(Table3[Item ID],'Inventory calculations'!A570,Table3[Quantity]),0)</f>
        <v>0</v>
      </c>
      <c r="J570" s="8">
        <f>IFERROR(SUMIF(Table4[Item ID],'Inventory calculations'!A570,Table4[Quantity Purchased]),0)</f>
        <v>0</v>
      </c>
      <c r="K570" s="10">
        <f t="shared" si="34"/>
        <v>1410</v>
      </c>
      <c r="L570" s="6" t="str">
        <f t="shared" si="35"/>
        <v>OK</v>
      </c>
      <c r="M570" s="13">
        <f t="shared" si="32"/>
        <v>2174022.5999999996</v>
      </c>
      <c r="N570" s="8">
        <f>Table5[[#This Row],[Total Qty Sold]]*Table5[[#This Row],[Unit Price]]</f>
        <v>0</v>
      </c>
      <c r="O570" s="9"/>
      <c r="P570" s="40" t="str">
        <f ca="1">IF(Table5[[#This Row],[Last sale Date]]="","Never Sold",TODAY()-Table5[[#This Row],[Last sale Date]])</f>
        <v>Never Sold</v>
      </c>
      <c r="Q570" s="6" t="str">
        <f>IF(Table5[[#This Row],[Re order Level]]&lt;=Table5[[#This Row],[Current stock]],"ORDERASAP","OK BUT BE CHECKING")</f>
        <v>OK BUT BE CHECKING</v>
      </c>
      <c r="R570" s="6" t="str">
        <f t="shared" si="33"/>
        <v>ACTIVE</v>
      </c>
      <c r="S570" s="8">
        <f>IF(Table5[[#This Row],[DEADSTOCK FLAG]]="DEAD",Table5[[#This Row],[Inventory Value]],0)</f>
        <v>0</v>
      </c>
    </row>
    <row r="571" spans="1:19" x14ac:dyDescent="0.25">
      <c r="A571" s="24" t="str">
        <f>'Inventory master'!A571</f>
        <v>ITEM570-A</v>
      </c>
      <c r="B571" s="6" t="str">
        <f>'Inventory master'!B571</f>
        <v>Fiber Optic Crimper</v>
      </c>
      <c r="C571" s="6" t="str">
        <f>'Inventory master'!C571</f>
        <v>Tools</v>
      </c>
      <c r="D571" s="6" t="str">
        <f>'Inventory master'!D571</f>
        <v>Corning Inc.</v>
      </c>
      <c r="E571" s="10" t="str">
        <f>'Inventory master'!E571</f>
        <v>1271.0</v>
      </c>
      <c r="F571" s="10" t="str">
        <f>'Inventory master'!F571</f>
        <v>1719.72</v>
      </c>
      <c r="G571" s="10" t="str">
        <f>'Inventory master'!G571</f>
        <v>67</v>
      </c>
      <c r="H571" s="8">
        <f>IFERROR(_xlfn.XLOOKUP(A571, 'Opening stock'!A571:A1170, 'Opening stock'!E571:E1170), "")</f>
        <v>1005</v>
      </c>
      <c r="I571" s="8">
        <f>IFERROR(SUMIF(Table3[Item ID],'Inventory calculations'!A571,Table3[Quantity]),0)</f>
        <v>0</v>
      </c>
      <c r="J571" s="8">
        <f>IFERROR(SUMIF(Table4[Item ID],'Inventory calculations'!A571,Table4[Quantity Purchased]),0)</f>
        <v>8</v>
      </c>
      <c r="K571" s="10">
        <f t="shared" si="34"/>
        <v>1013</v>
      </c>
      <c r="L571" s="6" t="str">
        <f t="shared" si="35"/>
        <v>OK</v>
      </c>
      <c r="M571" s="13">
        <f t="shared" si="32"/>
        <v>1287523</v>
      </c>
      <c r="N571" s="8">
        <f>Table5[[#This Row],[Total Qty Sold]]*Table5[[#This Row],[Unit Price]]</f>
        <v>0</v>
      </c>
      <c r="O571" s="9"/>
      <c r="P571" s="40" t="str">
        <f ca="1">IF(Table5[[#This Row],[Last sale Date]]="","Never Sold",TODAY()-Table5[[#This Row],[Last sale Date]])</f>
        <v>Never Sold</v>
      </c>
      <c r="Q571" s="6" t="str">
        <f>IF(Table5[[#This Row],[Re order Level]]&lt;=Table5[[#This Row],[Current stock]],"ORDERASAP","OK BUT BE CHECKING")</f>
        <v>OK BUT BE CHECKING</v>
      </c>
      <c r="R571" s="6" t="str">
        <f t="shared" si="33"/>
        <v>ACTIVE</v>
      </c>
      <c r="S571" s="8">
        <f>IF(Table5[[#This Row],[DEADSTOCK FLAG]]="DEAD",Table5[[#This Row],[Inventory Value]],0)</f>
        <v>0</v>
      </c>
    </row>
    <row r="572" spans="1:19" x14ac:dyDescent="0.25">
      <c r="A572" s="24" t="str">
        <f>'Inventory master'!A572</f>
        <v>ITEM571-A</v>
      </c>
      <c r="B572" s="6" t="str">
        <f>'Inventory master'!B572</f>
        <v>QSFP28 Transceiver</v>
      </c>
      <c r="C572" s="6" t="str">
        <f>'Inventory master'!C572</f>
        <v>Transceivers</v>
      </c>
      <c r="D572" s="6" t="str">
        <f>'Inventory master'!D572</f>
        <v>HellermannTyton</v>
      </c>
      <c r="E572" s="10" t="str">
        <f>'Inventory master'!E572</f>
        <v>387.06</v>
      </c>
      <c r="F572" s="10" t="str">
        <f>'Inventory master'!F572</f>
        <v>427.31</v>
      </c>
      <c r="G572" s="10" t="str">
        <f>'Inventory master'!G572</f>
        <v>48</v>
      </c>
      <c r="H572" s="8">
        <f>IFERROR(_xlfn.XLOOKUP(A572, 'Opening stock'!A572:A1171, 'Opening stock'!E572:E1171), "")</f>
        <v>720</v>
      </c>
      <c r="I572" s="8">
        <f>IFERROR(SUMIF(Table3[Item ID],'Inventory calculations'!A572,Table3[Quantity]),0)</f>
        <v>12</v>
      </c>
      <c r="J572" s="8">
        <f>IFERROR(SUMIF(Table4[Item ID],'Inventory calculations'!A572,Table4[Quantity Purchased]),0)</f>
        <v>3</v>
      </c>
      <c r="K572" s="10">
        <f t="shared" si="34"/>
        <v>711</v>
      </c>
      <c r="L572" s="6" t="str">
        <f t="shared" si="35"/>
        <v>OK</v>
      </c>
      <c r="M572" s="13">
        <f t="shared" si="32"/>
        <v>275199.65999999997</v>
      </c>
      <c r="N572" s="8">
        <f>Table5[[#This Row],[Total Qty Sold]]*Table5[[#This Row],[Unit Price]]</f>
        <v>5127.72</v>
      </c>
      <c r="O572" s="9">
        <f>IFERROR(_xlfn.MAXIFS(Table3[Date],Table3[Item ID],Table5[[#This Row],[Item ID]]),"")</f>
        <v>45906</v>
      </c>
      <c r="P572" s="40">
        <f ca="1">IF(Table5[[#This Row],[Last sale Date]]="","Never Sold",TODAY()-Table5[[#This Row],[Last sale Date]])</f>
        <v>146</v>
      </c>
      <c r="Q572" s="6" t="str">
        <f>IF(Table5[[#This Row],[Re order Level]]&lt;=Table5[[#This Row],[Current stock]],"ORDERASAP","OK BUT BE CHECKING")</f>
        <v>OK BUT BE CHECKING</v>
      </c>
      <c r="R572" s="6" t="str">
        <f t="shared" si="33"/>
        <v>ACTIVE</v>
      </c>
      <c r="S572" s="8">
        <f>IF(Table5[[#This Row],[DEADSTOCK FLAG]]="DEAD",Table5[[#This Row],[Inventory Value]],0)</f>
        <v>0</v>
      </c>
    </row>
    <row r="573" spans="1:19" x14ac:dyDescent="0.25">
      <c r="A573" s="24" t="str">
        <f>'Inventory master'!A573</f>
        <v>ITEM572-A</v>
      </c>
      <c r="B573" s="6" t="str">
        <f>'Inventory master'!B573</f>
        <v>1x4 PLC Splitter</v>
      </c>
      <c r="C573" s="6" t="str">
        <f>'Inventory master'!C573</f>
        <v>Splitters</v>
      </c>
      <c r="D573" s="6" t="str">
        <f>'Inventory master'!D573</f>
        <v>Amphenol</v>
      </c>
      <c r="E573" s="10" t="str">
        <f>'Inventory master'!E573</f>
        <v>1545.77</v>
      </c>
      <c r="F573" s="10" t="str">
        <f>'Inventory master'!F573</f>
        <v>1779.05</v>
      </c>
      <c r="G573" s="10" t="str">
        <f>'Inventory master'!G573</f>
        <v>47</v>
      </c>
      <c r="H573" s="8">
        <f>IFERROR(_xlfn.XLOOKUP(A573, 'Opening stock'!A573:A1172, 'Opening stock'!E573:E1172), "")</f>
        <v>705</v>
      </c>
      <c r="I573" s="8">
        <f>IFERROR(SUMIF(Table3[Item ID],'Inventory calculations'!A573,Table3[Quantity]),0)</f>
        <v>0</v>
      </c>
      <c r="J573" s="8">
        <f>IFERROR(SUMIF(Table4[Item ID],'Inventory calculations'!A573,Table4[Quantity Purchased]),0)</f>
        <v>8</v>
      </c>
      <c r="K573" s="10">
        <f t="shared" si="34"/>
        <v>713</v>
      </c>
      <c r="L573" s="6" t="str">
        <f t="shared" si="35"/>
        <v>OK</v>
      </c>
      <c r="M573" s="13">
        <f t="shared" si="32"/>
        <v>1102134.01</v>
      </c>
      <c r="N573" s="8">
        <f>Table5[[#This Row],[Total Qty Sold]]*Table5[[#This Row],[Unit Price]]</f>
        <v>0</v>
      </c>
      <c r="O573" s="9"/>
      <c r="P573" s="40" t="str">
        <f ca="1">IF(Table5[[#This Row],[Last sale Date]]="","Never Sold",TODAY()-Table5[[#This Row],[Last sale Date]])</f>
        <v>Never Sold</v>
      </c>
      <c r="Q573" s="6" t="str">
        <f>IF(Table5[[#This Row],[Re order Level]]&lt;=Table5[[#This Row],[Current stock]],"ORDERASAP","OK BUT BE CHECKING")</f>
        <v>OK BUT BE CHECKING</v>
      </c>
      <c r="R573" s="6" t="str">
        <f t="shared" si="33"/>
        <v>ACTIVE</v>
      </c>
      <c r="S573" s="8">
        <f>IF(Table5[[#This Row],[DEADSTOCK FLAG]]="DEAD",Table5[[#This Row],[Inventory Value]],0)</f>
        <v>0</v>
      </c>
    </row>
    <row r="574" spans="1:19" x14ac:dyDescent="0.25">
      <c r="A574" s="24" t="str">
        <f>'Inventory master'!A574</f>
        <v>ITEM573-A</v>
      </c>
      <c r="B574" s="6" t="str">
        <f>'Inventory master'!B574</f>
        <v>Fixed Attenuator 3dB</v>
      </c>
      <c r="C574" s="6" t="str">
        <f>'Inventory master'!C574</f>
        <v>Attenuators</v>
      </c>
      <c r="D574" s="6" t="str">
        <f>'Inventory master'!D574</f>
        <v>CommScope</v>
      </c>
      <c r="E574" s="10" t="str">
        <f>'Inventory master'!E574</f>
        <v>1856.93</v>
      </c>
      <c r="F574" s="10" t="str">
        <f>'Inventory master'!F574</f>
        <v>2364.61</v>
      </c>
      <c r="G574" s="10" t="str">
        <f>'Inventory master'!G574</f>
        <v>10</v>
      </c>
      <c r="H574" s="8">
        <f>IFERROR(_xlfn.XLOOKUP(A574, 'Opening stock'!A574:A1173, 'Opening stock'!E574:E1173), "")</f>
        <v>150</v>
      </c>
      <c r="I574" s="8">
        <f>IFERROR(SUMIF(Table3[Item ID],'Inventory calculations'!A574,Table3[Quantity]),0)</f>
        <v>213</v>
      </c>
      <c r="J574" s="8">
        <f>IFERROR(SUMIF(Table4[Item ID],'Inventory calculations'!A574,Table4[Quantity Purchased]),0)</f>
        <v>0</v>
      </c>
      <c r="K574" s="10">
        <f t="shared" si="34"/>
        <v>-63</v>
      </c>
      <c r="L574" s="6" t="str">
        <f t="shared" si="35"/>
        <v>STOCK ISSUE</v>
      </c>
      <c r="M574" s="13">
        <f t="shared" si="32"/>
        <v>-116986.59000000001</v>
      </c>
      <c r="N574" s="8">
        <f>Table5[[#This Row],[Total Qty Sold]]*Table5[[#This Row],[Unit Price]]</f>
        <v>503661.93000000005</v>
      </c>
      <c r="O574" s="9">
        <f>IFERROR(_xlfn.MAXIFS(Table3[Date],Table3[Item ID],Table5[[#This Row],[Item ID]]),"")</f>
        <v>46005</v>
      </c>
      <c r="P574" s="40">
        <f ca="1">IF(Table5[[#This Row],[Last sale Date]]="","Never Sold",TODAY()-Table5[[#This Row],[Last sale Date]])</f>
        <v>47</v>
      </c>
      <c r="Q574" s="6" t="str">
        <f>IF(Table5[[#This Row],[Re order Level]]&lt;=Table5[[#This Row],[Current stock]],"ORDERASAP","OK BUT BE CHECKING")</f>
        <v>OK BUT BE CHECKING</v>
      </c>
      <c r="R574" s="6" t="str">
        <f t="shared" si="33"/>
        <v>ACTIVE</v>
      </c>
      <c r="S574" s="8">
        <f>IF(Table5[[#This Row],[DEADSTOCK FLAG]]="DEAD",Table5[[#This Row],[Inventory Value]],0)</f>
        <v>0</v>
      </c>
    </row>
    <row r="575" spans="1:19" x14ac:dyDescent="0.25">
      <c r="A575" s="24" t="str">
        <f>'Inventory master'!A575</f>
        <v>ITEM574-A</v>
      </c>
      <c r="B575" s="6" t="str">
        <f>'Inventory master'!B575</f>
        <v>ST APC Connector</v>
      </c>
      <c r="C575" s="6" t="str">
        <f>'Inventory master'!C575</f>
        <v>Connectors</v>
      </c>
      <c r="D575" s="6" t="str">
        <f>'Inventory master'!D575</f>
        <v>Leviton</v>
      </c>
      <c r="E575" s="10" t="str">
        <f>'Inventory master'!E575</f>
        <v>394.32</v>
      </c>
      <c r="F575" s="10" t="str">
        <f>'Inventory master'!F575</f>
        <v>732.85</v>
      </c>
      <c r="G575" s="10" t="str">
        <f>'Inventory master'!G575</f>
        <v>58</v>
      </c>
      <c r="H575" s="8">
        <f>IFERROR(_xlfn.XLOOKUP(A575, 'Opening stock'!A575:A1174, 'Opening stock'!E575:E1174), "")</f>
        <v>870</v>
      </c>
      <c r="I575" s="8">
        <f>IFERROR(SUMIF(Table3[Item ID],'Inventory calculations'!A575,Table3[Quantity]),0)</f>
        <v>0</v>
      </c>
      <c r="J575" s="8">
        <f>IFERROR(SUMIF(Table4[Item ID],'Inventory calculations'!A575,Table4[Quantity Purchased]),0)</f>
        <v>15</v>
      </c>
      <c r="K575" s="10">
        <f t="shared" si="34"/>
        <v>885</v>
      </c>
      <c r="L575" s="6" t="str">
        <f t="shared" si="35"/>
        <v>OK</v>
      </c>
      <c r="M575" s="13">
        <f t="shared" si="32"/>
        <v>348973.2</v>
      </c>
      <c r="N575" s="8">
        <f>Table5[[#This Row],[Total Qty Sold]]*Table5[[#This Row],[Unit Price]]</f>
        <v>0</v>
      </c>
      <c r="O575" s="9"/>
      <c r="P575" s="40" t="str">
        <f ca="1">IF(Table5[[#This Row],[Last sale Date]]="","Never Sold",TODAY()-Table5[[#This Row],[Last sale Date]])</f>
        <v>Never Sold</v>
      </c>
      <c r="Q575" s="6" t="str">
        <f>IF(Table5[[#This Row],[Re order Level]]&lt;=Table5[[#This Row],[Current stock]],"ORDERASAP","OK BUT BE CHECKING")</f>
        <v>OK BUT BE CHECKING</v>
      </c>
      <c r="R575" s="6" t="str">
        <f t="shared" si="33"/>
        <v>ACTIVE</v>
      </c>
      <c r="S575" s="8">
        <f>IF(Table5[[#This Row],[DEADSTOCK FLAG]]="DEAD",Table5[[#This Row],[Inventory Value]],0)</f>
        <v>0</v>
      </c>
    </row>
    <row r="576" spans="1:19" x14ac:dyDescent="0.25">
      <c r="A576" s="24" t="str">
        <f>'Inventory master'!A576</f>
        <v>ITEM575-A</v>
      </c>
      <c r="B576" s="6" t="str">
        <f>'Inventory master'!B576</f>
        <v>Fusion Splicer</v>
      </c>
      <c r="C576" s="6" t="str">
        <f>'Inventory master'!C576</f>
        <v>Splicers</v>
      </c>
      <c r="D576" s="6" t="str">
        <f>'Inventory master'!D576</f>
        <v>Belden</v>
      </c>
      <c r="E576" s="10">
        <f>'Inventory master'!E576</f>
        <v>1166.22</v>
      </c>
      <c r="F576" s="10" t="str">
        <f>'Inventory master'!F576</f>
        <v>2262.65</v>
      </c>
      <c r="G576" s="10" t="str">
        <f>'Inventory master'!G576</f>
        <v>17</v>
      </c>
      <c r="H576" s="8">
        <f>IFERROR(_xlfn.XLOOKUP(A576, 'Opening stock'!A576:A1175, 'Opening stock'!E576:E1175), "")</f>
        <v>255</v>
      </c>
      <c r="I576" s="8">
        <f>IFERROR(SUMIF(Table3[Item ID],'Inventory calculations'!A576,Table3[Quantity]),0)</f>
        <v>0</v>
      </c>
      <c r="J576" s="8">
        <f>IFERROR(SUMIF(Table4[Item ID],'Inventory calculations'!A576,Table4[Quantity Purchased]),0)</f>
        <v>0</v>
      </c>
      <c r="K576" s="10">
        <f t="shared" si="34"/>
        <v>255</v>
      </c>
      <c r="L576" s="6" t="str">
        <f t="shared" si="35"/>
        <v>OK</v>
      </c>
      <c r="M576" s="13">
        <f t="shared" si="32"/>
        <v>297386.10000000003</v>
      </c>
      <c r="N576" s="8">
        <f>Table5[[#This Row],[Total Qty Sold]]*Table5[[#This Row],[Unit Price]]</f>
        <v>0</v>
      </c>
      <c r="O576" s="9"/>
      <c r="P576" s="40" t="str">
        <f ca="1">IF(Table5[[#This Row],[Last sale Date]]="","Never Sold",TODAY()-Table5[[#This Row],[Last sale Date]])</f>
        <v>Never Sold</v>
      </c>
      <c r="Q576" s="6" t="str">
        <f>IF(Table5[[#This Row],[Re order Level]]&lt;=Table5[[#This Row],[Current stock]],"ORDERASAP","OK BUT BE CHECKING")</f>
        <v>OK BUT BE CHECKING</v>
      </c>
      <c r="R576" s="6" t="str">
        <f t="shared" si="33"/>
        <v>ACTIVE</v>
      </c>
      <c r="S576" s="8">
        <f>IF(Table5[[#This Row],[DEADSTOCK FLAG]]="DEAD",Table5[[#This Row],[Inventory Value]],0)</f>
        <v>0</v>
      </c>
    </row>
    <row r="577" spans="1:19" x14ac:dyDescent="0.25">
      <c r="A577" s="24" t="str">
        <f>'Inventory master'!A577</f>
        <v>ITEM576-A</v>
      </c>
      <c r="B577" s="6" t="str">
        <f>'Inventory master'!B577</f>
        <v>Fusion Splicer</v>
      </c>
      <c r="C577" s="6" t="str">
        <f>'Inventory master'!C577</f>
        <v>Splicers</v>
      </c>
      <c r="D577" s="6" t="str">
        <f>'Inventory master'!D577</f>
        <v>Siemon</v>
      </c>
      <c r="E577" s="10">
        <f>'Inventory master'!E577</f>
        <v>1075.3399999999999</v>
      </c>
      <c r="F577" s="10" t="str">
        <f>'Inventory master'!F577</f>
        <v>1659.57</v>
      </c>
      <c r="G577" s="10" t="str">
        <f>'Inventory master'!G577</f>
        <v>51</v>
      </c>
      <c r="H577" s="8">
        <f>IFERROR(_xlfn.XLOOKUP(A577, 'Opening stock'!A577:A1176, 'Opening stock'!E577:E1176), "")</f>
        <v>765</v>
      </c>
      <c r="I577" s="8">
        <f>IFERROR(SUMIF(Table3[Item ID],'Inventory calculations'!A577,Table3[Quantity]),0)</f>
        <v>31</v>
      </c>
      <c r="J577" s="8">
        <f>IFERROR(SUMIF(Table4[Item ID],'Inventory calculations'!A577,Table4[Quantity Purchased]),0)</f>
        <v>3</v>
      </c>
      <c r="K577" s="10">
        <f t="shared" si="34"/>
        <v>737</v>
      </c>
      <c r="L577" s="6" t="str">
        <f t="shared" si="35"/>
        <v>OK</v>
      </c>
      <c r="M577" s="13">
        <f t="shared" si="32"/>
        <v>792525.58</v>
      </c>
      <c r="N577" s="8">
        <f>Table5[[#This Row],[Total Qty Sold]]*Table5[[#This Row],[Unit Price]]</f>
        <v>51446.67</v>
      </c>
      <c r="O577" s="9">
        <f>IFERROR(_xlfn.MAXIFS(Table3[Date],Table3[Item ID],Table5[[#This Row],[Item ID]]),"")</f>
        <v>45781</v>
      </c>
      <c r="P577" s="40">
        <f ca="1">IF(Table5[[#This Row],[Last sale Date]]="","Never Sold",TODAY()-Table5[[#This Row],[Last sale Date]])</f>
        <v>271</v>
      </c>
      <c r="Q577" s="6" t="str">
        <f>IF(Table5[[#This Row],[Re order Level]]&lt;=Table5[[#This Row],[Current stock]],"ORDERASAP","OK BUT BE CHECKING")</f>
        <v>OK BUT BE CHECKING</v>
      </c>
      <c r="R577" s="6" t="str">
        <f t="shared" si="33"/>
        <v>ACTIVE</v>
      </c>
      <c r="S577" s="8">
        <f>IF(Table5[[#This Row],[DEADSTOCK FLAG]]="DEAD",Table5[[#This Row],[Inventory Value]],0)</f>
        <v>0</v>
      </c>
    </row>
    <row r="578" spans="1:19" x14ac:dyDescent="0.25">
      <c r="A578" s="24" t="str">
        <f>'Inventory master'!A578</f>
        <v>ITEM577-A</v>
      </c>
      <c r="B578" s="6" t="str">
        <f>'Inventory master'!B578</f>
        <v>48-Port Fiber Patch Panel</v>
      </c>
      <c r="C578" s="6" t="str">
        <f>'Inventory master'!C578</f>
        <v>Patch Panels</v>
      </c>
      <c r="D578" s="6" t="str">
        <f>'Inventory master'!D578</f>
        <v>Panduit</v>
      </c>
      <c r="E578" s="10">
        <f>'Inventory master'!E578</f>
        <v>1178.28</v>
      </c>
      <c r="F578" s="10" t="str">
        <f>'Inventory master'!F578</f>
        <v>1470.76</v>
      </c>
      <c r="G578" s="10" t="str">
        <f>'Inventory master'!G578</f>
        <v>40</v>
      </c>
      <c r="H578" s="8">
        <f>IFERROR(_xlfn.XLOOKUP(A578, 'Opening stock'!A578:A1177, 'Opening stock'!E578:E1177), "")</f>
        <v>600</v>
      </c>
      <c r="I578" s="8">
        <f>IFERROR(SUMIF(Table3[Item ID],'Inventory calculations'!A578,Table3[Quantity]),0)</f>
        <v>0</v>
      </c>
      <c r="J578" s="8">
        <f>IFERROR(SUMIF(Table4[Item ID],'Inventory calculations'!A578,Table4[Quantity Purchased]),0)</f>
        <v>50</v>
      </c>
      <c r="K578" s="10">
        <f t="shared" si="34"/>
        <v>650</v>
      </c>
      <c r="L578" s="6" t="str">
        <f t="shared" si="35"/>
        <v>OK</v>
      </c>
      <c r="M578" s="13">
        <f t="shared" ref="M578:M601" si="36">K578*E578</f>
        <v>765882</v>
      </c>
      <c r="N578" s="8">
        <f>Table5[[#This Row],[Total Qty Sold]]*Table5[[#This Row],[Unit Price]]</f>
        <v>0</v>
      </c>
      <c r="O578" s="9"/>
      <c r="P578" s="40" t="str">
        <f ca="1">IF(Table5[[#This Row],[Last sale Date]]="","Never Sold",TODAY()-Table5[[#This Row],[Last sale Date]])</f>
        <v>Never Sold</v>
      </c>
      <c r="Q578" s="6" t="str">
        <f>IF(Table5[[#This Row],[Re order Level]]&lt;=Table5[[#This Row],[Current stock]],"ORDERASAP","OK BUT BE CHECKING")</f>
        <v>OK BUT BE CHECKING</v>
      </c>
      <c r="R578" s="6" t="str">
        <f t="shared" ref="R578:R601" si="37">IF(AND(ISNUMBER(B578), B578 &gt; 60), "DEAD", "ACTIVE")</f>
        <v>ACTIVE</v>
      </c>
      <c r="S578" s="8">
        <f>IF(Table5[[#This Row],[DEADSTOCK FLAG]]="DEAD",Table5[[#This Row],[Inventory Value]],0)</f>
        <v>0</v>
      </c>
    </row>
    <row r="579" spans="1:19" x14ac:dyDescent="0.25">
      <c r="A579" s="24" t="str">
        <f>'Inventory master'!A579</f>
        <v>ITEM578-A</v>
      </c>
      <c r="B579" s="6" t="str">
        <f>'Inventory master'!B579</f>
        <v>CFP Transceiver</v>
      </c>
      <c r="C579" s="6" t="str">
        <f>'Inventory master'!C579</f>
        <v>Transceivers</v>
      </c>
      <c r="D579" s="6" t="str">
        <f>'Inventory master'!D579</f>
        <v>TE Connectivity</v>
      </c>
      <c r="E579" s="10">
        <f>'Inventory master'!E579</f>
        <v>258.25</v>
      </c>
      <c r="F579" s="10" t="str">
        <f>'Inventory master'!F579</f>
        <v>297.2</v>
      </c>
      <c r="G579" s="10" t="str">
        <f>'Inventory master'!G579</f>
        <v>47</v>
      </c>
      <c r="H579" s="8">
        <f>IFERROR(_xlfn.XLOOKUP(A579, 'Opening stock'!A579:A1178, 'Opening stock'!E579:E1178), "")</f>
        <v>705</v>
      </c>
      <c r="I579" s="8">
        <f>IFERROR(SUMIF(Table3[Item ID],'Inventory calculations'!A579,Table3[Quantity]),0)</f>
        <v>0</v>
      </c>
      <c r="J579" s="8">
        <f>IFERROR(SUMIF(Table4[Item ID],'Inventory calculations'!A579,Table4[Quantity Purchased]),0)</f>
        <v>8</v>
      </c>
      <c r="K579" s="10">
        <f t="shared" ref="K579:K601" si="38">H579+J579-I579</f>
        <v>713</v>
      </c>
      <c r="L579" s="6" t="str">
        <f t="shared" ref="L579:L601" si="39">IF(K579&lt;0,"STOCK ISSUE","OK")</f>
        <v>OK</v>
      </c>
      <c r="M579" s="13">
        <f t="shared" si="36"/>
        <v>184132.25</v>
      </c>
      <c r="N579" s="8">
        <f>Table5[[#This Row],[Total Qty Sold]]*Table5[[#This Row],[Unit Price]]</f>
        <v>0</v>
      </c>
      <c r="O579" s="9"/>
      <c r="P579" s="40" t="str">
        <f ca="1">IF(Table5[[#This Row],[Last sale Date]]="","Never Sold",TODAY()-Table5[[#This Row],[Last sale Date]])</f>
        <v>Never Sold</v>
      </c>
      <c r="Q579" s="6" t="str">
        <f>IF(Table5[[#This Row],[Re order Level]]&lt;=Table5[[#This Row],[Current stock]],"ORDERASAP","OK BUT BE CHECKING")</f>
        <v>OK BUT BE CHECKING</v>
      </c>
      <c r="R579" s="6" t="str">
        <f t="shared" si="37"/>
        <v>ACTIVE</v>
      </c>
      <c r="S579" s="8">
        <f>IF(Table5[[#This Row],[DEADSTOCK FLAG]]="DEAD",Table5[[#This Row],[Inventory Value]],0)</f>
        <v>0</v>
      </c>
    </row>
    <row r="580" spans="1:19" x14ac:dyDescent="0.25">
      <c r="A580" s="24" t="str">
        <f>'Inventory master'!A580</f>
        <v>ITEM579-A</v>
      </c>
      <c r="B580" s="6" t="str">
        <f>'Inventory master'!B580</f>
        <v>Fiber Pigtail</v>
      </c>
      <c r="C580" s="6" t="str">
        <f>'Inventory master'!C580</f>
        <v>Accessories</v>
      </c>
      <c r="D580" s="6" t="str">
        <f>'Inventory master'!D580</f>
        <v>Belden</v>
      </c>
      <c r="E580" s="10">
        <f>'Inventory master'!E580</f>
        <v>365.18</v>
      </c>
      <c r="F580" s="10" t="str">
        <f>'Inventory master'!F580</f>
        <v>560.56</v>
      </c>
      <c r="G580" s="10" t="str">
        <f>'Inventory master'!G580</f>
        <v>29</v>
      </c>
      <c r="H580" s="8">
        <f>IFERROR(_xlfn.XLOOKUP(A580, 'Opening stock'!A580:A1179, 'Opening stock'!E580:E1179), "")</f>
        <v>435</v>
      </c>
      <c r="I580" s="8">
        <f>IFERROR(SUMIF(Table3[Item ID],'Inventory calculations'!A580,Table3[Quantity]),0)</f>
        <v>0</v>
      </c>
      <c r="J580" s="8">
        <f>IFERROR(SUMIF(Table4[Item ID],'Inventory calculations'!A580,Table4[Quantity Purchased]),0)</f>
        <v>8</v>
      </c>
      <c r="K580" s="10">
        <f t="shared" si="38"/>
        <v>443</v>
      </c>
      <c r="L580" s="6" t="str">
        <f t="shared" si="39"/>
        <v>OK</v>
      </c>
      <c r="M580" s="13">
        <f t="shared" si="36"/>
        <v>161774.74</v>
      </c>
      <c r="N580" s="8">
        <f>Table5[[#This Row],[Total Qty Sold]]*Table5[[#This Row],[Unit Price]]</f>
        <v>0</v>
      </c>
      <c r="O580" s="9"/>
      <c r="P580" s="40" t="str">
        <f ca="1">IF(Table5[[#This Row],[Last sale Date]]="","Never Sold",TODAY()-Table5[[#This Row],[Last sale Date]])</f>
        <v>Never Sold</v>
      </c>
      <c r="Q580" s="6" t="str">
        <f>IF(Table5[[#This Row],[Re order Level]]&lt;=Table5[[#This Row],[Current stock]],"ORDERASAP","OK BUT BE CHECKING")</f>
        <v>OK BUT BE CHECKING</v>
      </c>
      <c r="R580" s="6" t="str">
        <f t="shared" si="37"/>
        <v>ACTIVE</v>
      </c>
      <c r="S580" s="8">
        <f>IF(Table5[[#This Row],[DEADSTOCK FLAG]]="DEAD",Table5[[#This Row],[Inventory Value]],0)</f>
        <v>0</v>
      </c>
    </row>
    <row r="581" spans="1:19" x14ac:dyDescent="0.25">
      <c r="A581" s="24" t="str">
        <f>'Inventory master'!A581</f>
        <v>ITEM580-A</v>
      </c>
      <c r="B581" s="6" t="str">
        <f>'Inventory master'!B581</f>
        <v>Mechanical Splicer</v>
      </c>
      <c r="C581" s="6" t="str">
        <f>'Inventory master'!C581</f>
        <v>Splicers</v>
      </c>
      <c r="D581" s="6" t="str">
        <f>'Inventory master'!D581</f>
        <v>TE Connectivity</v>
      </c>
      <c r="E581" s="10">
        <f>'Inventory master'!E581</f>
        <v>1023.55</v>
      </c>
      <c r="F581" s="10" t="str">
        <f>'Inventory master'!F581</f>
        <v>1836.64</v>
      </c>
      <c r="G581" s="10" t="str">
        <f>'Inventory master'!G581</f>
        <v>93</v>
      </c>
      <c r="H581" s="8">
        <f>IFERROR(_xlfn.XLOOKUP(A581, 'Opening stock'!A581:A1180, 'Opening stock'!E581:E1180), "")</f>
        <v>1395</v>
      </c>
      <c r="I581" s="8">
        <f>IFERROR(SUMIF(Table3[Item ID],'Inventory calculations'!A581,Table3[Quantity]),0)</f>
        <v>0</v>
      </c>
      <c r="J581" s="8">
        <f>IFERROR(SUMIF(Table4[Item ID],'Inventory calculations'!A581,Table4[Quantity Purchased]),0)</f>
        <v>8</v>
      </c>
      <c r="K581" s="10">
        <f t="shared" si="38"/>
        <v>1403</v>
      </c>
      <c r="L581" s="6" t="str">
        <f t="shared" si="39"/>
        <v>OK</v>
      </c>
      <c r="M581" s="13">
        <f t="shared" si="36"/>
        <v>1436040.65</v>
      </c>
      <c r="N581" s="8">
        <f>Table5[[#This Row],[Total Qty Sold]]*Table5[[#This Row],[Unit Price]]</f>
        <v>0</v>
      </c>
      <c r="O581" s="9"/>
      <c r="P581" s="40" t="str">
        <f ca="1">IF(Table5[[#This Row],[Last sale Date]]="","Never Sold",TODAY()-Table5[[#This Row],[Last sale Date]])</f>
        <v>Never Sold</v>
      </c>
      <c r="Q581" s="6" t="str">
        <f>IF(Table5[[#This Row],[Re order Level]]&lt;=Table5[[#This Row],[Current stock]],"ORDERASAP","OK BUT BE CHECKING")</f>
        <v>OK BUT BE CHECKING</v>
      </c>
      <c r="R581" s="6" t="str">
        <f t="shared" si="37"/>
        <v>ACTIVE</v>
      </c>
      <c r="S581" s="8">
        <f>IF(Table5[[#This Row],[DEADSTOCK FLAG]]="DEAD",Table5[[#This Row],[Inventory Value]],0)</f>
        <v>0</v>
      </c>
    </row>
    <row r="582" spans="1:19" x14ac:dyDescent="0.25">
      <c r="A582" s="24" t="str">
        <f>'Inventory master'!A582</f>
        <v>ITEM581-A</v>
      </c>
      <c r="B582" s="6" t="str">
        <f>'Inventory master'!B582</f>
        <v>Fixed Attenuator 5dB</v>
      </c>
      <c r="C582" s="6" t="str">
        <f>'Inventory master'!C582</f>
        <v>Attenuators</v>
      </c>
      <c r="D582" s="6" t="str">
        <f>'Inventory master'!D582</f>
        <v>CommScope</v>
      </c>
      <c r="E582" s="10">
        <f>'Inventory master'!E582</f>
        <v>1307.17</v>
      </c>
      <c r="F582" s="10">
        <f>'Inventory master'!F582</f>
        <v>1515.58</v>
      </c>
      <c r="G582" s="10" t="str">
        <f>'Inventory master'!G582</f>
        <v>24</v>
      </c>
      <c r="H582" s="8">
        <f>IFERROR(_xlfn.XLOOKUP(A582, 'Opening stock'!A582:A1181, 'Opening stock'!E582:E1181), "")</f>
        <v>360</v>
      </c>
      <c r="I582" s="8">
        <f>IFERROR(SUMIF(Table3[Item ID],'Inventory calculations'!A582,Table3[Quantity]),0)</f>
        <v>0</v>
      </c>
      <c r="J582" s="8">
        <f>IFERROR(SUMIF(Table4[Item ID],'Inventory calculations'!A582,Table4[Quantity Purchased]),0)</f>
        <v>0</v>
      </c>
      <c r="K582" s="10">
        <f t="shared" si="38"/>
        <v>360</v>
      </c>
      <c r="L582" s="6" t="str">
        <f t="shared" si="39"/>
        <v>OK</v>
      </c>
      <c r="M582" s="13">
        <f t="shared" si="36"/>
        <v>470581.2</v>
      </c>
      <c r="N582" s="8">
        <f>Table5[[#This Row],[Total Qty Sold]]*Table5[[#This Row],[Unit Price]]</f>
        <v>0</v>
      </c>
      <c r="O582" s="9"/>
      <c r="P582" s="40" t="str">
        <f ca="1">IF(Table5[[#This Row],[Last sale Date]]="","Never Sold",TODAY()-Table5[[#This Row],[Last sale Date]])</f>
        <v>Never Sold</v>
      </c>
      <c r="Q582" s="6" t="str">
        <f>IF(Table5[[#This Row],[Re order Level]]&lt;=Table5[[#This Row],[Current stock]],"ORDERASAP","OK BUT BE CHECKING")</f>
        <v>OK BUT BE CHECKING</v>
      </c>
      <c r="R582" s="6" t="str">
        <f t="shared" si="37"/>
        <v>ACTIVE</v>
      </c>
      <c r="S582" s="8">
        <f>IF(Table5[[#This Row],[DEADSTOCK FLAG]]="DEAD",Table5[[#This Row],[Inventory Value]],0)</f>
        <v>0</v>
      </c>
    </row>
    <row r="583" spans="1:19" x14ac:dyDescent="0.25">
      <c r="A583" s="24" t="str">
        <f>'Inventory master'!A583</f>
        <v>ITEM582-A</v>
      </c>
      <c r="B583" s="6" t="str">
        <f>'Inventory master'!B583</f>
        <v>Fixed Attenuator 10dB</v>
      </c>
      <c r="C583" s="6" t="str">
        <f>'Inventory master'!C583</f>
        <v>Attenuators</v>
      </c>
      <c r="D583" s="6" t="str">
        <f>'Inventory master'!D583</f>
        <v>Amphenol</v>
      </c>
      <c r="E583" s="10">
        <f>'Inventory master'!E583</f>
        <v>1965.61</v>
      </c>
      <c r="F583" s="10" t="str">
        <f>'Inventory master'!F583</f>
        <v>2418.8</v>
      </c>
      <c r="G583" s="10" t="str">
        <f>'Inventory master'!G583</f>
        <v>95</v>
      </c>
      <c r="H583" s="8">
        <f>IFERROR(_xlfn.XLOOKUP(A583, 'Opening stock'!A583:A1182, 'Opening stock'!E583:E1182), "")</f>
        <v>1425</v>
      </c>
      <c r="I583" s="8">
        <f>IFERROR(SUMIF(Table3[Item ID],'Inventory calculations'!A583,Table3[Quantity]),0)</f>
        <v>0</v>
      </c>
      <c r="J583" s="8">
        <f>IFERROR(SUMIF(Table4[Item ID],'Inventory calculations'!A583,Table4[Quantity Purchased]),0)</f>
        <v>0</v>
      </c>
      <c r="K583" s="10">
        <f t="shared" si="38"/>
        <v>1425</v>
      </c>
      <c r="L583" s="6" t="str">
        <f t="shared" si="39"/>
        <v>OK</v>
      </c>
      <c r="M583" s="13">
        <f t="shared" si="36"/>
        <v>2800994.25</v>
      </c>
      <c r="N583" s="8">
        <f>Table5[[#This Row],[Total Qty Sold]]*Table5[[#This Row],[Unit Price]]</f>
        <v>0</v>
      </c>
      <c r="O583" s="9"/>
      <c r="P583" s="40" t="str">
        <f ca="1">IF(Table5[[#This Row],[Last sale Date]]="","Never Sold",TODAY()-Table5[[#This Row],[Last sale Date]])</f>
        <v>Never Sold</v>
      </c>
      <c r="Q583" s="6" t="str">
        <f>IF(Table5[[#This Row],[Re order Level]]&lt;=Table5[[#This Row],[Current stock]],"ORDERASAP","OK BUT BE CHECKING")</f>
        <v>OK BUT BE CHECKING</v>
      </c>
      <c r="R583" s="6" t="str">
        <f t="shared" si="37"/>
        <v>ACTIVE</v>
      </c>
      <c r="S583" s="8">
        <f>IF(Table5[[#This Row],[DEADSTOCK FLAG]]="DEAD",Table5[[#This Row],[Inventory Value]],0)</f>
        <v>0</v>
      </c>
    </row>
    <row r="584" spans="1:19" x14ac:dyDescent="0.25">
      <c r="A584" s="24" t="str">
        <f>'Inventory master'!A584</f>
        <v>ITEM583-A</v>
      </c>
      <c r="B584" s="6" t="str">
        <f>'Inventory master'!B584</f>
        <v>Fiber Pigtail</v>
      </c>
      <c r="C584" s="6" t="str">
        <f>'Inventory master'!C584</f>
        <v>Accessories</v>
      </c>
      <c r="D584" s="6" t="str">
        <f>'Inventory master'!D584</f>
        <v>Huber+Suhner</v>
      </c>
      <c r="E584" s="10">
        <f>'Inventory master'!E584</f>
        <v>38.08</v>
      </c>
      <c r="F584" s="10" t="str">
        <f>'Inventory master'!F584</f>
        <v>58.81</v>
      </c>
      <c r="G584" s="10" t="str">
        <f>'Inventory master'!G584</f>
        <v>80</v>
      </c>
      <c r="H584" s="8">
        <f>IFERROR(_xlfn.XLOOKUP(A584, 'Opening stock'!A584:A1183, 'Opening stock'!E584:E1183), "")</f>
        <v>1200</v>
      </c>
      <c r="I584" s="8">
        <f>IFERROR(SUMIF(Table3[Item ID],'Inventory calculations'!A584,Table3[Quantity]),0)</f>
        <v>11</v>
      </c>
      <c r="J584" s="8">
        <f>IFERROR(SUMIF(Table4[Item ID],'Inventory calculations'!A584,Table4[Quantity Purchased]),0)</f>
        <v>3</v>
      </c>
      <c r="K584" s="10">
        <f t="shared" si="38"/>
        <v>1192</v>
      </c>
      <c r="L584" s="6" t="str">
        <f t="shared" si="39"/>
        <v>OK</v>
      </c>
      <c r="M584" s="13">
        <f t="shared" si="36"/>
        <v>45391.360000000001</v>
      </c>
      <c r="N584" s="8">
        <f>Table5[[#This Row],[Total Qty Sold]]*Table5[[#This Row],[Unit Price]]</f>
        <v>646.91000000000008</v>
      </c>
      <c r="O584" s="9">
        <f>IFERROR(_xlfn.MAXIFS(Table3[Date],Table3[Item ID],Table5[[#This Row],[Item ID]]),"")</f>
        <v>45856</v>
      </c>
      <c r="P584" s="40">
        <f ca="1">IF(Table5[[#This Row],[Last sale Date]]="","Never Sold",TODAY()-Table5[[#This Row],[Last sale Date]])</f>
        <v>196</v>
      </c>
      <c r="Q584" s="6" t="str">
        <f>IF(Table5[[#This Row],[Re order Level]]&lt;=Table5[[#This Row],[Current stock]],"ORDERASAP","OK BUT BE CHECKING")</f>
        <v>OK BUT BE CHECKING</v>
      </c>
      <c r="R584" s="6" t="str">
        <f t="shared" si="37"/>
        <v>ACTIVE</v>
      </c>
      <c r="S584" s="8">
        <f>IF(Table5[[#This Row],[DEADSTOCK FLAG]]="DEAD",Table5[[#This Row],[Inventory Value]],0)</f>
        <v>0</v>
      </c>
    </row>
    <row r="585" spans="1:19" x14ac:dyDescent="0.25">
      <c r="A585" s="24" t="str">
        <f>'Inventory master'!A585</f>
        <v>ITEM584-A</v>
      </c>
      <c r="B585" s="6" t="str">
        <f>'Inventory master'!B585</f>
        <v>Fiber Optic Tester</v>
      </c>
      <c r="C585" s="6" t="str">
        <f>'Inventory master'!C585</f>
        <v>Tools</v>
      </c>
      <c r="D585" s="6" t="str">
        <f>'Inventory master'!D585</f>
        <v>Amphenol</v>
      </c>
      <c r="E585" s="10">
        <f>'Inventory master'!E585</f>
        <v>886.72</v>
      </c>
      <c r="F585" s="10" t="str">
        <f>'Inventory master'!F585</f>
        <v>1222.36</v>
      </c>
      <c r="G585" s="10" t="str">
        <f>'Inventory master'!G585</f>
        <v>63</v>
      </c>
      <c r="H585" s="8">
        <f>IFERROR(_xlfn.XLOOKUP(A585, 'Opening stock'!A585:A1184, 'Opening stock'!E585:E1184), "")</f>
        <v>945</v>
      </c>
      <c r="I585" s="8">
        <f>IFERROR(SUMIF(Table3[Item ID],'Inventory calculations'!A585,Table3[Quantity]),0)</f>
        <v>0</v>
      </c>
      <c r="J585" s="8">
        <f>IFERROR(SUMIF(Table4[Item ID],'Inventory calculations'!A585,Table4[Quantity Purchased]),0)</f>
        <v>0</v>
      </c>
      <c r="K585" s="10">
        <f t="shared" si="38"/>
        <v>945</v>
      </c>
      <c r="L585" s="6" t="str">
        <f t="shared" si="39"/>
        <v>OK</v>
      </c>
      <c r="M585" s="13">
        <f t="shared" si="36"/>
        <v>837950.4</v>
      </c>
      <c r="N585" s="8">
        <f>Table5[[#This Row],[Total Qty Sold]]*Table5[[#This Row],[Unit Price]]</f>
        <v>0</v>
      </c>
      <c r="O585" s="9"/>
      <c r="P585" s="40" t="str">
        <f ca="1">IF(Table5[[#This Row],[Last sale Date]]="","Never Sold",TODAY()-Table5[[#This Row],[Last sale Date]])</f>
        <v>Never Sold</v>
      </c>
      <c r="Q585" s="6" t="str">
        <f>IF(Table5[[#This Row],[Re order Level]]&lt;=Table5[[#This Row],[Current stock]],"ORDERASAP","OK BUT BE CHECKING")</f>
        <v>OK BUT BE CHECKING</v>
      </c>
      <c r="R585" s="6" t="str">
        <f t="shared" si="37"/>
        <v>ACTIVE</v>
      </c>
      <c r="S585" s="8">
        <f>IF(Table5[[#This Row],[DEADSTOCK FLAG]]="DEAD",Table5[[#This Row],[Inventory Value]],0)</f>
        <v>0</v>
      </c>
    </row>
    <row r="586" spans="1:19" x14ac:dyDescent="0.25">
      <c r="A586" s="24" t="str">
        <f>'Inventory master'!A586</f>
        <v>ITEM585-A</v>
      </c>
      <c r="B586" s="6" t="str">
        <f>'Inventory master'!B586</f>
        <v>Fusion Splicer</v>
      </c>
      <c r="C586" s="6" t="str">
        <f>'Inventory master'!C586</f>
        <v>Splicers</v>
      </c>
      <c r="D586" s="6" t="str">
        <f>'Inventory master'!D586</f>
        <v>Prysmian Group</v>
      </c>
      <c r="E586" s="10">
        <f>'Inventory master'!E586</f>
        <v>1869.43</v>
      </c>
      <c r="F586" s="10" t="str">
        <f>'Inventory master'!F586</f>
        <v>3035.66</v>
      </c>
      <c r="G586" s="10" t="str">
        <f>'Inventory master'!G586</f>
        <v>56</v>
      </c>
      <c r="H586" s="8">
        <f>IFERROR(_xlfn.XLOOKUP(A586, 'Opening stock'!A586:A1185, 'Opening stock'!E586:E1185), "")</f>
        <v>840</v>
      </c>
      <c r="I586" s="8">
        <f>IFERROR(SUMIF(Table3[Item ID],'Inventory calculations'!A586,Table3[Quantity]),0)</f>
        <v>0</v>
      </c>
      <c r="J586" s="8">
        <f>IFERROR(SUMIF(Table4[Item ID],'Inventory calculations'!A586,Table4[Quantity Purchased]),0)</f>
        <v>0</v>
      </c>
      <c r="K586" s="10">
        <f t="shared" si="38"/>
        <v>840</v>
      </c>
      <c r="L586" s="6" t="str">
        <f t="shared" si="39"/>
        <v>OK</v>
      </c>
      <c r="M586" s="13">
        <f t="shared" si="36"/>
        <v>1570321.2</v>
      </c>
      <c r="N586" s="8">
        <f>Table5[[#This Row],[Total Qty Sold]]*Table5[[#This Row],[Unit Price]]</f>
        <v>0</v>
      </c>
      <c r="O586" s="9"/>
      <c r="P586" s="40" t="str">
        <f ca="1">IF(Table5[[#This Row],[Last sale Date]]="","Never Sold",TODAY()-Table5[[#This Row],[Last sale Date]])</f>
        <v>Never Sold</v>
      </c>
      <c r="Q586" s="6" t="str">
        <f>IF(Table5[[#This Row],[Re order Level]]&lt;=Table5[[#This Row],[Current stock]],"ORDERASAP","OK BUT BE CHECKING")</f>
        <v>OK BUT BE CHECKING</v>
      </c>
      <c r="R586" s="6" t="str">
        <f t="shared" si="37"/>
        <v>ACTIVE</v>
      </c>
      <c r="S586" s="8">
        <f>IF(Table5[[#This Row],[DEADSTOCK FLAG]]="DEAD",Table5[[#This Row],[Inventory Value]],0)</f>
        <v>0</v>
      </c>
    </row>
    <row r="587" spans="1:19" x14ac:dyDescent="0.25">
      <c r="A587" s="24" t="str">
        <f>'Inventory master'!A587</f>
        <v>ITEM586-A</v>
      </c>
      <c r="B587" s="6" t="str">
        <f>'Inventory master'!B587</f>
        <v>48-Port Fiber Patch Panel</v>
      </c>
      <c r="C587" s="6" t="str">
        <f>'Inventory master'!C587</f>
        <v>Patch Panels</v>
      </c>
      <c r="D587" s="6" t="str">
        <f>'Inventory master'!D587</f>
        <v>CommScope</v>
      </c>
      <c r="E587" s="10">
        <f>'Inventory master'!E587</f>
        <v>731.57</v>
      </c>
      <c r="F587" s="10" t="str">
        <f>'Inventory master'!F587</f>
        <v>1355.51</v>
      </c>
      <c r="G587" s="10" t="str">
        <f>'Inventory master'!G587</f>
        <v>60</v>
      </c>
      <c r="H587" s="8">
        <f>IFERROR(_xlfn.XLOOKUP(A587, 'Opening stock'!A587:A1186, 'Opening stock'!E587:E1186), "")</f>
        <v>900</v>
      </c>
      <c r="I587" s="8">
        <f>IFERROR(SUMIF(Table3[Item ID],'Inventory calculations'!A587,Table3[Quantity]),0)</f>
        <v>0</v>
      </c>
      <c r="J587" s="8">
        <f>IFERROR(SUMIF(Table4[Item ID],'Inventory calculations'!A587,Table4[Quantity Purchased]),0)</f>
        <v>8</v>
      </c>
      <c r="K587" s="10">
        <f t="shared" si="38"/>
        <v>908</v>
      </c>
      <c r="L587" s="6" t="str">
        <f t="shared" si="39"/>
        <v>OK</v>
      </c>
      <c r="M587" s="13">
        <f t="shared" si="36"/>
        <v>664265.56000000006</v>
      </c>
      <c r="N587" s="8">
        <f>Table5[[#This Row],[Total Qty Sold]]*Table5[[#This Row],[Unit Price]]</f>
        <v>0</v>
      </c>
      <c r="O587" s="9"/>
      <c r="P587" s="40" t="str">
        <f ca="1">IF(Table5[[#This Row],[Last sale Date]]="","Never Sold",TODAY()-Table5[[#This Row],[Last sale Date]])</f>
        <v>Never Sold</v>
      </c>
      <c r="Q587" s="6" t="str">
        <f>IF(Table5[[#This Row],[Re order Level]]&lt;=Table5[[#This Row],[Current stock]],"ORDERASAP","OK BUT BE CHECKING")</f>
        <v>OK BUT BE CHECKING</v>
      </c>
      <c r="R587" s="6" t="str">
        <f t="shared" si="37"/>
        <v>ACTIVE</v>
      </c>
      <c r="S587" s="8">
        <f>IF(Table5[[#This Row],[DEADSTOCK FLAG]]="DEAD",Table5[[#This Row],[Inventory Value]],0)</f>
        <v>0</v>
      </c>
    </row>
    <row r="588" spans="1:19" x14ac:dyDescent="0.25">
      <c r="A588" s="24" t="str">
        <f>'Inventory master'!A588</f>
        <v>ITEM587-A</v>
      </c>
      <c r="B588" s="6" t="str">
        <f>'Inventory master'!B588</f>
        <v>12-Port Fiber Patch Panel</v>
      </c>
      <c r="C588" s="6" t="str">
        <f>'Inventory master'!C588</f>
        <v>Patch Panels</v>
      </c>
      <c r="D588" s="6" t="str">
        <f>'Inventory master'!D588</f>
        <v>Belden</v>
      </c>
      <c r="E588" s="10">
        <f>'Inventory master'!E588</f>
        <v>101.13</v>
      </c>
      <c r="F588" s="10" t="str">
        <f>'Inventory master'!F588</f>
        <v>157.76</v>
      </c>
      <c r="G588" s="10" t="str">
        <f>'Inventory master'!G588</f>
        <v>80</v>
      </c>
      <c r="H588" s="8">
        <f>IFERROR(_xlfn.XLOOKUP(A588, 'Opening stock'!A588:A1187, 'Opening stock'!E588:E1187), "")</f>
        <v>1200</v>
      </c>
      <c r="I588" s="8">
        <f>IFERROR(SUMIF(Table3[Item ID],'Inventory calculations'!A588,Table3[Quantity]),0)</f>
        <v>0</v>
      </c>
      <c r="J588" s="8">
        <f>IFERROR(SUMIF(Table4[Item ID],'Inventory calculations'!A588,Table4[Quantity Purchased]),0)</f>
        <v>0</v>
      </c>
      <c r="K588" s="10">
        <f t="shared" si="38"/>
        <v>1200</v>
      </c>
      <c r="L588" s="6" t="str">
        <f t="shared" si="39"/>
        <v>OK</v>
      </c>
      <c r="M588" s="13">
        <f t="shared" si="36"/>
        <v>121356</v>
      </c>
      <c r="N588" s="8">
        <f>Table5[[#This Row],[Total Qty Sold]]*Table5[[#This Row],[Unit Price]]</f>
        <v>0</v>
      </c>
      <c r="O588" s="9"/>
      <c r="P588" s="40" t="str">
        <f ca="1">IF(Table5[[#This Row],[Last sale Date]]="","Never Sold",TODAY()-Table5[[#This Row],[Last sale Date]])</f>
        <v>Never Sold</v>
      </c>
      <c r="Q588" s="6" t="str">
        <f>IF(Table5[[#This Row],[Re order Level]]&lt;=Table5[[#This Row],[Current stock]],"ORDERASAP","OK BUT BE CHECKING")</f>
        <v>OK BUT BE CHECKING</v>
      </c>
      <c r="R588" s="6" t="str">
        <f t="shared" si="37"/>
        <v>ACTIVE</v>
      </c>
      <c r="S588" s="8">
        <f>IF(Table5[[#This Row],[DEADSTOCK FLAG]]="DEAD",Table5[[#This Row],[Inventory Value]],0)</f>
        <v>0</v>
      </c>
    </row>
    <row r="589" spans="1:19" x14ac:dyDescent="0.25">
      <c r="A589" s="24" t="str">
        <f>'Inventory master'!A589</f>
        <v>ITEM588-A</v>
      </c>
      <c r="B589" s="6" t="str">
        <f>'Inventory master'!B589</f>
        <v>Fixed Attenuator 3dB</v>
      </c>
      <c r="C589" s="6" t="str">
        <f>'Inventory master'!C589</f>
        <v>Attenuators</v>
      </c>
      <c r="D589" s="6" t="str">
        <f>'Inventory master'!D589</f>
        <v>Prysmian Group</v>
      </c>
      <c r="E589" s="10">
        <f>'Inventory master'!E589</f>
        <v>1488.15</v>
      </c>
      <c r="F589" s="10" t="str">
        <f>'Inventory master'!F589</f>
        <v>2339.59</v>
      </c>
      <c r="G589" s="10" t="str">
        <f>'Inventory master'!G589</f>
        <v>90</v>
      </c>
      <c r="H589" s="8">
        <f>IFERROR(_xlfn.XLOOKUP(A589, 'Opening stock'!A589:A1188, 'Opening stock'!E589:E1188), "")</f>
        <v>1350</v>
      </c>
      <c r="I589" s="8">
        <f>IFERROR(SUMIF(Table3[Item ID],'Inventory calculations'!A589,Table3[Quantity]),0)</f>
        <v>0</v>
      </c>
      <c r="J589" s="8">
        <f>IFERROR(SUMIF(Table4[Item ID],'Inventory calculations'!A589,Table4[Quantity Purchased]),0)</f>
        <v>3</v>
      </c>
      <c r="K589" s="10">
        <f t="shared" si="38"/>
        <v>1353</v>
      </c>
      <c r="L589" s="6" t="str">
        <f t="shared" si="39"/>
        <v>OK</v>
      </c>
      <c r="M589" s="13">
        <f t="shared" si="36"/>
        <v>2013466.9500000002</v>
      </c>
      <c r="N589" s="8">
        <f>Table5[[#This Row],[Total Qty Sold]]*Table5[[#This Row],[Unit Price]]</f>
        <v>0</v>
      </c>
      <c r="O589" s="9"/>
      <c r="P589" s="40" t="str">
        <f ca="1">IF(Table5[[#This Row],[Last sale Date]]="","Never Sold",TODAY()-Table5[[#This Row],[Last sale Date]])</f>
        <v>Never Sold</v>
      </c>
      <c r="Q589" s="6" t="str">
        <f>IF(Table5[[#This Row],[Re order Level]]&lt;=Table5[[#This Row],[Current stock]],"ORDERASAP","OK BUT BE CHECKING")</f>
        <v>OK BUT BE CHECKING</v>
      </c>
      <c r="R589" s="6" t="str">
        <f t="shared" si="37"/>
        <v>ACTIVE</v>
      </c>
      <c r="S589" s="8">
        <f>IF(Table5[[#This Row],[DEADSTOCK FLAG]]="DEAD",Table5[[#This Row],[Inventory Value]],0)</f>
        <v>0</v>
      </c>
    </row>
    <row r="590" spans="1:19" x14ac:dyDescent="0.25">
      <c r="A590" s="24" t="str">
        <f>'Inventory master'!A590</f>
        <v>ITEM589-A</v>
      </c>
      <c r="B590" s="6" t="str">
        <f>'Inventory master'!B590</f>
        <v>Mechanical Splicer</v>
      </c>
      <c r="C590" s="6" t="str">
        <f>'Inventory master'!C590</f>
        <v>Splicers</v>
      </c>
      <c r="D590" s="6" t="str">
        <f>'Inventory master'!D590</f>
        <v>Amphenol</v>
      </c>
      <c r="E590" s="10">
        <f>'Inventory master'!E590</f>
        <v>1035.5899999999999</v>
      </c>
      <c r="F590" s="10" t="str">
        <f>'Inventory master'!F590</f>
        <v>1936.37</v>
      </c>
      <c r="G590" s="10" t="str">
        <f>'Inventory master'!G590</f>
        <v>100</v>
      </c>
      <c r="H590" s="8">
        <f>IFERROR(_xlfn.XLOOKUP(A590, 'Opening stock'!A590:A1189, 'Opening stock'!E590:E1189), "")</f>
        <v>1500</v>
      </c>
      <c r="I590" s="8">
        <f>IFERROR(SUMIF(Table3[Item ID],'Inventory calculations'!A590,Table3[Quantity]),0)</f>
        <v>3</v>
      </c>
      <c r="J590" s="8">
        <f>IFERROR(SUMIF(Table4[Item ID],'Inventory calculations'!A590,Table4[Quantity Purchased]),0)</f>
        <v>2</v>
      </c>
      <c r="K590" s="10">
        <f t="shared" si="38"/>
        <v>1499</v>
      </c>
      <c r="L590" s="6" t="str">
        <f t="shared" si="39"/>
        <v>OK</v>
      </c>
      <c r="M590" s="13">
        <f t="shared" si="36"/>
        <v>1552349.41</v>
      </c>
      <c r="N590" s="8">
        <f>Table5[[#This Row],[Total Qty Sold]]*Table5[[#This Row],[Unit Price]]</f>
        <v>5809.11</v>
      </c>
      <c r="O590" s="9">
        <f>IFERROR(_xlfn.MAXIFS(Table3[Date],Table3[Item ID],Table5[[#This Row],[Item ID]]),"")</f>
        <v>45759</v>
      </c>
      <c r="P590" s="40">
        <f ca="1">IF(Table5[[#This Row],[Last sale Date]]="","Never Sold",TODAY()-Table5[[#This Row],[Last sale Date]])</f>
        <v>293</v>
      </c>
      <c r="Q590" s="6" t="str">
        <f>IF(Table5[[#This Row],[Re order Level]]&lt;=Table5[[#This Row],[Current stock]],"ORDERASAP","OK BUT BE CHECKING")</f>
        <v>OK BUT BE CHECKING</v>
      </c>
      <c r="R590" s="6" t="str">
        <f t="shared" si="37"/>
        <v>ACTIVE</v>
      </c>
      <c r="S590" s="8">
        <f>IF(Table5[[#This Row],[DEADSTOCK FLAG]]="DEAD",Table5[[#This Row],[Inventory Value]],0)</f>
        <v>0</v>
      </c>
    </row>
    <row r="591" spans="1:19" x14ac:dyDescent="0.25">
      <c r="A591" s="24" t="str">
        <f>'Inventory master'!A591</f>
        <v>ITEM590-A</v>
      </c>
      <c r="B591" s="6" t="str">
        <f>'Inventory master'!B591</f>
        <v>Fiber Optic Stripper</v>
      </c>
      <c r="C591" s="6" t="str">
        <f>'Inventory master'!C591</f>
        <v>Tools</v>
      </c>
      <c r="D591" s="6" t="str">
        <f>'Inventory master'!D591</f>
        <v>HellermannTyton</v>
      </c>
      <c r="E591" s="10">
        <f>'Inventory master'!E591</f>
        <v>175.51</v>
      </c>
      <c r="F591" s="10" t="str">
        <f>'Inventory master'!F591</f>
        <v>290.14</v>
      </c>
      <c r="G591" s="10" t="str">
        <f>'Inventory master'!G591</f>
        <v>90</v>
      </c>
      <c r="H591" s="8">
        <f>IFERROR(_xlfn.XLOOKUP(A591, 'Opening stock'!A591:A1190, 'Opening stock'!E591:E1190), "")</f>
        <v>1350</v>
      </c>
      <c r="I591" s="8">
        <f>IFERROR(SUMIF(Table3[Item ID],'Inventory calculations'!A591,Table3[Quantity]),0)</f>
        <v>0</v>
      </c>
      <c r="J591" s="8">
        <f>IFERROR(SUMIF(Table4[Item ID],'Inventory calculations'!A591,Table4[Quantity Purchased]),0)</f>
        <v>13</v>
      </c>
      <c r="K591" s="10">
        <f t="shared" si="38"/>
        <v>1363</v>
      </c>
      <c r="L591" s="6" t="str">
        <f t="shared" si="39"/>
        <v>OK</v>
      </c>
      <c r="M591" s="13">
        <f t="shared" si="36"/>
        <v>239220.12999999998</v>
      </c>
      <c r="N591" s="8">
        <f>Table5[[#This Row],[Total Qty Sold]]*Table5[[#This Row],[Unit Price]]</f>
        <v>0</v>
      </c>
      <c r="O591" s="9"/>
      <c r="P591" s="40" t="str">
        <f ca="1">IF(Table5[[#This Row],[Last sale Date]]="","Never Sold",TODAY()-Table5[[#This Row],[Last sale Date]])</f>
        <v>Never Sold</v>
      </c>
      <c r="Q591" s="6" t="str">
        <f>IF(Table5[[#This Row],[Re order Level]]&lt;=Table5[[#This Row],[Current stock]],"ORDERASAP","OK BUT BE CHECKING")</f>
        <v>OK BUT BE CHECKING</v>
      </c>
      <c r="R591" s="6" t="str">
        <f t="shared" si="37"/>
        <v>ACTIVE</v>
      </c>
      <c r="S591" s="8">
        <f>IF(Table5[[#This Row],[DEADSTOCK FLAG]]="DEAD",Table5[[#This Row],[Inventory Value]],0)</f>
        <v>0</v>
      </c>
    </row>
    <row r="592" spans="1:19" x14ac:dyDescent="0.25">
      <c r="A592" s="24" t="str">
        <f>'Inventory master'!A592</f>
        <v>ITEM591-A</v>
      </c>
      <c r="B592" s="6" t="str">
        <f>'Inventory master'!B592</f>
        <v>Dome Enclosure</v>
      </c>
      <c r="C592" s="6" t="str">
        <f>'Inventory master'!C592</f>
        <v>Enclosures</v>
      </c>
      <c r="D592" s="6" t="str">
        <f>'Inventory master'!D592</f>
        <v>Siemon</v>
      </c>
      <c r="E592" s="10">
        <f>'Inventory master'!E592</f>
        <v>363.59</v>
      </c>
      <c r="F592" s="10" t="str">
        <f>'Inventory master'!F592</f>
        <v>489.98</v>
      </c>
      <c r="G592" s="10" t="str">
        <f>'Inventory master'!G592</f>
        <v>66</v>
      </c>
      <c r="H592" s="8">
        <f>IFERROR(_xlfn.XLOOKUP(A592, 'Opening stock'!A592:A1191, 'Opening stock'!E592:E1191), "")</f>
        <v>990</v>
      </c>
      <c r="I592" s="8">
        <f>IFERROR(SUMIF(Table3[Item ID],'Inventory calculations'!A592,Table3[Quantity]),0)</f>
        <v>0</v>
      </c>
      <c r="J592" s="8">
        <f>IFERROR(SUMIF(Table4[Item ID],'Inventory calculations'!A592,Table4[Quantity Purchased]),0)</f>
        <v>5</v>
      </c>
      <c r="K592" s="10">
        <f t="shared" si="38"/>
        <v>995</v>
      </c>
      <c r="L592" s="6" t="str">
        <f t="shared" si="39"/>
        <v>OK</v>
      </c>
      <c r="M592" s="13">
        <f t="shared" si="36"/>
        <v>361772.05</v>
      </c>
      <c r="N592" s="8">
        <f>Table5[[#This Row],[Total Qty Sold]]*Table5[[#This Row],[Unit Price]]</f>
        <v>0</v>
      </c>
      <c r="O592" s="9"/>
      <c r="P592" s="40" t="str">
        <f ca="1">IF(Table5[[#This Row],[Last sale Date]]="","Never Sold",TODAY()-Table5[[#This Row],[Last sale Date]])</f>
        <v>Never Sold</v>
      </c>
      <c r="Q592" s="6" t="str">
        <f>IF(Table5[[#This Row],[Re order Level]]&lt;=Table5[[#This Row],[Current stock]],"ORDERASAP","OK BUT BE CHECKING")</f>
        <v>OK BUT BE CHECKING</v>
      </c>
      <c r="R592" s="6" t="str">
        <f t="shared" si="37"/>
        <v>ACTIVE</v>
      </c>
      <c r="S592" s="8">
        <f>IF(Table5[[#This Row],[DEADSTOCK FLAG]]="DEAD",Table5[[#This Row],[Inventory Value]],0)</f>
        <v>0</v>
      </c>
    </row>
    <row r="593" spans="1:19" x14ac:dyDescent="0.25">
      <c r="A593" s="24" t="str">
        <f>'Inventory master'!A593</f>
        <v>ITEM592-A</v>
      </c>
      <c r="B593" s="6" t="str">
        <f>'Inventory master'!B593</f>
        <v>1x8 PLC Splitter</v>
      </c>
      <c r="C593" s="6" t="str">
        <f>'Inventory master'!C593</f>
        <v>Splitters</v>
      </c>
      <c r="D593" s="6" t="str">
        <f>'Inventory master'!D593</f>
        <v>Prysmian Group</v>
      </c>
      <c r="E593" s="10">
        <f>'Inventory master'!E593</f>
        <v>1507.31</v>
      </c>
      <c r="F593" s="10" t="str">
        <f>'Inventory master'!F593</f>
        <v>2886.0</v>
      </c>
      <c r="G593" s="10" t="str">
        <f>'Inventory master'!G593</f>
        <v>79</v>
      </c>
      <c r="H593" s="8">
        <f>IFERROR(_xlfn.XLOOKUP(A593, 'Opening stock'!A593:A1192, 'Opening stock'!E593:E1192), "")</f>
        <v>1185</v>
      </c>
      <c r="I593" s="8">
        <f>IFERROR(SUMIF(Table3[Item ID],'Inventory calculations'!A593,Table3[Quantity]),0)</f>
        <v>10</v>
      </c>
      <c r="J593" s="8">
        <f>IFERROR(SUMIF(Table4[Item ID],'Inventory calculations'!A593,Table4[Quantity Purchased]),0)</f>
        <v>0</v>
      </c>
      <c r="K593" s="10">
        <f t="shared" si="38"/>
        <v>1175</v>
      </c>
      <c r="L593" s="6" t="str">
        <f t="shared" si="39"/>
        <v>OK</v>
      </c>
      <c r="M593" s="13">
        <f t="shared" si="36"/>
        <v>1771089.25</v>
      </c>
      <c r="N593" s="8">
        <f>Table5[[#This Row],[Total Qty Sold]]*Table5[[#This Row],[Unit Price]]</f>
        <v>28860</v>
      </c>
      <c r="O593" s="9">
        <f>IFERROR(_xlfn.MAXIFS(Table3[Date],Table3[Item ID],Table5[[#This Row],[Item ID]]),"")</f>
        <v>45789</v>
      </c>
      <c r="P593" s="40">
        <f ca="1">IF(Table5[[#This Row],[Last sale Date]]="","Never Sold",TODAY()-Table5[[#This Row],[Last sale Date]])</f>
        <v>263</v>
      </c>
      <c r="Q593" s="6" t="str">
        <f>IF(Table5[[#This Row],[Re order Level]]&lt;=Table5[[#This Row],[Current stock]],"ORDERASAP","OK BUT BE CHECKING")</f>
        <v>OK BUT BE CHECKING</v>
      </c>
      <c r="R593" s="6" t="str">
        <f t="shared" si="37"/>
        <v>ACTIVE</v>
      </c>
      <c r="S593" s="8">
        <f>IF(Table5[[#This Row],[DEADSTOCK FLAG]]="DEAD",Table5[[#This Row],[Inventory Value]],0)</f>
        <v>0</v>
      </c>
    </row>
    <row r="594" spans="1:19" x14ac:dyDescent="0.25">
      <c r="A594" s="24" t="str">
        <f>'Inventory master'!A594</f>
        <v>ITEM593-A</v>
      </c>
      <c r="B594" s="6" t="str">
        <f>'Inventory master'!B594</f>
        <v>Fixed Attenuator 1dB</v>
      </c>
      <c r="C594" s="6" t="str">
        <f>'Inventory master'!C594</f>
        <v>Attenuators</v>
      </c>
      <c r="D594" s="6" t="str">
        <f>'Inventory master'!D594</f>
        <v>Belden</v>
      </c>
      <c r="E594" s="10">
        <f>'Inventory master'!E594</f>
        <v>88.33</v>
      </c>
      <c r="F594" s="10" t="str">
        <f>'Inventory master'!F594</f>
        <v>165.91</v>
      </c>
      <c r="G594" s="10" t="str">
        <f>'Inventory master'!G594</f>
        <v>92</v>
      </c>
      <c r="H594" s="8">
        <f>IFERROR(_xlfn.XLOOKUP(A594, 'Opening stock'!A594:A1193, 'Opening stock'!E594:E1193), "")</f>
        <v>1380</v>
      </c>
      <c r="I594" s="8">
        <f>IFERROR(SUMIF(Table3[Item ID],'Inventory calculations'!A594,Table3[Quantity]),0)</f>
        <v>13</v>
      </c>
      <c r="J594" s="8">
        <f>IFERROR(SUMIF(Table4[Item ID],'Inventory calculations'!A594,Table4[Quantity Purchased]),0)</f>
        <v>0</v>
      </c>
      <c r="K594" s="10">
        <f t="shared" si="38"/>
        <v>1367</v>
      </c>
      <c r="L594" s="6" t="str">
        <f t="shared" si="39"/>
        <v>OK</v>
      </c>
      <c r="M594" s="13">
        <f t="shared" si="36"/>
        <v>120747.11</v>
      </c>
      <c r="N594" s="8">
        <f>Table5[[#This Row],[Total Qty Sold]]*Table5[[#This Row],[Unit Price]]</f>
        <v>2156.83</v>
      </c>
      <c r="O594" s="9">
        <f>IFERROR(_xlfn.MAXIFS(Table3[Date],Table3[Item ID],Table5[[#This Row],[Item ID]]),"")</f>
        <v>45990</v>
      </c>
      <c r="P594" s="40">
        <f ca="1">IF(Table5[[#This Row],[Last sale Date]]="","Never Sold",TODAY()-Table5[[#This Row],[Last sale Date]])</f>
        <v>62</v>
      </c>
      <c r="Q594" s="6" t="str">
        <f>IF(Table5[[#This Row],[Re order Level]]&lt;=Table5[[#This Row],[Current stock]],"ORDERASAP","OK BUT BE CHECKING")</f>
        <v>OK BUT BE CHECKING</v>
      </c>
      <c r="R594" s="6" t="str">
        <f t="shared" si="37"/>
        <v>ACTIVE</v>
      </c>
      <c r="S594" s="8">
        <f>IF(Table5[[#This Row],[DEADSTOCK FLAG]]="DEAD",Table5[[#This Row],[Inventory Value]],0)</f>
        <v>0</v>
      </c>
    </row>
    <row r="595" spans="1:19" x14ac:dyDescent="0.25">
      <c r="A595" s="24" t="str">
        <f>'Inventory master'!A595</f>
        <v>ITEM594-A</v>
      </c>
      <c r="B595" s="6" t="str">
        <f>'Inventory master'!B595</f>
        <v>Mechanical Splicer</v>
      </c>
      <c r="C595" s="6" t="str">
        <f>'Inventory master'!C595</f>
        <v>Splicers</v>
      </c>
      <c r="D595" s="6" t="str">
        <f>'Inventory master'!D595</f>
        <v>Amphenol</v>
      </c>
      <c r="E595" s="10">
        <f>'Inventory master'!E595</f>
        <v>1914.41</v>
      </c>
      <c r="F595" s="10" t="str">
        <f>'Inventory master'!F595</f>
        <v>2397.23</v>
      </c>
      <c r="G595" s="10" t="str">
        <f>'Inventory master'!G595</f>
        <v>67</v>
      </c>
      <c r="H595" s="8">
        <f>IFERROR(_xlfn.XLOOKUP(A595, 'Opening stock'!A595:A1194, 'Opening stock'!E595:E1194), "")</f>
        <v>1005</v>
      </c>
      <c r="I595" s="8">
        <f>IFERROR(SUMIF(Table3[Item ID],'Inventory calculations'!A595,Table3[Quantity]),0)</f>
        <v>0</v>
      </c>
      <c r="J595" s="8">
        <f>IFERROR(SUMIF(Table4[Item ID],'Inventory calculations'!A595,Table4[Quantity Purchased]),0)</f>
        <v>55</v>
      </c>
      <c r="K595" s="10">
        <f t="shared" si="38"/>
        <v>1060</v>
      </c>
      <c r="L595" s="6" t="str">
        <f t="shared" si="39"/>
        <v>OK</v>
      </c>
      <c r="M595" s="13">
        <f t="shared" si="36"/>
        <v>2029274.6</v>
      </c>
      <c r="N595" s="8">
        <f>Table5[[#This Row],[Total Qty Sold]]*Table5[[#This Row],[Unit Price]]</f>
        <v>0</v>
      </c>
      <c r="O595" s="9"/>
      <c r="P595" s="40" t="str">
        <f ca="1">IF(Table5[[#This Row],[Last sale Date]]="","Never Sold",TODAY()-Table5[[#This Row],[Last sale Date]])</f>
        <v>Never Sold</v>
      </c>
      <c r="Q595" s="6" t="str">
        <f>IF(Table5[[#This Row],[Re order Level]]&lt;=Table5[[#This Row],[Current stock]],"ORDERASAP","OK BUT BE CHECKING")</f>
        <v>OK BUT BE CHECKING</v>
      </c>
      <c r="R595" s="6" t="str">
        <f t="shared" si="37"/>
        <v>ACTIVE</v>
      </c>
      <c r="S595" s="8">
        <f>IF(Table5[[#This Row],[DEADSTOCK FLAG]]="DEAD",Table5[[#This Row],[Inventory Value]],0)</f>
        <v>0</v>
      </c>
    </row>
    <row r="596" spans="1:19" x14ac:dyDescent="0.25">
      <c r="A596" s="24" t="str">
        <f>'Inventory master'!A596</f>
        <v>ITEM595-A</v>
      </c>
      <c r="B596" s="6" t="str">
        <f>'Inventory master'!B596</f>
        <v>Multi-Mode Fiber Cable 300m</v>
      </c>
      <c r="C596" s="6" t="str">
        <f>'Inventory master'!C596</f>
        <v>Fiber Optic Cables</v>
      </c>
      <c r="D596" s="6" t="str">
        <f>'Inventory master'!D596</f>
        <v>Corning Inc.</v>
      </c>
      <c r="E596" s="10">
        <f>'Inventory master'!E596</f>
        <v>994.98</v>
      </c>
      <c r="F596" s="10" t="str">
        <f>'Inventory master'!F596</f>
        <v>1316.08</v>
      </c>
      <c r="G596" s="10" t="str">
        <f>'Inventory master'!G596</f>
        <v>91</v>
      </c>
      <c r="H596" s="8">
        <f>IFERROR(_xlfn.XLOOKUP(A596, 'Opening stock'!A596:A1195, 'Opening stock'!E596:E1195), "")</f>
        <v>1365</v>
      </c>
      <c r="I596" s="8">
        <f>IFERROR(SUMIF(Table3[Item ID],'Inventory calculations'!A596,Table3[Quantity]),0)</f>
        <v>0</v>
      </c>
      <c r="J596" s="8">
        <f>IFERROR(SUMIF(Table4[Item ID],'Inventory calculations'!A596,Table4[Quantity Purchased]),0)</f>
        <v>0</v>
      </c>
      <c r="K596" s="10">
        <f t="shared" si="38"/>
        <v>1365</v>
      </c>
      <c r="L596" s="6" t="str">
        <f t="shared" si="39"/>
        <v>OK</v>
      </c>
      <c r="M596" s="13">
        <f t="shared" si="36"/>
        <v>1358147.7</v>
      </c>
      <c r="N596" s="8">
        <f>Table5[[#This Row],[Total Qty Sold]]*Table5[[#This Row],[Unit Price]]</f>
        <v>0</v>
      </c>
      <c r="O596" s="9"/>
      <c r="P596" s="40" t="str">
        <f ca="1">IF(Table5[[#This Row],[Last sale Date]]="","Never Sold",TODAY()-Table5[[#This Row],[Last sale Date]])</f>
        <v>Never Sold</v>
      </c>
      <c r="Q596" s="6" t="str">
        <f>IF(Table5[[#This Row],[Re order Level]]&lt;=Table5[[#This Row],[Current stock]],"ORDERASAP","OK BUT BE CHECKING")</f>
        <v>OK BUT BE CHECKING</v>
      </c>
      <c r="R596" s="6" t="str">
        <f t="shared" si="37"/>
        <v>ACTIVE</v>
      </c>
      <c r="S596" s="8">
        <f>IF(Table5[[#This Row],[DEADSTOCK FLAG]]="DEAD",Table5[[#This Row],[Inventory Value]],0)</f>
        <v>0</v>
      </c>
    </row>
    <row r="597" spans="1:19" x14ac:dyDescent="0.25">
      <c r="A597" s="24" t="str">
        <f>'Inventory master'!A597</f>
        <v>ITEM596-A</v>
      </c>
      <c r="B597" s="6" t="str">
        <f>'Inventory master'!B597</f>
        <v>Dome Enclosure</v>
      </c>
      <c r="C597" s="6" t="str">
        <f>'Inventory master'!C597</f>
        <v>Enclosures</v>
      </c>
      <c r="D597" s="6" t="str">
        <f>'Inventory master'!D597</f>
        <v>Prysmian Group</v>
      </c>
      <c r="E597" s="10">
        <f>'Inventory master'!E597</f>
        <v>1251.8499999999999</v>
      </c>
      <c r="F597" s="10" t="str">
        <f>'Inventory master'!F597</f>
        <v>1940.77</v>
      </c>
      <c r="G597" s="10" t="str">
        <f>'Inventory master'!G597</f>
        <v>65</v>
      </c>
      <c r="H597" s="8">
        <f>IFERROR(_xlfn.XLOOKUP(A597, 'Opening stock'!A597:A1196, 'Opening stock'!E597:E1196), "")</f>
        <v>975</v>
      </c>
      <c r="I597" s="8">
        <f>IFERROR(SUMIF(Table3[Item ID],'Inventory calculations'!A597,Table3[Quantity]),0)</f>
        <v>0</v>
      </c>
      <c r="J597" s="8">
        <f>IFERROR(SUMIF(Table4[Item ID],'Inventory calculations'!A597,Table4[Quantity Purchased]),0)</f>
        <v>0</v>
      </c>
      <c r="K597" s="10">
        <f t="shared" si="38"/>
        <v>975</v>
      </c>
      <c r="L597" s="6" t="str">
        <f t="shared" si="39"/>
        <v>OK</v>
      </c>
      <c r="M597" s="13">
        <f t="shared" si="36"/>
        <v>1220553.75</v>
      </c>
      <c r="N597" s="8">
        <f>Table5[[#This Row],[Total Qty Sold]]*Table5[[#This Row],[Unit Price]]</f>
        <v>0</v>
      </c>
      <c r="O597" s="9"/>
      <c r="P597" s="40" t="str">
        <f ca="1">IF(Table5[[#This Row],[Last sale Date]]="","Never Sold",TODAY()-Table5[[#This Row],[Last sale Date]])</f>
        <v>Never Sold</v>
      </c>
      <c r="Q597" s="6" t="str">
        <f>IF(Table5[[#This Row],[Re order Level]]&lt;=Table5[[#This Row],[Current stock]],"ORDERASAP","OK BUT BE CHECKING")</f>
        <v>OK BUT BE CHECKING</v>
      </c>
      <c r="R597" s="6" t="str">
        <f t="shared" si="37"/>
        <v>ACTIVE</v>
      </c>
      <c r="S597" s="8">
        <f>IF(Table5[[#This Row],[DEADSTOCK FLAG]]="DEAD",Table5[[#This Row],[Inventory Value]],0)</f>
        <v>0</v>
      </c>
    </row>
    <row r="598" spans="1:19" x14ac:dyDescent="0.25">
      <c r="A598" s="24" t="str">
        <f>'Inventory master'!A598</f>
        <v>ITEM597-A</v>
      </c>
      <c r="B598" s="6" t="str">
        <f>'Inventory master'!B598</f>
        <v>MPO UPC Connector</v>
      </c>
      <c r="C598" s="6" t="str">
        <f>'Inventory master'!C598</f>
        <v>Connectors</v>
      </c>
      <c r="D598" s="6" t="str">
        <f>'Inventory master'!D598</f>
        <v>Belden</v>
      </c>
      <c r="E598" s="10">
        <f>'Inventory master'!E598</f>
        <v>70.33</v>
      </c>
      <c r="F598" s="10" t="str">
        <f>'Inventory master'!F598</f>
        <v>82.95</v>
      </c>
      <c r="G598" s="10" t="str">
        <f>'Inventory master'!G598</f>
        <v>27</v>
      </c>
      <c r="H598" s="8">
        <f>IFERROR(_xlfn.XLOOKUP(A598, 'Opening stock'!A598:A1197, 'Opening stock'!E598:E1197), "")</f>
        <v>405</v>
      </c>
      <c r="I598" s="8">
        <f>IFERROR(SUMIF(Table3[Item ID],'Inventory calculations'!A598,Table3[Quantity]),0)</f>
        <v>0</v>
      </c>
      <c r="J598" s="8">
        <f>IFERROR(SUMIF(Table4[Item ID],'Inventory calculations'!A598,Table4[Quantity Purchased]),0)</f>
        <v>6</v>
      </c>
      <c r="K598" s="10">
        <f t="shared" si="38"/>
        <v>411</v>
      </c>
      <c r="L598" s="6" t="str">
        <f t="shared" si="39"/>
        <v>OK</v>
      </c>
      <c r="M598" s="13">
        <f t="shared" si="36"/>
        <v>28905.63</v>
      </c>
      <c r="N598" s="8">
        <f>Table5[[#This Row],[Total Qty Sold]]*Table5[[#This Row],[Unit Price]]</f>
        <v>0</v>
      </c>
      <c r="O598" s="9"/>
      <c r="P598" s="40" t="str">
        <f ca="1">IF(Table5[[#This Row],[Last sale Date]]="","Never Sold",TODAY()-Table5[[#This Row],[Last sale Date]])</f>
        <v>Never Sold</v>
      </c>
      <c r="Q598" s="6" t="str">
        <f>IF(Table5[[#This Row],[Re order Level]]&lt;=Table5[[#This Row],[Current stock]],"ORDERASAP","OK BUT BE CHECKING")</f>
        <v>OK BUT BE CHECKING</v>
      </c>
      <c r="R598" s="6" t="str">
        <f t="shared" si="37"/>
        <v>ACTIVE</v>
      </c>
      <c r="S598" s="8">
        <f>IF(Table5[[#This Row],[DEADSTOCK FLAG]]="DEAD",Table5[[#This Row],[Inventory Value]],0)</f>
        <v>0</v>
      </c>
    </row>
    <row r="599" spans="1:19" x14ac:dyDescent="0.25">
      <c r="A599" s="24" t="str">
        <f>'Inventory master'!A599</f>
        <v>ITEM598-A</v>
      </c>
      <c r="B599" s="6" t="str">
        <f>'Inventory master'!B599</f>
        <v>Fiber Jumper</v>
      </c>
      <c r="C599" s="6" t="str">
        <f>'Inventory master'!C599</f>
        <v>Accessories</v>
      </c>
      <c r="D599" s="6" t="str">
        <f>'Inventory master'!D599</f>
        <v>HellermannTyton</v>
      </c>
      <c r="E599" s="10">
        <f>'Inventory master'!E599</f>
        <v>1132.94</v>
      </c>
      <c r="F599" s="10" t="str">
        <f>'Inventory master'!F599</f>
        <v>1814.09</v>
      </c>
      <c r="G599" s="10" t="str">
        <f>'Inventory master'!G599</f>
        <v>93</v>
      </c>
      <c r="H599" s="8">
        <f>IFERROR(_xlfn.XLOOKUP(A599, 'Opening stock'!A599:A1198, 'Opening stock'!E599:E1198), "")</f>
        <v>1395</v>
      </c>
      <c r="I599" s="8">
        <f>IFERROR(SUMIF(Table3[Item ID],'Inventory calculations'!A599,Table3[Quantity]),0)</f>
        <v>8</v>
      </c>
      <c r="J599" s="8">
        <f>IFERROR(SUMIF(Table4[Item ID],'Inventory calculations'!A599,Table4[Quantity Purchased]),0)</f>
        <v>4</v>
      </c>
      <c r="K599" s="10">
        <f t="shared" si="38"/>
        <v>1391</v>
      </c>
      <c r="L599" s="6" t="str">
        <f t="shared" si="39"/>
        <v>OK</v>
      </c>
      <c r="M599" s="13">
        <f t="shared" si="36"/>
        <v>1575919.54</v>
      </c>
      <c r="N599" s="8">
        <f>Table5[[#This Row],[Total Qty Sold]]*Table5[[#This Row],[Unit Price]]</f>
        <v>14512.72</v>
      </c>
      <c r="O599" s="9">
        <f>IFERROR(_xlfn.MAXIFS(Table3[Date],Table3[Item ID],Table5[[#This Row],[Item ID]]),"")</f>
        <v>45960</v>
      </c>
      <c r="P599" s="40">
        <f ca="1">IF(Table5[[#This Row],[Last sale Date]]="","Never Sold",TODAY()-Table5[[#This Row],[Last sale Date]])</f>
        <v>92</v>
      </c>
      <c r="Q599" s="6" t="str">
        <f>IF(Table5[[#This Row],[Re order Level]]&lt;=Table5[[#This Row],[Current stock]],"ORDERASAP","OK BUT BE CHECKING")</f>
        <v>OK BUT BE CHECKING</v>
      </c>
      <c r="R599" s="6" t="str">
        <f t="shared" si="37"/>
        <v>ACTIVE</v>
      </c>
      <c r="S599" s="8">
        <f>IF(Table5[[#This Row],[DEADSTOCK FLAG]]="DEAD",Table5[[#This Row],[Inventory Value]],0)</f>
        <v>0</v>
      </c>
    </row>
    <row r="600" spans="1:19" x14ac:dyDescent="0.25">
      <c r="A600" s="24" t="str">
        <f>'Inventory master'!A600</f>
        <v>ITEM599-A</v>
      </c>
      <c r="B600" s="6" t="str">
        <f>'Inventory master'!B600</f>
        <v>SFP+ Transceiver</v>
      </c>
      <c r="C600" s="6" t="str">
        <f>'Inventory master'!C600</f>
        <v>Transceivers</v>
      </c>
      <c r="D600" s="6" t="str">
        <f>'Inventory master'!D600</f>
        <v>HellermannTyton</v>
      </c>
      <c r="E600" s="10">
        <f>'Inventory master'!E600</f>
        <v>1028.8599999999999</v>
      </c>
      <c r="F600" s="10" t="str">
        <f>'Inventory master'!F600</f>
        <v>1639.28</v>
      </c>
      <c r="G600" s="10" t="str">
        <f>'Inventory master'!G600</f>
        <v>87</v>
      </c>
      <c r="H600" s="8">
        <f>IFERROR(_xlfn.XLOOKUP(A600, 'Opening stock'!A600:A1199, 'Opening stock'!E600:E1199), "")</f>
        <v>1305</v>
      </c>
      <c r="I600" s="8">
        <f>IFERROR(SUMIF(Table3[Item ID],'Inventory calculations'!A600,Table3[Quantity]),0)</f>
        <v>0</v>
      </c>
      <c r="J600" s="8">
        <f>IFERROR(SUMIF(Table4[Item ID],'Inventory calculations'!A600,Table4[Quantity Purchased]),0)</f>
        <v>18</v>
      </c>
      <c r="K600" s="10">
        <f t="shared" si="38"/>
        <v>1323</v>
      </c>
      <c r="L600" s="6" t="str">
        <f t="shared" si="39"/>
        <v>OK</v>
      </c>
      <c r="M600" s="13">
        <f t="shared" si="36"/>
        <v>1361181.7799999998</v>
      </c>
      <c r="N600" s="8">
        <f>Table5[[#This Row],[Total Qty Sold]]*Table5[[#This Row],[Unit Price]]</f>
        <v>0</v>
      </c>
      <c r="O600" s="9"/>
      <c r="P600" s="40" t="str">
        <f ca="1">IF(Table5[[#This Row],[Last sale Date]]="","Never Sold",TODAY()-Table5[[#This Row],[Last sale Date]])</f>
        <v>Never Sold</v>
      </c>
      <c r="Q600" s="6" t="str">
        <f>IF(Table5[[#This Row],[Re order Level]]&lt;=Table5[[#This Row],[Current stock]],"ORDERASAP","OK BUT BE CHECKING")</f>
        <v>OK BUT BE CHECKING</v>
      </c>
      <c r="R600" s="6" t="str">
        <f t="shared" si="37"/>
        <v>ACTIVE</v>
      </c>
      <c r="S600" s="8">
        <f>IF(Table5[[#This Row],[DEADSTOCK FLAG]]="DEAD",Table5[[#This Row],[Inventory Value]],0)</f>
        <v>0</v>
      </c>
    </row>
    <row r="601" spans="1:19" x14ac:dyDescent="0.25">
      <c r="A601" s="26" t="str">
        <f>'Inventory master'!A601</f>
        <v>ITEM600-A</v>
      </c>
      <c r="B601" s="15" t="str">
        <f>'Inventory master'!B601</f>
        <v>Fiber Jumper</v>
      </c>
      <c r="C601" s="15" t="str">
        <f>'Inventory master'!C601</f>
        <v>Accessories</v>
      </c>
      <c r="D601" s="15" t="str">
        <f>'Inventory master'!D601</f>
        <v>Belden</v>
      </c>
      <c r="E601" s="36">
        <f>'Inventory master'!E601</f>
        <v>1680.72</v>
      </c>
      <c r="F601" s="36" t="str">
        <f>'Inventory master'!F601</f>
        <v>2126.26</v>
      </c>
      <c r="G601" s="36" t="str">
        <f>'Inventory master'!G601</f>
        <v>53</v>
      </c>
      <c r="H601" s="17">
        <f>IFERROR(_xlfn.XLOOKUP(A601, 'Opening stock'!A601:A1200, 'Opening stock'!E601:E1200), "")</f>
        <v>795</v>
      </c>
      <c r="I601" s="17">
        <f>IFERROR(SUMIF(Table3[Item ID],'Inventory calculations'!A601,Table3[Quantity]),0)</f>
        <v>0</v>
      </c>
      <c r="J601" s="17">
        <f>IFERROR(SUMIF(Table4[Item ID],'Inventory calculations'!A601,Table4[Quantity Purchased]),0)</f>
        <v>10</v>
      </c>
      <c r="K601" s="36">
        <f t="shared" si="38"/>
        <v>805</v>
      </c>
      <c r="L601" s="15" t="str">
        <f t="shared" si="39"/>
        <v>OK</v>
      </c>
      <c r="M601" s="18">
        <f t="shared" si="36"/>
        <v>1352979.6</v>
      </c>
      <c r="N601" s="8">
        <f>Table5[[#This Row],[Total Qty Sold]]*Table5[[#This Row],[Unit Price]]</f>
        <v>0</v>
      </c>
      <c r="O601" s="9"/>
      <c r="P601" s="40" t="str">
        <f ca="1">IF(Table5[[#This Row],[Last sale Date]]="","Never Sold",TODAY()-Table5[[#This Row],[Last sale Date]])</f>
        <v>Never Sold</v>
      </c>
      <c r="Q601" s="6" t="str">
        <f>IF(Table5[[#This Row],[Re order Level]]&lt;=Table5[[#This Row],[Current stock]],"ORDERASAP","OK BUT BE CHECKING")</f>
        <v>OK BUT BE CHECKING</v>
      </c>
      <c r="R601" s="6" t="str">
        <f t="shared" si="37"/>
        <v>ACTIVE</v>
      </c>
      <c r="S601" s="8">
        <f>IF(Table5[[#This Row],[DEADSTOCK FLAG]]="DEAD",Table5[[#This Row],[Inventory Value]],0)</f>
        <v>0</v>
      </c>
    </row>
  </sheetData>
  <conditionalFormatting sqref="K2:K601">
    <cfRule type="expression" priority="1">
      <formula>"&lt;1"</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4277-C7AD-40E0-8979-292DA6DF31A2}">
  <dimension ref="A1:C553"/>
  <sheetViews>
    <sheetView topLeftCell="A11" workbookViewId="0">
      <selection activeCell="A18" sqref="A18:B90"/>
    </sheetView>
  </sheetViews>
  <sheetFormatPr defaultRowHeight="10.5" x14ac:dyDescent="0.25"/>
  <cols>
    <col min="1" max="1" width="26.36328125" style="5" bestFit="1" customWidth="1"/>
    <col min="2" max="2" width="19" style="5" bestFit="1" customWidth="1"/>
    <col min="3" max="16384" width="8.7265625" style="5"/>
  </cols>
  <sheetData>
    <row r="1" spans="1:3" x14ac:dyDescent="0.25">
      <c r="A1" s="2" t="s">
        <v>3175</v>
      </c>
    </row>
    <row r="2" spans="1:3" ht="14.5" x14ac:dyDescent="0.35">
      <c r="A2" s="48" t="s">
        <v>3176</v>
      </c>
      <c r="B2" s="48" t="s">
        <v>3190</v>
      </c>
      <c r="C2" s="48"/>
    </row>
    <row r="3" spans="1:3" ht="14.5" x14ac:dyDescent="0.35">
      <c r="A3" s="49" t="s">
        <v>3178</v>
      </c>
      <c r="B3" s="50">
        <v>373</v>
      </c>
      <c r="C3" s="48"/>
    </row>
    <row r="4" spans="1:3" ht="14.5" x14ac:dyDescent="0.35">
      <c r="A4" s="49" t="s">
        <v>3179</v>
      </c>
      <c r="B4" s="50">
        <v>389</v>
      </c>
      <c r="C4" s="48"/>
    </row>
    <row r="5" spans="1:3" ht="14.5" x14ac:dyDescent="0.35">
      <c r="A5" s="49" t="s">
        <v>3180</v>
      </c>
      <c r="B5" s="50">
        <v>463</v>
      </c>
      <c r="C5" s="48"/>
    </row>
    <row r="6" spans="1:3" ht="14.5" x14ac:dyDescent="0.35">
      <c r="A6" s="49" t="s">
        <v>3181</v>
      </c>
      <c r="B6" s="50">
        <v>389</v>
      </c>
      <c r="C6" s="48"/>
    </row>
    <row r="7" spans="1:3" ht="14.5" x14ac:dyDescent="0.35">
      <c r="A7" s="49" t="s">
        <v>3182</v>
      </c>
      <c r="B7" s="50">
        <v>363</v>
      </c>
      <c r="C7" s="48"/>
    </row>
    <row r="8" spans="1:3" ht="14.5" x14ac:dyDescent="0.35">
      <c r="A8" s="49" t="s">
        <v>3183</v>
      </c>
      <c r="B8" s="50">
        <v>849</v>
      </c>
      <c r="C8" s="48"/>
    </row>
    <row r="9" spans="1:3" ht="14.5" x14ac:dyDescent="0.35">
      <c r="A9" s="49" t="s">
        <v>3184</v>
      </c>
      <c r="B9" s="50">
        <v>366</v>
      </c>
      <c r="C9" s="48"/>
    </row>
    <row r="10" spans="1:3" ht="14.5" x14ac:dyDescent="0.35">
      <c r="A10" s="49" t="s">
        <v>3185</v>
      </c>
      <c r="B10" s="50">
        <v>499</v>
      </c>
      <c r="C10" s="48"/>
    </row>
    <row r="11" spans="1:3" ht="14.5" x14ac:dyDescent="0.35">
      <c r="A11" s="49" t="s">
        <v>3186</v>
      </c>
      <c r="B11" s="50">
        <v>429</v>
      </c>
      <c r="C11" s="48"/>
    </row>
    <row r="12" spans="1:3" ht="14.5" x14ac:dyDescent="0.35">
      <c r="A12" s="49" t="s">
        <v>3187</v>
      </c>
      <c r="B12" s="50">
        <v>498</v>
      </c>
      <c r="C12" s="48"/>
    </row>
    <row r="13" spans="1:3" ht="14.5" x14ac:dyDescent="0.35">
      <c r="A13" s="49" t="s">
        <v>3188</v>
      </c>
      <c r="B13" s="50">
        <v>369</v>
      </c>
      <c r="C13" s="48"/>
    </row>
    <row r="14" spans="1:3" ht="14.5" x14ac:dyDescent="0.35">
      <c r="A14" s="49" t="s">
        <v>3189</v>
      </c>
      <c r="B14" s="50">
        <v>362</v>
      </c>
      <c r="C14" s="48"/>
    </row>
    <row r="15" spans="1:3" ht="14.5" x14ac:dyDescent="0.35">
      <c r="A15" s="49" t="s">
        <v>3177</v>
      </c>
      <c r="B15" s="50">
        <v>5349</v>
      </c>
      <c r="C15" s="48"/>
    </row>
    <row r="16" spans="1:3" ht="14.5" x14ac:dyDescent="0.35">
      <c r="A16" s="48"/>
      <c r="B16" s="48"/>
      <c r="C16" s="48"/>
    </row>
    <row r="17" spans="1:3" ht="14.5" x14ac:dyDescent="0.35">
      <c r="A17" s="48" t="s">
        <v>3191</v>
      </c>
      <c r="B17" s="48"/>
      <c r="C17" s="48"/>
    </row>
    <row r="18" spans="1:3" ht="14.5" x14ac:dyDescent="0.35">
      <c r="A18" s="51" t="s">
        <v>3176</v>
      </c>
      <c r="B18" s="51" t="s">
        <v>3192</v>
      </c>
      <c r="C18" s="48"/>
    </row>
    <row r="19" spans="1:3" ht="14.5" x14ac:dyDescent="0.35">
      <c r="A19" s="52" t="s">
        <v>57</v>
      </c>
      <c r="B19" s="53">
        <v>261</v>
      </c>
      <c r="C19" s="48"/>
    </row>
    <row r="20" spans="1:3" ht="14.5" x14ac:dyDescent="0.35">
      <c r="A20" s="52" t="s">
        <v>7</v>
      </c>
      <c r="B20" s="53">
        <v>443</v>
      </c>
      <c r="C20" s="48"/>
    </row>
    <row r="21" spans="1:3" ht="14.5" x14ac:dyDescent="0.35">
      <c r="A21" s="52" t="s">
        <v>74</v>
      </c>
      <c r="B21" s="53">
        <v>0</v>
      </c>
      <c r="C21" s="48"/>
    </row>
    <row r="22" spans="1:3" ht="14.5" x14ac:dyDescent="0.35">
      <c r="A22" s="52" t="s">
        <v>110</v>
      </c>
      <c r="B22" s="53">
        <v>55</v>
      </c>
      <c r="C22" s="48"/>
    </row>
    <row r="23" spans="1:3" ht="14.5" x14ac:dyDescent="0.35">
      <c r="A23" s="52" t="s">
        <v>263</v>
      </c>
      <c r="B23" s="53">
        <v>12</v>
      </c>
      <c r="C23" s="48"/>
    </row>
    <row r="24" spans="1:3" ht="14.5" x14ac:dyDescent="0.35">
      <c r="A24" s="52" t="s">
        <v>22</v>
      </c>
      <c r="B24" s="53">
        <v>132</v>
      </c>
      <c r="C24" s="48"/>
    </row>
    <row r="25" spans="1:3" ht="14.5" x14ac:dyDescent="0.35">
      <c r="A25" s="52" t="s">
        <v>87</v>
      </c>
      <c r="B25" s="53">
        <v>0</v>
      </c>
      <c r="C25" s="48"/>
    </row>
    <row r="26" spans="1:3" ht="14.5" x14ac:dyDescent="0.35">
      <c r="A26" s="52" t="s">
        <v>41</v>
      </c>
      <c r="B26" s="53">
        <v>144</v>
      </c>
      <c r="C26" s="48"/>
    </row>
    <row r="27" spans="1:3" ht="14.5" x14ac:dyDescent="0.35">
      <c r="A27" s="52" t="s">
        <v>398</v>
      </c>
      <c r="B27" s="53">
        <v>163</v>
      </c>
      <c r="C27" s="48"/>
    </row>
    <row r="28" spans="1:3" ht="14.5" x14ac:dyDescent="0.35">
      <c r="A28" s="52" t="s">
        <v>47</v>
      </c>
      <c r="B28" s="53">
        <v>25</v>
      </c>
      <c r="C28" s="48"/>
    </row>
    <row r="29" spans="1:3" ht="14.5" x14ac:dyDescent="0.35">
      <c r="A29" s="52" t="s">
        <v>1186</v>
      </c>
      <c r="B29" s="53">
        <v>0</v>
      </c>
      <c r="C29" s="48"/>
    </row>
    <row r="30" spans="1:3" ht="14.5" x14ac:dyDescent="0.35">
      <c r="A30" s="52" t="s">
        <v>122</v>
      </c>
      <c r="B30" s="53">
        <v>0</v>
      </c>
      <c r="C30" s="48"/>
    </row>
    <row r="31" spans="1:3" ht="14.5" x14ac:dyDescent="0.35">
      <c r="A31" s="52" t="s">
        <v>523</v>
      </c>
      <c r="B31" s="53">
        <v>8</v>
      </c>
      <c r="C31" s="48"/>
    </row>
    <row r="32" spans="1:3" ht="14.5" x14ac:dyDescent="0.35">
      <c r="A32" s="52" t="s">
        <v>356</v>
      </c>
      <c r="B32" s="53">
        <v>18</v>
      </c>
      <c r="C32" s="48"/>
    </row>
    <row r="33" spans="1:3" ht="14.5" x14ac:dyDescent="0.35">
      <c r="A33" s="52" t="s">
        <v>663</v>
      </c>
      <c r="B33" s="53">
        <v>0</v>
      </c>
      <c r="C33" s="48"/>
    </row>
    <row r="34" spans="1:3" ht="14.5" x14ac:dyDescent="0.35">
      <c r="A34" s="52" t="s">
        <v>100</v>
      </c>
      <c r="B34" s="53">
        <v>0</v>
      </c>
      <c r="C34" s="48"/>
    </row>
    <row r="35" spans="1:3" ht="14.5" x14ac:dyDescent="0.35">
      <c r="A35" s="52" t="s">
        <v>349</v>
      </c>
      <c r="B35" s="53">
        <v>150</v>
      </c>
      <c r="C35" s="48"/>
    </row>
    <row r="36" spans="1:3" ht="14.5" x14ac:dyDescent="0.35">
      <c r="A36" s="52" t="s">
        <v>118</v>
      </c>
      <c r="B36" s="53">
        <v>16</v>
      </c>
    </row>
    <row r="37" spans="1:3" ht="14.5" x14ac:dyDescent="0.35">
      <c r="A37" s="52" t="s">
        <v>344</v>
      </c>
      <c r="B37" s="53">
        <v>6</v>
      </c>
    </row>
    <row r="38" spans="1:3" ht="14.5" x14ac:dyDescent="0.35">
      <c r="A38" s="52" t="s">
        <v>26</v>
      </c>
      <c r="B38" s="53">
        <v>178</v>
      </c>
    </row>
    <row r="39" spans="1:3" ht="14.5" x14ac:dyDescent="0.35">
      <c r="A39" s="52" t="s">
        <v>142</v>
      </c>
      <c r="B39" s="53">
        <v>192</v>
      </c>
    </row>
    <row r="40" spans="1:3" ht="14.5" x14ac:dyDescent="0.35">
      <c r="A40" s="52" t="s">
        <v>157</v>
      </c>
      <c r="B40" s="53">
        <v>208</v>
      </c>
    </row>
    <row r="41" spans="1:3" ht="14.5" x14ac:dyDescent="0.35">
      <c r="A41" s="52" t="s">
        <v>518</v>
      </c>
      <c r="B41" s="53">
        <v>0</v>
      </c>
    </row>
    <row r="42" spans="1:3" ht="14.5" x14ac:dyDescent="0.35">
      <c r="A42" s="52" t="s">
        <v>184</v>
      </c>
      <c r="B42" s="53">
        <v>338</v>
      </c>
    </row>
    <row r="43" spans="1:3" ht="14.5" x14ac:dyDescent="0.35">
      <c r="A43" s="52" t="s">
        <v>163</v>
      </c>
      <c r="B43" s="53">
        <v>169</v>
      </c>
    </row>
    <row r="44" spans="1:3" ht="14.5" x14ac:dyDescent="0.35">
      <c r="A44" s="52" t="s">
        <v>214</v>
      </c>
      <c r="B44" s="53">
        <v>0</v>
      </c>
    </row>
    <row r="45" spans="1:3" ht="14.5" x14ac:dyDescent="0.35">
      <c r="A45" s="52" t="s">
        <v>255</v>
      </c>
      <c r="B45" s="53">
        <v>36</v>
      </c>
    </row>
    <row r="46" spans="1:3" ht="14.5" x14ac:dyDescent="0.35">
      <c r="A46" s="52" t="s">
        <v>241</v>
      </c>
      <c r="B46" s="53">
        <v>37</v>
      </c>
    </row>
    <row r="47" spans="1:3" ht="14.5" x14ac:dyDescent="0.35">
      <c r="A47" s="52" t="s">
        <v>650</v>
      </c>
      <c r="B47" s="53">
        <v>0</v>
      </c>
    </row>
    <row r="48" spans="1:3" ht="14.5" x14ac:dyDescent="0.35">
      <c r="A48" s="52" t="s">
        <v>150</v>
      </c>
      <c r="B48" s="53">
        <v>0</v>
      </c>
    </row>
    <row r="49" spans="1:2" ht="14.5" x14ac:dyDescent="0.35">
      <c r="A49" s="52" t="s">
        <v>385</v>
      </c>
      <c r="B49" s="53">
        <v>30</v>
      </c>
    </row>
    <row r="50" spans="1:2" ht="14.5" x14ac:dyDescent="0.35">
      <c r="A50" s="52" t="s">
        <v>31</v>
      </c>
      <c r="B50" s="53">
        <v>403</v>
      </c>
    </row>
    <row r="51" spans="1:2" ht="14.5" x14ac:dyDescent="0.35">
      <c r="A51" s="52" t="s">
        <v>274</v>
      </c>
      <c r="B51" s="53">
        <v>29</v>
      </c>
    </row>
    <row r="52" spans="1:2" ht="14.5" x14ac:dyDescent="0.35">
      <c r="A52" s="52" t="s">
        <v>468</v>
      </c>
      <c r="B52" s="53">
        <v>427</v>
      </c>
    </row>
    <row r="53" spans="1:2" ht="14.5" x14ac:dyDescent="0.35">
      <c r="A53" s="52" t="s">
        <v>70</v>
      </c>
      <c r="B53" s="53">
        <v>0</v>
      </c>
    </row>
    <row r="54" spans="1:2" ht="14.5" x14ac:dyDescent="0.35">
      <c r="A54" s="52" t="s">
        <v>35</v>
      </c>
      <c r="B54" s="53">
        <v>416</v>
      </c>
    </row>
    <row r="55" spans="1:2" ht="14.5" x14ac:dyDescent="0.35">
      <c r="A55" s="52" t="s">
        <v>423</v>
      </c>
      <c r="B55" s="53">
        <v>15</v>
      </c>
    </row>
    <row r="56" spans="1:2" ht="14.5" x14ac:dyDescent="0.35">
      <c r="A56" s="52" t="s">
        <v>1159</v>
      </c>
      <c r="B56" s="53">
        <v>0</v>
      </c>
    </row>
    <row r="57" spans="1:2" ht="14.5" x14ac:dyDescent="0.35">
      <c r="A57" s="52" t="s">
        <v>309</v>
      </c>
      <c r="B57" s="53">
        <v>0</v>
      </c>
    </row>
    <row r="58" spans="1:2" ht="14.5" x14ac:dyDescent="0.35">
      <c r="A58" s="52" t="s">
        <v>874</v>
      </c>
      <c r="B58" s="53">
        <v>0</v>
      </c>
    </row>
    <row r="59" spans="1:2" ht="14.5" x14ac:dyDescent="0.35">
      <c r="A59" s="52" t="s">
        <v>62</v>
      </c>
      <c r="B59" s="53">
        <v>4</v>
      </c>
    </row>
    <row r="60" spans="1:2" ht="14.5" x14ac:dyDescent="0.35">
      <c r="A60" s="52" t="s">
        <v>250</v>
      </c>
      <c r="B60" s="53">
        <v>0</v>
      </c>
    </row>
    <row r="61" spans="1:2" ht="14.5" x14ac:dyDescent="0.35">
      <c r="A61" s="52" t="s">
        <v>12</v>
      </c>
      <c r="B61" s="53">
        <v>118</v>
      </c>
    </row>
    <row r="62" spans="1:2" ht="14.5" x14ac:dyDescent="0.35">
      <c r="A62" s="52" t="s">
        <v>228</v>
      </c>
      <c r="B62" s="53">
        <v>0</v>
      </c>
    </row>
    <row r="63" spans="1:2" ht="14.5" x14ac:dyDescent="0.35">
      <c r="A63" s="52" t="s">
        <v>576</v>
      </c>
      <c r="B63" s="53">
        <v>15</v>
      </c>
    </row>
    <row r="64" spans="1:2" ht="14.5" x14ac:dyDescent="0.35">
      <c r="A64" s="52" t="s">
        <v>594</v>
      </c>
      <c r="B64" s="53">
        <v>0</v>
      </c>
    </row>
    <row r="65" spans="1:2" ht="14.5" x14ac:dyDescent="0.35">
      <c r="A65" s="52" t="s">
        <v>82</v>
      </c>
      <c r="B65" s="53">
        <v>12</v>
      </c>
    </row>
    <row r="66" spans="1:2" ht="14.5" x14ac:dyDescent="0.35">
      <c r="A66" s="52" t="s">
        <v>777</v>
      </c>
      <c r="B66" s="53">
        <v>211</v>
      </c>
    </row>
    <row r="67" spans="1:2" ht="14.5" x14ac:dyDescent="0.35">
      <c r="A67" s="52" t="s">
        <v>455</v>
      </c>
      <c r="B67" s="53">
        <v>16</v>
      </c>
    </row>
    <row r="68" spans="1:2" ht="14.5" x14ac:dyDescent="0.35">
      <c r="A68" s="52" t="s">
        <v>1231</v>
      </c>
      <c r="B68" s="53">
        <v>0</v>
      </c>
    </row>
    <row r="69" spans="1:2" ht="14.5" x14ac:dyDescent="0.35">
      <c r="A69" s="52" t="s">
        <v>1057</v>
      </c>
      <c r="B69" s="53">
        <v>0</v>
      </c>
    </row>
    <row r="70" spans="1:2" ht="14.5" x14ac:dyDescent="0.35">
      <c r="A70" s="52" t="s">
        <v>1030</v>
      </c>
      <c r="B70" s="53">
        <v>11</v>
      </c>
    </row>
    <row r="71" spans="1:2" ht="14.5" x14ac:dyDescent="0.35">
      <c r="A71" s="52" t="s">
        <v>434</v>
      </c>
      <c r="B71" s="53">
        <v>0</v>
      </c>
    </row>
    <row r="72" spans="1:2" ht="14.5" x14ac:dyDescent="0.35">
      <c r="A72" s="52" t="s">
        <v>591</v>
      </c>
      <c r="B72" s="53">
        <v>9</v>
      </c>
    </row>
    <row r="73" spans="1:2" ht="14.5" x14ac:dyDescent="0.35">
      <c r="A73" s="52" t="s">
        <v>509</v>
      </c>
      <c r="B73" s="53">
        <v>10</v>
      </c>
    </row>
    <row r="74" spans="1:2" ht="14.5" x14ac:dyDescent="0.35">
      <c r="A74" s="52" t="s">
        <v>796</v>
      </c>
      <c r="B74" s="53">
        <v>0</v>
      </c>
    </row>
    <row r="75" spans="1:2" ht="14.5" x14ac:dyDescent="0.35">
      <c r="A75" s="52" t="s">
        <v>197</v>
      </c>
      <c r="B75" s="53">
        <v>0</v>
      </c>
    </row>
    <row r="76" spans="1:2" ht="14.5" x14ac:dyDescent="0.35">
      <c r="A76" s="52" t="s">
        <v>178</v>
      </c>
      <c r="B76" s="53">
        <v>246</v>
      </c>
    </row>
    <row r="77" spans="1:2" ht="14.5" x14ac:dyDescent="0.35">
      <c r="A77" s="52" t="s">
        <v>133</v>
      </c>
      <c r="B77" s="53">
        <v>3</v>
      </c>
    </row>
    <row r="78" spans="1:2" ht="14.5" x14ac:dyDescent="0.35">
      <c r="A78" s="52" t="s">
        <v>51</v>
      </c>
      <c r="B78" s="53">
        <v>22</v>
      </c>
    </row>
    <row r="79" spans="1:2" ht="14.5" x14ac:dyDescent="0.35">
      <c r="A79" s="52" t="s">
        <v>407</v>
      </c>
      <c r="B79" s="53">
        <v>169</v>
      </c>
    </row>
    <row r="80" spans="1:2" ht="14.5" x14ac:dyDescent="0.35">
      <c r="A80" s="52" t="s">
        <v>647</v>
      </c>
      <c r="B80" s="53">
        <v>233</v>
      </c>
    </row>
    <row r="81" spans="1:2" ht="14.5" x14ac:dyDescent="0.35">
      <c r="A81" s="52" t="s">
        <v>416</v>
      </c>
      <c r="B81" s="53">
        <v>13</v>
      </c>
    </row>
    <row r="82" spans="1:2" ht="14.5" x14ac:dyDescent="0.35">
      <c r="A82" s="52" t="s">
        <v>364</v>
      </c>
      <c r="B82" s="53">
        <v>51</v>
      </c>
    </row>
    <row r="83" spans="1:2" ht="14.5" x14ac:dyDescent="0.35">
      <c r="A83" s="52" t="s">
        <v>563</v>
      </c>
      <c r="B83" s="53">
        <v>0</v>
      </c>
    </row>
    <row r="84" spans="1:2" ht="14.5" x14ac:dyDescent="0.35">
      <c r="A84" s="52" t="s">
        <v>187</v>
      </c>
      <c r="B84" s="53">
        <v>0</v>
      </c>
    </row>
    <row r="85" spans="1:2" ht="14.5" x14ac:dyDescent="0.35">
      <c r="A85" s="52" t="s">
        <v>17</v>
      </c>
      <c r="B85" s="53">
        <v>113</v>
      </c>
    </row>
    <row r="86" spans="1:2" ht="14.5" x14ac:dyDescent="0.35">
      <c r="A86" s="52" t="s">
        <v>1064</v>
      </c>
      <c r="B86" s="53">
        <v>0</v>
      </c>
    </row>
    <row r="87" spans="1:2" ht="14.5" x14ac:dyDescent="0.35">
      <c r="A87" s="52" t="s">
        <v>726</v>
      </c>
      <c r="B87" s="53">
        <v>17</v>
      </c>
    </row>
    <row r="88" spans="1:2" ht="14.5" x14ac:dyDescent="0.35">
      <c r="A88" s="52" t="s">
        <v>841</v>
      </c>
      <c r="B88" s="53">
        <v>31</v>
      </c>
    </row>
    <row r="89" spans="1:2" ht="14.5" x14ac:dyDescent="0.35">
      <c r="A89" s="52" t="s">
        <v>126</v>
      </c>
      <c r="B89" s="53">
        <v>46</v>
      </c>
    </row>
    <row r="90" spans="1:2" ht="14.5" x14ac:dyDescent="0.35">
      <c r="A90" s="52" t="s">
        <v>361</v>
      </c>
      <c r="B90" s="53">
        <v>63</v>
      </c>
    </row>
    <row r="91" spans="1:2" ht="14.5" x14ac:dyDescent="0.35">
      <c r="A91" s="49" t="s">
        <v>3177</v>
      </c>
      <c r="B91" s="50">
        <v>5324</v>
      </c>
    </row>
    <row r="92" spans="1:2" ht="14.5" x14ac:dyDescent="0.35">
      <c r="A92" s="48"/>
    </row>
    <row r="93" spans="1:2" ht="14.5" x14ac:dyDescent="0.35">
      <c r="A93" s="48"/>
    </row>
    <row r="94" spans="1:2" ht="14.5" x14ac:dyDescent="0.35">
      <c r="A94" s="48"/>
    </row>
    <row r="95" spans="1:2" ht="14.5" x14ac:dyDescent="0.35">
      <c r="A95" s="48"/>
    </row>
    <row r="96" spans="1:2" ht="14.5" x14ac:dyDescent="0.35">
      <c r="A96" s="48"/>
    </row>
    <row r="97" spans="1:1" ht="14.5" x14ac:dyDescent="0.35">
      <c r="A97" s="48"/>
    </row>
    <row r="98" spans="1:1" ht="14.5" x14ac:dyDescent="0.35">
      <c r="A98" s="48"/>
    </row>
    <row r="99" spans="1:1" ht="14.5" x14ac:dyDescent="0.35">
      <c r="A99" s="48"/>
    </row>
    <row r="100" spans="1:1" ht="14.5" x14ac:dyDescent="0.35">
      <c r="A100" s="48"/>
    </row>
    <row r="101" spans="1:1" ht="14.5" x14ac:dyDescent="0.35">
      <c r="A101" s="48"/>
    </row>
    <row r="102" spans="1:1" ht="14.5" x14ac:dyDescent="0.35">
      <c r="A102" s="48"/>
    </row>
    <row r="103" spans="1:1" ht="14.5" x14ac:dyDescent="0.35">
      <c r="A103" s="48"/>
    </row>
    <row r="104" spans="1:1" ht="14.5" x14ac:dyDescent="0.35">
      <c r="A104" s="48"/>
    </row>
    <row r="105" spans="1:1" ht="14.5" x14ac:dyDescent="0.35">
      <c r="A105" s="48"/>
    </row>
    <row r="106" spans="1:1" ht="14.5" x14ac:dyDescent="0.35">
      <c r="A106" s="48"/>
    </row>
    <row r="107" spans="1:1" ht="14.5" x14ac:dyDescent="0.35">
      <c r="A107" s="48"/>
    </row>
    <row r="108" spans="1:1" ht="14.5" x14ac:dyDescent="0.35">
      <c r="A108" s="48"/>
    </row>
    <row r="109" spans="1:1" ht="14.5" x14ac:dyDescent="0.35">
      <c r="A109" s="48"/>
    </row>
    <row r="110" spans="1:1" ht="14.5" x14ac:dyDescent="0.35">
      <c r="A110" s="48"/>
    </row>
    <row r="111" spans="1:1" ht="14.5" x14ac:dyDescent="0.35">
      <c r="A111" s="48"/>
    </row>
    <row r="112" spans="1:1" ht="14.5" x14ac:dyDescent="0.35">
      <c r="A112" s="48"/>
    </row>
    <row r="113" spans="1:1" ht="14.5" x14ac:dyDescent="0.35">
      <c r="A113" s="48"/>
    </row>
    <row r="114" spans="1:1" ht="14.5" x14ac:dyDescent="0.35">
      <c r="A114" s="48"/>
    </row>
    <row r="115" spans="1:1" ht="14.5" x14ac:dyDescent="0.35">
      <c r="A115" s="48"/>
    </row>
    <row r="116" spans="1:1" ht="14.5" x14ac:dyDescent="0.35">
      <c r="A116" s="48"/>
    </row>
    <row r="117" spans="1:1" ht="14.5" x14ac:dyDescent="0.35">
      <c r="A117" s="48"/>
    </row>
    <row r="118" spans="1:1" ht="14.5" x14ac:dyDescent="0.35">
      <c r="A118" s="48"/>
    </row>
    <row r="119" spans="1:1" ht="14.5" x14ac:dyDescent="0.35">
      <c r="A119" s="48"/>
    </row>
    <row r="120" spans="1:1" ht="14.5" x14ac:dyDescent="0.35">
      <c r="A120" s="48"/>
    </row>
    <row r="121" spans="1:1" ht="14.5" x14ac:dyDescent="0.35">
      <c r="A121" s="48"/>
    </row>
    <row r="122" spans="1:1" ht="14.5" x14ac:dyDescent="0.35">
      <c r="A122" s="48"/>
    </row>
    <row r="123" spans="1:1" ht="14.5" x14ac:dyDescent="0.35">
      <c r="A123" s="48"/>
    </row>
    <row r="124" spans="1:1" ht="14.5" x14ac:dyDescent="0.35">
      <c r="A124" s="48"/>
    </row>
    <row r="125" spans="1:1" ht="14.5" x14ac:dyDescent="0.35">
      <c r="A125" s="48"/>
    </row>
    <row r="126" spans="1:1" ht="14.5" x14ac:dyDescent="0.35">
      <c r="A126" s="48"/>
    </row>
    <row r="127" spans="1:1" ht="14.5" x14ac:dyDescent="0.35">
      <c r="A127" s="48"/>
    </row>
    <row r="128" spans="1:1" ht="14.5" x14ac:dyDescent="0.35">
      <c r="A128" s="48"/>
    </row>
    <row r="129" spans="1:1" ht="14.5" x14ac:dyDescent="0.35">
      <c r="A129" s="48"/>
    </row>
    <row r="130" spans="1:1" ht="14.5" x14ac:dyDescent="0.35">
      <c r="A130" s="48"/>
    </row>
    <row r="131" spans="1:1" ht="14.5" x14ac:dyDescent="0.35">
      <c r="A131" s="48"/>
    </row>
    <row r="132" spans="1:1" ht="14.5" x14ac:dyDescent="0.35">
      <c r="A132" s="48"/>
    </row>
    <row r="133" spans="1:1" ht="14.5" x14ac:dyDescent="0.35">
      <c r="A133" s="48"/>
    </row>
    <row r="134" spans="1:1" ht="14.5" x14ac:dyDescent="0.35">
      <c r="A134" s="48"/>
    </row>
    <row r="135" spans="1:1" ht="14.5" x14ac:dyDescent="0.35">
      <c r="A135" s="48"/>
    </row>
    <row r="136" spans="1:1" ht="14.5" x14ac:dyDescent="0.35">
      <c r="A136" s="48"/>
    </row>
    <row r="137" spans="1:1" ht="14.5" x14ac:dyDescent="0.35">
      <c r="A137" s="48"/>
    </row>
    <row r="138" spans="1:1" ht="14.5" x14ac:dyDescent="0.35">
      <c r="A138" s="48"/>
    </row>
    <row r="139" spans="1:1" ht="14.5" x14ac:dyDescent="0.35">
      <c r="A139" s="48"/>
    </row>
    <row r="140" spans="1:1" ht="14.5" x14ac:dyDescent="0.35">
      <c r="A140" s="48"/>
    </row>
    <row r="141" spans="1:1" ht="14.5" x14ac:dyDescent="0.35">
      <c r="A141" s="48"/>
    </row>
    <row r="142" spans="1:1" ht="14.5" x14ac:dyDescent="0.35">
      <c r="A142" s="48"/>
    </row>
    <row r="143" spans="1:1" ht="14.5" x14ac:dyDescent="0.35">
      <c r="A143" s="48"/>
    </row>
    <row r="144" spans="1:1" ht="14.5" x14ac:dyDescent="0.35">
      <c r="A144" s="48"/>
    </row>
    <row r="145" spans="1:1" ht="14.5" x14ac:dyDescent="0.35">
      <c r="A145" s="48"/>
    </row>
    <row r="146" spans="1:1" ht="14.5" x14ac:dyDescent="0.35">
      <c r="A146" s="48"/>
    </row>
    <row r="147" spans="1:1" ht="14.5" x14ac:dyDescent="0.35">
      <c r="A147" s="48"/>
    </row>
    <row r="148" spans="1:1" ht="14.5" x14ac:dyDescent="0.35">
      <c r="A148" s="48"/>
    </row>
    <row r="149" spans="1:1" ht="14.5" x14ac:dyDescent="0.35">
      <c r="A149" s="48"/>
    </row>
    <row r="150" spans="1:1" ht="14.5" x14ac:dyDescent="0.35">
      <c r="A150" s="48"/>
    </row>
    <row r="151" spans="1:1" ht="14.5" x14ac:dyDescent="0.35">
      <c r="A151" s="48"/>
    </row>
    <row r="152" spans="1:1" ht="14.5" x14ac:dyDescent="0.35">
      <c r="A152" s="48"/>
    </row>
    <row r="153" spans="1:1" ht="14.5" x14ac:dyDescent="0.35">
      <c r="A153" s="48"/>
    </row>
    <row r="154" spans="1:1" ht="14.5" x14ac:dyDescent="0.35">
      <c r="A154" s="48"/>
    </row>
    <row r="155" spans="1:1" ht="14.5" x14ac:dyDescent="0.35">
      <c r="A155" s="48"/>
    </row>
    <row r="156" spans="1:1" ht="14.5" x14ac:dyDescent="0.35">
      <c r="A156" s="48"/>
    </row>
    <row r="157" spans="1:1" ht="14.5" x14ac:dyDescent="0.35">
      <c r="A157" s="48"/>
    </row>
    <row r="158" spans="1:1" ht="14.5" x14ac:dyDescent="0.35">
      <c r="A158" s="48"/>
    </row>
    <row r="159" spans="1:1" ht="14.5" x14ac:dyDescent="0.35">
      <c r="A159" s="48"/>
    </row>
    <row r="160" spans="1:1" ht="14.5" x14ac:dyDescent="0.35">
      <c r="A160" s="48"/>
    </row>
    <row r="161" spans="1:1" ht="14.5" x14ac:dyDescent="0.35">
      <c r="A161" s="48"/>
    </row>
    <row r="162" spans="1:1" ht="14.5" x14ac:dyDescent="0.35">
      <c r="A162" s="48"/>
    </row>
    <row r="163" spans="1:1" ht="14.5" x14ac:dyDescent="0.35">
      <c r="A163" s="48"/>
    </row>
    <row r="164" spans="1:1" ht="14.5" x14ac:dyDescent="0.35">
      <c r="A164" s="48"/>
    </row>
    <row r="165" spans="1:1" ht="14.5" x14ac:dyDescent="0.35">
      <c r="A165" s="48"/>
    </row>
    <row r="166" spans="1:1" ht="14.5" x14ac:dyDescent="0.35">
      <c r="A166" s="48"/>
    </row>
    <row r="167" spans="1:1" ht="14.5" x14ac:dyDescent="0.35">
      <c r="A167" s="48"/>
    </row>
    <row r="168" spans="1:1" ht="14.5" x14ac:dyDescent="0.35">
      <c r="A168" s="48"/>
    </row>
    <row r="169" spans="1:1" ht="14.5" x14ac:dyDescent="0.35">
      <c r="A169" s="48"/>
    </row>
    <row r="170" spans="1:1" ht="14.5" x14ac:dyDescent="0.35">
      <c r="A170" s="48"/>
    </row>
    <row r="171" spans="1:1" ht="14.5" x14ac:dyDescent="0.35">
      <c r="A171" s="48"/>
    </row>
    <row r="172" spans="1:1" ht="14.5" x14ac:dyDescent="0.35">
      <c r="A172" s="48"/>
    </row>
    <row r="173" spans="1:1" ht="14.5" x14ac:dyDescent="0.35">
      <c r="A173" s="48"/>
    </row>
    <row r="174" spans="1:1" ht="14.5" x14ac:dyDescent="0.35">
      <c r="A174" s="48"/>
    </row>
    <row r="175" spans="1:1" ht="14.5" x14ac:dyDescent="0.35">
      <c r="A175" s="48"/>
    </row>
    <row r="176" spans="1:1" ht="14.5" x14ac:dyDescent="0.35">
      <c r="A176" s="48"/>
    </row>
    <row r="177" spans="1:1" ht="14.5" x14ac:dyDescent="0.35">
      <c r="A177" s="48"/>
    </row>
    <row r="178" spans="1:1" ht="14.5" x14ac:dyDescent="0.35">
      <c r="A178" s="48"/>
    </row>
    <row r="179" spans="1:1" ht="14.5" x14ac:dyDescent="0.35">
      <c r="A179" s="48"/>
    </row>
    <row r="180" spans="1:1" ht="14.5" x14ac:dyDescent="0.35">
      <c r="A180" s="48"/>
    </row>
    <row r="181" spans="1:1" ht="14.5" x14ac:dyDescent="0.35">
      <c r="A181" s="48"/>
    </row>
    <row r="182" spans="1:1" ht="14.5" x14ac:dyDescent="0.35">
      <c r="A182" s="48"/>
    </row>
    <row r="183" spans="1:1" ht="14.5" x14ac:dyDescent="0.35">
      <c r="A183" s="48"/>
    </row>
    <row r="184" spans="1:1" ht="14.5" x14ac:dyDescent="0.35">
      <c r="A184" s="48"/>
    </row>
    <row r="185" spans="1:1" ht="14.5" x14ac:dyDescent="0.35">
      <c r="A185" s="48"/>
    </row>
    <row r="186" spans="1:1" ht="14.5" x14ac:dyDescent="0.35">
      <c r="A186" s="48"/>
    </row>
    <row r="187" spans="1:1" ht="14.5" x14ac:dyDescent="0.35">
      <c r="A187" s="48"/>
    </row>
    <row r="188" spans="1:1" ht="14.5" x14ac:dyDescent="0.35">
      <c r="A188" s="48"/>
    </row>
    <row r="189" spans="1:1" ht="14.5" x14ac:dyDescent="0.35">
      <c r="A189" s="48"/>
    </row>
    <row r="190" spans="1:1" ht="14.5" x14ac:dyDescent="0.35">
      <c r="A190" s="48"/>
    </row>
    <row r="191" spans="1:1" ht="14.5" x14ac:dyDescent="0.35">
      <c r="A191" s="48"/>
    </row>
    <row r="192" spans="1:1" ht="14.5" x14ac:dyDescent="0.35">
      <c r="A192" s="48"/>
    </row>
    <row r="193" spans="1:1" ht="14.5" x14ac:dyDescent="0.35">
      <c r="A193" s="48"/>
    </row>
    <row r="194" spans="1:1" ht="14.5" x14ac:dyDescent="0.35">
      <c r="A194" s="48"/>
    </row>
    <row r="195" spans="1:1" ht="14.5" x14ac:dyDescent="0.35">
      <c r="A195" s="48"/>
    </row>
    <row r="196" spans="1:1" ht="14.5" x14ac:dyDescent="0.35">
      <c r="A196" s="48"/>
    </row>
    <row r="197" spans="1:1" ht="14.5" x14ac:dyDescent="0.35">
      <c r="A197" s="48"/>
    </row>
    <row r="198" spans="1:1" ht="14.5" x14ac:dyDescent="0.35">
      <c r="A198" s="48"/>
    </row>
    <row r="199" spans="1:1" ht="14.5" x14ac:dyDescent="0.35">
      <c r="A199" s="48"/>
    </row>
    <row r="200" spans="1:1" ht="14.5" x14ac:dyDescent="0.35">
      <c r="A200" s="48"/>
    </row>
    <row r="201" spans="1:1" ht="14.5" x14ac:dyDescent="0.35">
      <c r="A201" s="48"/>
    </row>
    <row r="202" spans="1:1" ht="14.5" x14ac:dyDescent="0.35">
      <c r="A202" s="48"/>
    </row>
    <row r="203" spans="1:1" ht="14.5" x14ac:dyDescent="0.35">
      <c r="A203" s="48"/>
    </row>
    <row r="204" spans="1:1" ht="14.5" x14ac:dyDescent="0.35">
      <c r="A204" s="48"/>
    </row>
    <row r="205" spans="1:1" ht="14.5" x14ac:dyDescent="0.35">
      <c r="A205" s="48"/>
    </row>
    <row r="206" spans="1:1" ht="14.5" x14ac:dyDescent="0.35">
      <c r="A206" s="48"/>
    </row>
    <row r="207" spans="1:1" ht="14.5" x14ac:dyDescent="0.35">
      <c r="A207" s="48"/>
    </row>
    <row r="208" spans="1:1" ht="14.5" x14ac:dyDescent="0.35">
      <c r="A208" s="48"/>
    </row>
    <row r="209" spans="1:1" ht="14.5" x14ac:dyDescent="0.35">
      <c r="A209" s="48"/>
    </row>
    <row r="210" spans="1:1" ht="14.5" x14ac:dyDescent="0.35">
      <c r="A210" s="48"/>
    </row>
    <row r="211" spans="1:1" ht="14.5" x14ac:dyDescent="0.35">
      <c r="A211" s="48"/>
    </row>
    <row r="212" spans="1:1" ht="14.5" x14ac:dyDescent="0.35">
      <c r="A212" s="48"/>
    </row>
    <row r="213" spans="1:1" ht="14.5" x14ac:dyDescent="0.35">
      <c r="A213" s="48"/>
    </row>
    <row r="214" spans="1:1" ht="14.5" x14ac:dyDescent="0.35">
      <c r="A214" s="48"/>
    </row>
    <row r="215" spans="1:1" ht="14.5" x14ac:dyDescent="0.35">
      <c r="A215" s="48"/>
    </row>
    <row r="216" spans="1:1" ht="14.5" x14ac:dyDescent="0.35">
      <c r="A216" s="48"/>
    </row>
    <row r="217" spans="1:1" ht="14.5" x14ac:dyDescent="0.35">
      <c r="A217" s="48"/>
    </row>
    <row r="218" spans="1:1" ht="14.5" x14ac:dyDescent="0.35">
      <c r="A218" s="48"/>
    </row>
    <row r="219" spans="1:1" ht="14.5" x14ac:dyDescent="0.35">
      <c r="A219" s="48"/>
    </row>
    <row r="220" spans="1:1" ht="14.5" x14ac:dyDescent="0.35">
      <c r="A220" s="48"/>
    </row>
    <row r="221" spans="1:1" ht="14.5" x14ac:dyDescent="0.35">
      <c r="A221" s="48"/>
    </row>
    <row r="222" spans="1:1" ht="14.5" x14ac:dyDescent="0.35">
      <c r="A222" s="48"/>
    </row>
    <row r="223" spans="1:1" ht="14.5" x14ac:dyDescent="0.35">
      <c r="A223" s="48"/>
    </row>
    <row r="224" spans="1:1" ht="14.5" x14ac:dyDescent="0.35">
      <c r="A224" s="48"/>
    </row>
    <row r="225" spans="1:1" ht="14.5" x14ac:dyDescent="0.35">
      <c r="A225" s="48"/>
    </row>
    <row r="226" spans="1:1" ht="14.5" x14ac:dyDescent="0.35">
      <c r="A226" s="48"/>
    </row>
    <row r="227" spans="1:1" ht="14.5" x14ac:dyDescent="0.35">
      <c r="A227" s="48"/>
    </row>
    <row r="228" spans="1:1" ht="14.5" x14ac:dyDescent="0.35">
      <c r="A228" s="48"/>
    </row>
    <row r="229" spans="1:1" ht="14.5" x14ac:dyDescent="0.35">
      <c r="A229" s="48"/>
    </row>
    <row r="230" spans="1:1" ht="14.5" x14ac:dyDescent="0.35">
      <c r="A230" s="48"/>
    </row>
    <row r="231" spans="1:1" ht="14.5" x14ac:dyDescent="0.35">
      <c r="A231" s="48"/>
    </row>
    <row r="232" spans="1:1" ht="14.5" x14ac:dyDescent="0.35">
      <c r="A232" s="48"/>
    </row>
    <row r="233" spans="1:1" ht="14.5" x14ac:dyDescent="0.35">
      <c r="A233" s="48"/>
    </row>
    <row r="234" spans="1:1" ht="14.5" x14ac:dyDescent="0.35">
      <c r="A234" s="48"/>
    </row>
    <row r="235" spans="1:1" ht="14.5" x14ac:dyDescent="0.35">
      <c r="A235" s="48"/>
    </row>
    <row r="236" spans="1:1" ht="14.5" x14ac:dyDescent="0.35">
      <c r="A236" s="48"/>
    </row>
    <row r="237" spans="1:1" ht="14.5" x14ac:dyDescent="0.35">
      <c r="A237" s="48"/>
    </row>
    <row r="238" spans="1:1" ht="14.5" x14ac:dyDescent="0.35">
      <c r="A238" s="48"/>
    </row>
    <row r="239" spans="1:1" ht="14.5" x14ac:dyDescent="0.35">
      <c r="A239" s="48"/>
    </row>
    <row r="240" spans="1:1" ht="14.5" x14ac:dyDescent="0.35">
      <c r="A240" s="48"/>
    </row>
    <row r="241" spans="1:1" ht="14.5" x14ac:dyDescent="0.35">
      <c r="A241" s="48"/>
    </row>
    <row r="242" spans="1:1" ht="14.5" x14ac:dyDescent="0.35">
      <c r="A242" s="48"/>
    </row>
    <row r="243" spans="1:1" ht="14.5" x14ac:dyDescent="0.35">
      <c r="A243" s="48"/>
    </row>
    <row r="244" spans="1:1" ht="14.5" x14ac:dyDescent="0.35">
      <c r="A244" s="48"/>
    </row>
    <row r="245" spans="1:1" ht="14.5" x14ac:dyDescent="0.35">
      <c r="A245" s="48"/>
    </row>
    <row r="246" spans="1:1" ht="14.5" x14ac:dyDescent="0.35">
      <c r="A246" s="48"/>
    </row>
    <row r="247" spans="1:1" ht="14.5" x14ac:dyDescent="0.35">
      <c r="A247" s="48"/>
    </row>
    <row r="248" spans="1:1" ht="14.5" x14ac:dyDescent="0.35">
      <c r="A248" s="48"/>
    </row>
    <row r="249" spans="1:1" ht="14.5" x14ac:dyDescent="0.35">
      <c r="A249" s="48"/>
    </row>
    <row r="250" spans="1:1" ht="14.5" x14ac:dyDescent="0.35">
      <c r="A250" s="48"/>
    </row>
    <row r="251" spans="1:1" ht="14.5" x14ac:dyDescent="0.35">
      <c r="A251" s="48"/>
    </row>
    <row r="252" spans="1:1" ht="14.5" x14ac:dyDescent="0.35">
      <c r="A252" s="48"/>
    </row>
    <row r="253" spans="1:1" ht="14.5" x14ac:dyDescent="0.35">
      <c r="A253" s="48"/>
    </row>
    <row r="254" spans="1:1" ht="14.5" x14ac:dyDescent="0.35">
      <c r="A254" s="48"/>
    </row>
    <row r="255" spans="1:1" ht="14.5" x14ac:dyDescent="0.35">
      <c r="A255" s="48"/>
    </row>
    <row r="256" spans="1:1" ht="14.5" x14ac:dyDescent="0.35">
      <c r="A256" s="48"/>
    </row>
    <row r="257" spans="1:1" ht="14.5" x14ac:dyDescent="0.35">
      <c r="A257" s="48"/>
    </row>
    <row r="258" spans="1:1" ht="14.5" x14ac:dyDescent="0.35">
      <c r="A258" s="48"/>
    </row>
    <row r="259" spans="1:1" ht="14.5" x14ac:dyDescent="0.35">
      <c r="A259" s="48"/>
    </row>
    <row r="260" spans="1:1" ht="14.5" x14ac:dyDescent="0.35">
      <c r="A260" s="48"/>
    </row>
    <row r="261" spans="1:1" ht="14.5" x14ac:dyDescent="0.35">
      <c r="A261" s="48"/>
    </row>
    <row r="262" spans="1:1" ht="14.5" x14ac:dyDescent="0.35">
      <c r="A262" s="48"/>
    </row>
    <row r="263" spans="1:1" ht="14.5" x14ac:dyDescent="0.35">
      <c r="A263" s="48"/>
    </row>
    <row r="264" spans="1:1" ht="14.5" x14ac:dyDescent="0.35">
      <c r="A264" s="48"/>
    </row>
    <row r="265" spans="1:1" ht="14.5" x14ac:dyDescent="0.35">
      <c r="A265" s="48"/>
    </row>
    <row r="266" spans="1:1" ht="14.5" x14ac:dyDescent="0.35">
      <c r="A266" s="48"/>
    </row>
    <row r="267" spans="1:1" ht="14.5" x14ac:dyDescent="0.35">
      <c r="A267" s="48"/>
    </row>
    <row r="268" spans="1:1" ht="14.5" x14ac:dyDescent="0.35">
      <c r="A268" s="48"/>
    </row>
    <row r="269" spans="1:1" ht="14.5" x14ac:dyDescent="0.35">
      <c r="A269" s="48"/>
    </row>
    <row r="270" spans="1:1" ht="14.5" x14ac:dyDescent="0.35">
      <c r="A270" s="48"/>
    </row>
    <row r="271" spans="1:1" ht="14.5" x14ac:dyDescent="0.35">
      <c r="A271" s="48"/>
    </row>
    <row r="272" spans="1:1" ht="14.5" x14ac:dyDescent="0.35">
      <c r="A272" s="48"/>
    </row>
    <row r="273" spans="1:1" ht="14.5" x14ac:dyDescent="0.35">
      <c r="A273" s="48"/>
    </row>
    <row r="274" spans="1:1" ht="14.5" x14ac:dyDescent="0.35">
      <c r="A274" s="48"/>
    </row>
    <row r="275" spans="1:1" ht="14.5" x14ac:dyDescent="0.35">
      <c r="A275" s="48"/>
    </row>
    <row r="276" spans="1:1" ht="14.5" x14ac:dyDescent="0.35">
      <c r="A276" s="48"/>
    </row>
    <row r="277" spans="1:1" ht="14.5" x14ac:dyDescent="0.35">
      <c r="A277" s="48"/>
    </row>
    <row r="278" spans="1:1" ht="14.5" x14ac:dyDescent="0.35">
      <c r="A278" s="48"/>
    </row>
    <row r="279" spans="1:1" ht="14.5" x14ac:dyDescent="0.35">
      <c r="A279" s="48"/>
    </row>
    <row r="280" spans="1:1" ht="14.5" x14ac:dyDescent="0.35">
      <c r="A280" s="48"/>
    </row>
    <row r="281" spans="1:1" ht="14.5" x14ac:dyDescent="0.35">
      <c r="A281" s="48"/>
    </row>
    <row r="282" spans="1:1" ht="14.5" x14ac:dyDescent="0.35">
      <c r="A282" s="48"/>
    </row>
    <row r="283" spans="1:1" ht="14.5" x14ac:dyDescent="0.35">
      <c r="A283" s="48"/>
    </row>
    <row r="284" spans="1:1" ht="14.5" x14ac:dyDescent="0.35">
      <c r="A284" s="48"/>
    </row>
    <row r="285" spans="1:1" ht="14.5" x14ac:dyDescent="0.35">
      <c r="A285" s="48"/>
    </row>
    <row r="286" spans="1:1" ht="14.5" x14ac:dyDescent="0.35">
      <c r="A286" s="48"/>
    </row>
    <row r="287" spans="1:1" ht="14.5" x14ac:dyDescent="0.35">
      <c r="A287" s="48"/>
    </row>
    <row r="288" spans="1:1" ht="14.5" x14ac:dyDescent="0.35">
      <c r="A288" s="48"/>
    </row>
    <row r="289" spans="1:1" ht="14.5" x14ac:dyDescent="0.35">
      <c r="A289" s="48"/>
    </row>
    <row r="290" spans="1:1" ht="14.5" x14ac:dyDescent="0.35">
      <c r="A290" s="48"/>
    </row>
    <row r="291" spans="1:1" ht="14.5" x14ac:dyDescent="0.35">
      <c r="A291" s="48"/>
    </row>
    <row r="292" spans="1:1" ht="14.5" x14ac:dyDescent="0.35">
      <c r="A292" s="48"/>
    </row>
    <row r="293" spans="1:1" ht="14.5" x14ac:dyDescent="0.35">
      <c r="A293" s="48"/>
    </row>
    <row r="294" spans="1:1" ht="14.5" x14ac:dyDescent="0.35">
      <c r="A294" s="48"/>
    </row>
    <row r="295" spans="1:1" ht="14.5" x14ac:dyDescent="0.35">
      <c r="A295" s="48"/>
    </row>
    <row r="296" spans="1:1" ht="14.5" x14ac:dyDescent="0.35">
      <c r="A296" s="48"/>
    </row>
    <row r="297" spans="1:1" ht="14.5" x14ac:dyDescent="0.35">
      <c r="A297" s="48"/>
    </row>
    <row r="298" spans="1:1" ht="14.5" x14ac:dyDescent="0.35">
      <c r="A298" s="48"/>
    </row>
    <row r="299" spans="1:1" ht="14.5" x14ac:dyDescent="0.35">
      <c r="A299" s="48"/>
    </row>
    <row r="300" spans="1:1" ht="14.5" x14ac:dyDescent="0.35">
      <c r="A300" s="48"/>
    </row>
    <row r="301" spans="1:1" ht="14.5" x14ac:dyDescent="0.35">
      <c r="A301" s="48"/>
    </row>
    <row r="302" spans="1:1" ht="14.5" x14ac:dyDescent="0.35">
      <c r="A302" s="48"/>
    </row>
    <row r="303" spans="1:1" ht="14.5" x14ac:dyDescent="0.35">
      <c r="A303" s="48"/>
    </row>
    <row r="304" spans="1:1" ht="14.5" x14ac:dyDescent="0.35">
      <c r="A304" s="48"/>
    </row>
    <row r="305" spans="1:1" ht="14.5" x14ac:dyDescent="0.35">
      <c r="A305" s="48"/>
    </row>
    <row r="306" spans="1:1" ht="14.5" x14ac:dyDescent="0.35">
      <c r="A306" s="48"/>
    </row>
    <row r="307" spans="1:1" ht="14.5" x14ac:dyDescent="0.35">
      <c r="A307" s="48"/>
    </row>
    <row r="308" spans="1:1" ht="14.5" x14ac:dyDescent="0.35">
      <c r="A308" s="48"/>
    </row>
    <row r="309" spans="1:1" ht="14.5" x14ac:dyDescent="0.35">
      <c r="A309" s="48"/>
    </row>
    <row r="310" spans="1:1" ht="14.5" x14ac:dyDescent="0.35">
      <c r="A310" s="48"/>
    </row>
    <row r="311" spans="1:1" ht="14.5" x14ac:dyDescent="0.35">
      <c r="A311" s="48"/>
    </row>
    <row r="312" spans="1:1" ht="14.5" x14ac:dyDescent="0.35">
      <c r="A312" s="48"/>
    </row>
    <row r="313" spans="1:1" ht="14.5" x14ac:dyDescent="0.35">
      <c r="A313" s="48"/>
    </row>
    <row r="314" spans="1:1" ht="14.5" x14ac:dyDescent="0.35">
      <c r="A314" s="48"/>
    </row>
    <row r="315" spans="1:1" ht="14.5" x14ac:dyDescent="0.35">
      <c r="A315" s="48"/>
    </row>
    <row r="316" spans="1:1" ht="14.5" x14ac:dyDescent="0.35">
      <c r="A316" s="48"/>
    </row>
    <row r="317" spans="1:1" ht="14.5" x14ac:dyDescent="0.35">
      <c r="A317" s="48"/>
    </row>
    <row r="318" spans="1:1" ht="14.5" x14ac:dyDescent="0.35">
      <c r="A318" s="48"/>
    </row>
    <row r="319" spans="1:1" ht="14.5" x14ac:dyDescent="0.35">
      <c r="A319" s="48"/>
    </row>
    <row r="320" spans="1:1" ht="14.5" x14ac:dyDescent="0.35">
      <c r="A320" s="48"/>
    </row>
    <row r="321" spans="1:1" ht="14.5" x14ac:dyDescent="0.35">
      <c r="A321" s="48"/>
    </row>
    <row r="322" spans="1:1" ht="14.5" x14ac:dyDescent="0.35">
      <c r="A322" s="48"/>
    </row>
    <row r="323" spans="1:1" ht="14.5" x14ac:dyDescent="0.35">
      <c r="A323" s="48"/>
    </row>
    <row r="324" spans="1:1" ht="14.5" x14ac:dyDescent="0.35">
      <c r="A324" s="48"/>
    </row>
    <row r="325" spans="1:1" ht="14.5" x14ac:dyDescent="0.35">
      <c r="A325" s="48"/>
    </row>
    <row r="326" spans="1:1" ht="14.5" x14ac:dyDescent="0.35">
      <c r="A326" s="48"/>
    </row>
    <row r="327" spans="1:1" ht="14.5" x14ac:dyDescent="0.35">
      <c r="A327" s="48"/>
    </row>
    <row r="328" spans="1:1" ht="14.5" x14ac:dyDescent="0.35">
      <c r="A328" s="48"/>
    </row>
    <row r="329" spans="1:1" ht="14.5" x14ac:dyDescent="0.35">
      <c r="A329" s="48"/>
    </row>
    <row r="330" spans="1:1" ht="14.5" x14ac:dyDescent="0.35">
      <c r="A330" s="48"/>
    </row>
    <row r="331" spans="1:1" ht="14.5" x14ac:dyDescent="0.35">
      <c r="A331" s="48"/>
    </row>
    <row r="332" spans="1:1" ht="14.5" x14ac:dyDescent="0.35">
      <c r="A332" s="48"/>
    </row>
    <row r="333" spans="1:1" ht="14.5" x14ac:dyDescent="0.35">
      <c r="A333" s="48"/>
    </row>
    <row r="334" spans="1:1" ht="14.5" x14ac:dyDescent="0.35">
      <c r="A334" s="48"/>
    </row>
    <row r="335" spans="1:1" ht="14.5" x14ac:dyDescent="0.35">
      <c r="A335" s="48"/>
    </row>
    <row r="336" spans="1:1" ht="14.5" x14ac:dyDescent="0.35">
      <c r="A336" s="48"/>
    </row>
    <row r="337" spans="1:1" ht="14.5" x14ac:dyDescent="0.35">
      <c r="A337" s="48"/>
    </row>
    <row r="338" spans="1:1" ht="14.5" x14ac:dyDescent="0.35">
      <c r="A338" s="48"/>
    </row>
    <row r="339" spans="1:1" ht="14.5" x14ac:dyDescent="0.35">
      <c r="A339" s="48"/>
    </row>
    <row r="340" spans="1:1" ht="14.5" x14ac:dyDescent="0.35">
      <c r="A340" s="48"/>
    </row>
    <row r="341" spans="1:1" ht="14.5" x14ac:dyDescent="0.35">
      <c r="A341" s="48"/>
    </row>
    <row r="342" spans="1:1" ht="14.5" x14ac:dyDescent="0.35">
      <c r="A342" s="48"/>
    </row>
    <row r="343" spans="1:1" ht="14.5" x14ac:dyDescent="0.35">
      <c r="A343" s="48"/>
    </row>
    <row r="344" spans="1:1" ht="14.5" x14ac:dyDescent="0.35">
      <c r="A344" s="48"/>
    </row>
    <row r="345" spans="1:1" ht="14.5" x14ac:dyDescent="0.35">
      <c r="A345" s="48"/>
    </row>
    <row r="346" spans="1:1" ht="14.5" x14ac:dyDescent="0.35">
      <c r="A346" s="48"/>
    </row>
    <row r="347" spans="1:1" ht="14.5" x14ac:dyDescent="0.35">
      <c r="A347" s="48"/>
    </row>
    <row r="348" spans="1:1" ht="14.5" x14ac:dyDescent="0.35">
      <c r="A348" s="48"/>
    </row>
    <row r="349" spans="1:1" ht="14.5" x14ac:dyDescent="0.35">
      <c r="A349" s="48"/>
    </row>
    <row r="350" spans="1:1" ht="14.5" x14ac:dyDescent="0.35">
      <c r="A350" s="48"/>
    </row>
    <row r="351" spans="1:1" ht="14.5" x14ac:dyDescent="0.35">
      <c r="A351" s="48"/>
    </row>
    <row r="352" spans="1:1" ht="14.5" x14ac:dyDescent="0.35">
      <c r="A352" s="48"/>
    </row>
    <row r="353" spans="1:1" ht="14.5" x14ac:dyDescent="0.35">
      <c r="A353" s="48"/>
    </row>
    <row r="354" spans="1:1" ht="14.5" x14ac:dyDescent="0.35">
      <c r="A354" s="48"/>
    </row>
    <row r="355" spans="1:1" ht="14.5" x14ac:dyDescent="0.35">
      <c r="A355" s="48"/>
    </row>
    <row r="356" spans="1:1" ht="14.5" x14ac:dyDescent="0.35">
      <c r="A356" s="48"/>
    </row>
    <row r="357" spans="1:1" ht="14.5" x14ac:dyDescent="0.35">
      <c r="A357" s="48"/>
    </row>
    <row r="358" spans="1:1" ht="14.5" x14ac:dyDescent="0.35">
      <c r="A358" s="48"/>
    </row>
    <row r="359" spans="1:1" ht="14.5" x14ac:dyDescent="0.35">
      <c r="A359" s="48"/>
    </row>
    <row r="360" spans="1:1" ht="14.5" x14ac:dyDescent="0.35">
      <c r="A360" s="48"/>
    </row>
    <row r="361" spans="1:1" ht="14.5" x14ac:dyDescent="0.35">
      <c r="A361" s="48"/>
    </row>
    <row r="362" spans="1:1" ht="14.5" x14ac:dyDescent="0.35">
      <c r="A362" s="48"/>
    </row>
    <row r="363" spans="1:1" ht="14.5" x14ac:dyDescent="0.35">
      <c r="A363" s="48"/>
    </row>
    <row r="364" spans="1:1" ht="14.5" x14ac:dyDescent="0.35">
      <c r="A364" s="48"/>
    </row>
    <row r="365" spans="1:1" ht="14.5" x14ac:dyDescent="0.35">
      <c r="A365" s="48"/>
    </row>
    <row r="366" spans="1:1" ht="14.5" x14ac:dyDescent="0.35">
      <c r="A366" s="48"/>
    </row>
    <row r="367" spans="1:1" ht="14.5" x14ac:dyDescent="0.35">
      <c r="A367" s="48"/>
    </row>
    <row r="368" spans="1:1" ht="14.5" x14ac:dyDescent="0.35">
      <c r="A368" s="48"/>
    </row>
    <row r="369" spans="1:1" ht="14.5" x14ac:dyDescent="0.35">
      <c r="A369" s="48"/>
    </row>
    <row r="370" spans="1:1" ht="14.5" x14ac:dyDescent="0.35">
      <c r="A370" s="48"/>
    </row>
    <row r="371" spans="1:1" ht="14.5" x14ac:dyDescent="0.35">
      <c r="A371" s="48"/>
    </row>
    <row r="372" spans="1:1" ht="14.5" x14ac:dyDescent="0.35">
      <c r="A372" s="48"/>
    </row>
    <row r="373" spans="1:1" ht="14.5" x14ac:dyDescent="0.35">
      <c r="A373" s="48"/>
    </row>
    <row r="374" spans="1:1" ht="14.5" x14ac:dyDescent="0.35">
      <c r="A374" s="48"/>
    </row>
    <row r="375" spans="1:1" ht="14.5" x14ac:dyDescent="0.35">
      <c r="A375" s="48"/>
    </row>
    <row r="376" spans="1:1" ht="14.5" x14ac:dyDescent="0.35">
      <c r="A376" s="48"/>
    </row>
    <row r="377" spans="1:1" ht="14.5" x14ac:dyDescent="0.35">
      <c r="A377" s="48"/>
    </row>
    <row r="378" spans="1:1" ht="14.5" x14ac:dyDescent="0.35">
      <c r="A378" s="48"/>
    </row>
    <row r="379" spans="1:1" ht="14.5" x14ac:dyDescent="0.35">
      <c r="A379" s="48"/>
    </row>
    <row r="380" spans="1:1" ht="14.5" x14ac:dyDescent="0.35">
      <c r="A380" s="48"/>
    </row>
    <row r="381" spans="1:1" ht="14.5" x14ac:dyDescent="0.35">
      <c r="A381" s="48"/>
    </row>
    <row r="382" spans="1:1" ht="14.5" x14ac:dyDescent="0.35">
      <c r="A382" s="48"/>
    </row>
    <row r="383" spans="1:1" ht="14.5" x14ac:dyDescent="0.35">
      <c r="A383" s="48"/>
    </row>
    <row r="384" spans="1:1" ht="14.5" x14ac:dyDescent="0.35">
      <c r="A384" s="48"/>
    </row>
    <row r="385" spans="1:1" ht="14.5" x14ac:dyDescent="0.35">
      <c r="A385" s="48"/>
    </row>
    <row r="386" spans="1:1" ht="14.5" x14ac:dyDescent="0.35">
      <c r="A386" s="48"/>
    </row>
    <row r="387" spans="1:1" ht="14.5" x14ac:dyDescent="0.35">
      <c r="A387" s="48"/>
    </row>
    <row r="388" spans="1:1" ht="14.5" x14ac:dyDescent="0.35">
      <c r="A388" s="48"/>
    </row>
    <row r="389" spans="1:1" ht="14.5" x14ac:dyDescent="0.35">
      <c r="A389" s="48"/>
    </row>
    <row r="390" spans="1:1" ht="14.5" x14ac:dyDescent="0.35">
      <c r="A390" s="48"/>
    </row>
    <row r="391" spans="1:1" ht="14.5" x14ac:dyDescent="0.35">
      <c r="A391" s="48"/>
    </row>
    <row r="392" spans="1:1" ht="14.5" x14ac:dyDescent="0.35">
      <c r="A392" s="48"/>
    </row>
    <row r="393" spans="1:1" ht="14.5" x14ac:dyDescent="0.35">
      <c r="A393" s="48"/>
    </row>
    <row r="394" spans="1:1" ht="14.5" x14ac:dyDescent="0.35">
      <c r="A394" s="48"/>
    </row>
    <row r="395" spans="1:1" ht="14.5" x14ac:dyDescent="0.35">
      <c r="A395" s="48"/>
    </row>
    <row r="396" spans="1:1" ht="14.5" x14ac:dyDescent="0.35">
      <c r="A396" s="48"/>
    </row>
    <row r="397" spans="1:1" ht="14.5" x14ac:dyDescent="0.35">
      <c r="A397" s="48"/>
    </row>
    <row r="398" spans="1:1" ht="14.5" x14ac:dyDescent="0.35">
      <c r="A398" s="48"/>
    </row>
    <row r="399" spans="1:1" ht="14.5" x14ac:dyDescent="0.35">
      <c r="A399" s="48"/>
    </row>
    <row r="400" spans="1:1" ht="14.5" x14ac:dyDescent="0.35">
      <c r="A400" s="48"/>
    </row>
    <row r="401" spans="1:1" ht="14.5" x14ac:dyDescent="0.35">
      <c r="A401" s="48"/>
    </row>
    <row r="402" spans="1:1" ht="14.5" x14ac:dyDescent="0.35">
      <c r="A402" s="48"/>
    </row>
    <row r="403" spans="1:1" ht="14.5" x14ac:dyDescent="0.35">
      <c r="A403" s="48"/>
    </row>
    <row r="404" spans="1:1" ht="14.5" x14ac:dyDescent="0.35">
      <c r="A404" s="48"/>
    </row>
    <row r="405" spans="1:1" ht="14.5" x14ac:dyDescent="0.35">
      <c r="A405" s="48"/>
    </row>
    <row r="406" spans="1:1" ht="14.5" x14ac:dyDescent="0.35">
      <c r="A406" s="48"/>
    </row>
    <row r="407" spans="1:1" ht="14.5" x14ac:dyDescent="0.35">
      <c r="A407" s="48"/>
    </row>
    <row r="408" spans="1:1" ht="14.5" x14ac:dyDescent="0.35">
      <c r="A408" s="48"/>
    </row>
    <row r="409" spans="1:1" ht="14.5" x14ac:dyDescent="0.35">
      <c r="A409" s="48"/>
    </row>
    <row r="410" spans="1:1" ht="14.5" x14ac:dyDescent="0.35">
      <c r="A410" s="48"/>
    </row>
    <row r="411" spans="1:1" ht="14.5" x14ac:dyDescent="0.35">
      <c r="A411" s="48"/>
    </row>
    <row r="412" spans="1:1" ht="14.5" x14ac:dyDescent="0.35">
      <c r="A412" s="48"/>
    </row>
    <row r="413" spans="1:1" ht="14.5" x14ac:dyDescent="0.35">
      <c r="A413" s="48"/>
    </row>
    <row r="414" spans="1:1" ht="14.5" x14ac:dyDescent="0.35">
      <c r="A414" s="48"/>
    </row>
    <row r="415" spans="1:1" ht="14.5" x14ac:dyDescent="0.35">
      <c r="A415" s="48"/>
    </row>
    <row r="416" spans="1:1" ht="14.5" x14ac:dyDescent="0.35">
      <c r="A416" s="48"/>
    </row>
    <row r="417" spans="1:1" ht="14.5" x14ac:dyDescent="0.35">
      <c r="A417" s="48"/>
    </row>
    <row r="418" spans="1:1" ht="14.5" x14ac:dyDescent="0.35">
      <c r="A418" s="48"/>
    </row>
    <row r="419" spans="1:1" ht="14.5" x14ac:dyDescent="0.35">
      <c r="A419" s="48"/>
    </row>
    <row r="420" spans="1:1" ht="14.5" x14ac:dyDescent="0.35">
      <c r="A420" s="48"/>
    </row>
    <row r="421" spans="1:1" ht="14.5" x14ac:dyDescent="0.35">
      <c r="A421" s="48"/>
    </row>
    <row r="422" spans="1:1" ht="14.5" x14ac:dyDescent="0.35">
      <c r="A422" s="48"/>
    </row>
    <row r="423" spans="1:1" ht="14.5" x14ac:dyDescent="0.35">
      <c r="A423" s="48"/>
    </row>
    <row r="424" spans="1:1" ht="14.5" x14ac:dyDescent="0.35">
      <c r="A424" s="48"/>
    </row>
    <row r="425" spans="1:1" ht="14.5" x14ac:dyDescent="0.35">
      <c r="A425" s="48"/>
    </row>
    <row r="426" spans="1:1" ht="14.5" x14ac:dyDescent="0.35">
      <c r="A426" s="48"/>
    </row>
    <row r="427" spans="1:1" ht="14.5" x14ac:dyDescent="0.35">
      <c r="A427" s="48"/>
    </row>
    <row r="428" spans="1:1" ht="14.5" x14ac:dyDescent="0.35">
      <c r="A428" s="48"/>
    </row>
    <row r="429" spans="1:1" ht="14.5" x14ac:dyDescent="0.35">
      <c r="A429" s="48"/>
    </row>
    <row r="430" spans="1:1" ht="14.5" x14ac:dyDescent="0.35">
      <c r="A430" s="48"/>
    </row>
    <row r="431" spans="1:1" ht="14.5" x14ac:dyDescent="0.35">
      <c r="A431" s="48"/>
    </row>
    <row r="432" spans="1:1" ht="14.5" x14ac:dyDescent="0.35">
      <c r="A432" s="48"/>
    </row>
    <row r="433" spans="1:1" ht="14.5" x14ac:dyDescent="0.35">
      <c r="A433" s="48"/>
    </row>
    <row r="434" spans="1:1" ht="14.5" x14ac:dyDescent="0.35">
      <c r="A434" s="48"/>
    </row>
    <row r="435" spans="1:1" ht="14.5" x14ac:dyDescent="0.35">
      <c r="A435" s="48"/>
    </row>
    <row r="436" spans="1:1" ht="14.5" x14ac:dyDescent="0.35">
      <c r="A436" s="48"/>
    </row>
    <row r="437" spans="1:1" ht="14.5" x14ac:dyDescent="0.35">
      <c r="A437" s="48"/>
    </row>
    <row r="438" spans="1:1" ht="14.5" x14ac:dyDescent="0.35">
      <c r="A438" s="48"/>
    </row>
    <row r="439" spans="1:1" ht="14.5" x14ac:dyDescent="0.35">
      <c r="A439" s="48"/>
    </row>
    <row r="440" spans="1:1" ht="14.5" x14ac:dyDescent="0.35">
      <c r="A440" s="48"/>
    </row>
    <row r="441" spans="1:1" ht="14.5" x14ac:dyDescent="0.35">
      <c r="A441" s="48"/>
    </row>
    <row r="442" spans="1:1" ht="14.5" x14ac:dyDescent="0.35">
      <c r="A442" s="48"/>
    </row>
    <row r="443" spans="1:1" ht="14.5" x14ac:dyDescent="0.35">
      <c r="A443" s="48"/>
    </row>
    <row r="444" spans="1:1" ht="14.5" x14ac:dyDescent="0.35">
      <c r="A444" s="48"/>
    </row>
    <row r="445" spans="1:1" ht="14.5" x14ac:dyDescent="0.35">
      <c r="A445" s="48"/>
    </row>
    <row r="446" spans="1:1" ht="14.5" x14ac:dyDescent="0.35">
      <c r="A446" s="48"/>
    </row>
    <row r="447" spans="1:1" ht="14.5" x14ac:dyDescent="0.35">
      <c r="A447" s="48"/>
    </row>
    <row r="448" spans="1:1" ht="14.5" x14ac:dyDescent="0.35">
      <c r="A448" s="48"/>
    </row>
    <row r="449" spans="1:1" ht="14.5" x14ac:dyDescent="0.35">
      <c r="A449" s="48"/>
    </row>
    <row r="450" spans="1:1" ht="14.5" x14ac:dyDescent="0.35">
      <c r="A450" s="48"/>
    </row>
    <row r="451" spans="1:1" ht="14.5" x14ac:dyDescent="0.35">
      <c r="A451" s="48"/>
    </row>
    <row r="452" spans="1:1" ht="14.5" x14ac:dyDescent="0.35">
      <c r="A452" s="48"/>
    </row>
    <row r="453" spans="1:1" ht="14.5" x14ac:dyDescent="0.35">
      <c r="A453" s="48"/>
    </row>
    <row r="454" spans="1:1" ht="14.5" x14ac:dyDescent="0.35">
      <c r="A454" s="48"/>
    </row>
    <row r="455" spans="1:1" ht="14.5" x14ac:dyDescent="0.35">
      <c r="A455" s="48"/>
    </row>
    <row r="456" spans="1:1" ht="14.5" x14ac:dyDescent="0.35">
      <c r="A456" s="48"/>
    </row>
    <row r="457" spans="1:1" ht="14.5" x14ac:dyDescent="0.35">
      <c r="A457" s="48"/>
    </row>
    <row r="458" spans="1:1" ht="14.5" x14ac:dyDescent="0.35">
      <c r="A458" s="48"/>
    </row>
    <row r="459" spans="1:1" ht="14.5" x14ac:dyDescent="0.35">
      <c r="A459" s="48"/>
    </row>
    <row r="460" spans="1:1" ht="14.5" x14ac:dyDescent="0.35">
      <c r="A460" s="48"/>
    </row>
    <row r="461" spans="1:1" ht="14.5" x14ac:dyDescent="0.35">
      <c r="A461" s="48"/>
    </row>
    <row r="462" spans="1:1" ht="14.5" x14ac:dyDescent="0.35">
      <c r="A462" s="48"/>
    </row>
    <row r="463" spans="1:1" ht="14.5" x14ac:dyDescent="0.35">
      <c r="A463" s="48"/>
    </row>
    <row r="464" spans="1:1" ht="14.5" x14ac:dyDescent="0.35">
      <c r="A464" s="48"/>
    </row>
    <row r="465" spans="1:1" ht="14.5" x14ac:dyDescent="0.35">
      <c r="A465" s="48"/>
    </row>
    <row r="466" spans="1:1" ht="14.5" x14ac:dyDescent="0.35">
      <c r="A466" s="48"/>
    </row>
    <row r="467" spans="1:1" ht="14.5" x14ac:dyDescent="0.35">
      <c r="A467" s="48"/>
    </row>
    <row r="468" spans="1:1" ht="14.5" x14ac:dyDescent="0.35">
      <c r="A468" s="48"/>
    </row>
    <row r="469" spans="1:1" ht="14.5" x14ac:dyDescent="0.35">
      <c r="A469" s="48"/>
    </row>
    <row r="470" spans="1:1" ht="14.5" x14ac:dyDescent="0.35">
      <c r="A470" s="48"/>
    </row>
    <row r="471" spans="1:1" ht="14.5" x14ac:dyDescent="0.35">
      <c r="A471" s="48"/>
    </row>
    <row r="472" spans="1:1" ht="14.5" x14ac:dyDescent="0.35">
      <c r="A472" s="48"/>
    </row>
    <row r="473" spans="1:1" ht="14.5" x14ac:dyDescent="0.35">
      <c r="A473" s="48"/>
    </row>
    <row r="474" spans="1:1" ht="14.5" x14ac:dyDescent="0.35">
      <c r="A474" s="48"/>
    </row>
    <row r="475" spans="1:1" ht="14.5" x14ac:dyDescent="0.35">
      <c r="A475" s="48"/>
    </row>
    <row r="476" spans="1:1" ht="14.5" x14ac:dyDescent="0.35">
      <c r="A476" s="48"/>
    </row>
    <row r="477" spans="1:1" ht="14.5" x14ac:dyDescent="0.35">
      <c r="A477" s="48"/>
    </row>
    <row r="478" spans="1:1" ht="14.5" x14ac:dyDescent="0.35">
      <c r="A478" s="48"/>
    </row>
    <row r="479" spans="1:1" ht="14.5" x14ac:dyDescent="0.35">
      <c r="A479" s="48"/>
    </row>
    <row r="480" spans="1:1" ht="14.5" x14ac:dyDescent="0.35">
      <c r="A480" s="48"/>
    </row>
    <row r="481" spans="1:1" ht="14.5" x14ac:dyDescent="0.35">
      <c r="A481" s="48"/>
    </row>
    <row r="482" spans="1:1" ht="14.5" x14ac:dyDescent="0.35">
      <c r="A482" s="48"/>
    </row>
    <row r="483" spans="1:1" ht="14.5" x14ac:dyDescent="0.35">
      <c r="A483" s="48"/>
    </row>
    <row r="484" spans="1:1" ht="14.5" x14ac:dyDescent="0.35">
      <c r="A484" s="48"/>
    </row>
    <row r="485" spans="1:1" ht="14.5" x14ac:dyDescent="0.35">
      <c r="A485" s="48"/>
    </row>
    <row r="486" spans="1:1" ht="14.5" x14ac:dyDescent="0.35">
      <c r="A486" s="48"/>
    </row>
    <row r="487" spans="1:1" ht="14.5" x14ac:dyDescent="0.35">
      <c r="A487" s="48"/>
    </row>
    <row r="488" spans="1:1" ht="14.5" x14ac:dyDescent="0.35">
      <c r="A488" s="48"/>
    </row>
    <row r="489" spans="1:1" ht="14.5" x14ac:dyDescent="0.35">
      <c r="A489" s="48"/>
    </row>
    <row r="490" spans="1:1" ht="14.5" x14ac:dyDescent="0.35">
      <c r="A490" s="48"/>
    </row>
    <row r="491" spans="1:1" ht="14.5" x14ac:dyDescent="0.35">
      <c r="A491" s="48"/>
    </row>
    <row r="492" spans="1:1" ht="14.5" x14ac:dyDescent="0.35">
      <c r="A492" s="48"/>
    </row>
    <row r="493" spans="1:1" ht="14.5" x14ac:dyDescent="0.35">
      <c r="A493" s="48"/>
    </row>
    <row r="494" spans="1:1" ht="14.5" x14ac:dyDescent="0.35">
      <c r="A494" s="48"/>
    </row>
    <row r="495" spans="1:1" ht="14.5" x14ac:dyDescent="0.35">
      <c r="A495" s="48"/>
    </row>
    <row r="496" spans="1:1" ht="14.5" x14ac:dyDescent="0.35">
      <c r="A496" s="48"/>
    </row>
    <row r="497" spans="1:1" ht="14.5" x14ac:dyDescent="0.35">
      <c r="A497" s="48"/>
    </row>
    <row r="498" spans="1:1" ht="14.5" x14ac:dyDescent="0.35">
      <c r="A498" s="48"/>
    </row>
    <row r="499" spans="1:1" ht="14.5" x14ac:dyDescent="0.35">
      <c r="A499" s="48"/>
    </row>
    <row r="500" spans="1:1" ht="14.5" x14ac:dyDescent="0.35">
      <c r="A500" s="48"/>
    </row>
    <row r="501" spans="1:1" ht="14.5" x14ac:dyDescent="0.35">
      <c r="A501" s="48"/>
    </row>
    <row r="502" spans="1:1" ht="14.5" x14ac:dyDescent="0.35">
      <c r="A502" s="48"/>
    </row>
    <row r="503" spans="1:1" ht="14.5" x14ac:dyDescent="0.35">
      <c r="A503" s="48"/>
    </row>
    <row r="504" spans="1:1" ht="14.5" x14ac:dyDescent="0.35">
      <c r="A504" s="48"/>
    </row>
    <row r="505" spans="1:1" ht="14.5" x14ac:dyDescent="0.35">
      <c r="A505" s="48"/>
    </row>
    <row r="506" spans="1:1" ht="14.5" x14ac:dyDescent="0.35">
      <c r="A506" s="48"/>
    </row>
    <row r="507" spans="1:1" ht="14.5" x14ac:dyDescent="0.35">
      <c r="A507" s="48"/>
    </row>
    <row r="508" spans="1:1" ht="14.5" x14ac:dyDescent="0.35">
      <c r="A508" s="48"/>
    </row>
    <row r="509" spans="1:1" ht="14.5" x14ac:dyDescent="0.35">
      <c r="A509" s="48"/>
    </row>
    <row r="510" spans="1:1" ht="14.5" x14ac:dyDescent="0.35">
      <c r="A510" s="48"/>
    </row>
    <row r="511" spans="1:1" ht="14.5" x14ac:dyDescent="0.35">
      <c r="A511" s="48"/>
    </row>
    <row r="512" spans="1:1" ht="14.5" x14ac:dyDescent="0.35">
      <c r="A512" s="48"/>
    </row>
    <row r="513" spans="1:1" ht="14.5" x14ac:dyDescent="0.35">
      <c r="A513" s="48"/>
    </row>
    <row r="514" spans="1:1" ht="14.5" x14ac:dyDescent="0.35">
      <c r="A514" s="48"/>
    </row>
    <row r="515" spans="1:1" ht="14.5" x14ac:dyDescent="0.35">
      <c r="A515" s="48"/>
    </row>
    <row r="516" spans="1:1" ht="14.5" x14ac:dyDescent="0.35">
      <c r="A516" s="48"/>
    </row>
    <row r="517" spans="1:1" ht="14.5" x14ac:dyDescent="0.35">
      <c r="A517" s="48"/>
    </row>
    <row r="518" spans="1:1" ht="14.5" x14ac:dyDescent="0.35">
      <c r="A518" s="48"/>
    </row>
    <row r="519" spans="1:1" ht="14.5" x14ac:dyDescent="0.35">
      <c r="A519" s="48"/>
    </row>
    <row r="520" spans="1:1" ht="14.5" x14ac:dyDescent="0.35">
      <c r="A520" s="48"/>
    </row>
    <row r="521" spans="1:1" ht="14.5" x14ac:dyDescent="0.35">
      <c r="A521" s="48"/>
    </row>
    <row r="522" spans="1:1" ht="14.5" x14ac:dyDescent="0.35">
      <c r="A522" s="48"/>
    </row>
    <row r="523" spans="1:1" ht="14.5" x14ac:dyDescent="0.35">
      <c r="A523" s="48"/>
    </row>
    <row r="524" spans="1:1" ht="14.5" x14ac:dyDescent="0.35">
      <c r="A524" s="48"/>
    </row>
    <row r="525" spans="1:1" ht="14.5" x14ac:dyDescent="0.35">
      <c r="A525" s="48"/>
    </row>
    <row r="526" spans="1:1" ht="14.5" x14ac:dyDescent="0.35">
      <c r="A526" s="48"/>
    </row>
    <row r="527" spans="1:1" ht="14.5" x14ac:dyDescent="0.35">
      <c r="A527" s="48"/>
    </row>
    <row r="528" spans="1:1" ht="14.5" x14ac:dyDescent="0.35">
      <c r="A528" s="48"/>
    </row>
    <row r="529" spans="1:1" ht="14.5" x14ac:dyDescent="0.35">
      <c r="A529" s="48"/>
    </row>
    <row r="530" spans="1:1" ht="14.5" x14ac:dyDescent="0.35">
      <c r="A530" s="48"/>
    </row>
    <row r="531" spans="1:1" ht="14.5" x14ac:dyDescent="0.35">
      <c r="A531" s="48"/>
    </row>
    <row r="532" spans="1:1" ht="14.5" x14ac:dyDescent="0.35">
      <c r="A532" s="48"/>
    </row>
    <row r="533" spans="1:1" ht="14.5" x14ac:dyDescent="0.35">
      <c r="A533" s="48"/>
    </row>
    <row r="534" spans="1:1" ht="14.5" x14ac:dyDescent="0.35">
      <c r="A534" s="48"/>
    </row>
    <row r="535" spans="1:1" ht="14.5" x14ac:dyDescent="0.35">
      <c r="A535" s="48"/>
    </row>
    <row r="536" spans="1:1" ht="14.5" x14ac:dyDescent="0.35">
      <c r="A536" s="48"/>
    </row>
    <row r="537" spans="1:1" ht="14.5" x14ac:dyDescent="0.35">
      <c r="A537" s="48"/>
    </row>
    <row r="538" spans="1:1" ht="14.5" x14ac:dyDescent="0.35">
      <c r="A538" s="48"/>
    </row>
    <row r="539" spans="1:1" ht="14.5" x14ac:dyDescent="0.35">
      <c r="A539" s="48"/>
    </row>
    <row r="540" spans="1:1" ht="14.5" x14ac:dyDescent="0.35">
      <c r="A540" s="48"/>
    </row>
    <row r="541" spans="1:1" ht="14.5" x14ac:dyDescent="0.35">
      <c r="A541" s="48"/>
    </row>
    <row r="542" spans="1:1" ht="14.5" x14ac:dyDescent="0.35">
      <c r="A542" s="48"/>
    </row>
    <row r="543" spans="1:1" ht="14.5" x14ac:dyDescent="0.35">
      <c r="A543" s="48"/>
    </row>
    <row r="544" spans="1:1" ht="14.5" x14ac:dyDescent="0.35">
      <c r="A544" s="48"/>
    </row>
    <row r="545" spans="1:1" ht="14.5" x14ac:dyDescent="0.35">
      <c r="A545" s="48"/>
    </row>
    <row r="546" spans="1:1" ht="14.5" x14ac:dyDescent="0.35">
      <c r="A546" s="48"/>
    </row>
    <row r="547" spans="1:1" ht="14.5" x14ac:dyDescent="0.35">
      <c r="A547" s="48"/>
    </row>
    <row r="548" spans="1:1" ht="14.5" x14ac:dyDescent="0.35">
      <c r="A548" s="48"/>
    </row>
    <row r="549" spans="1:1" ht="14.5" x14ac:dyDescent="0.35">
      <c r="A549" s="48"/>
    </row>
    <row r="550" spans="1:1" ht="14.5" x14ac:dyDescent="0.35">
      <c r="A550" s="48"/>
    </row>
    <row r="551" spans="1:1" ht="14.5" x14ac:dyDescent="0.35">
      <c r="A551" s="48"/>
    </row>
    <row r="552" spans="1:1" ht="14.5" x14ac:dyDescent="0.35">
      <c r="A552" s="48"/>
    </row>
    <row r="553" spans="1:1" ht="14.5" x14ac:dyDescent="0.35">
      <c r="A553" s="48"/>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 Dashboard</vt:lpstr>
      <vt:lpstr>Inventory master</vt:lpstr>
      <vt:lpstr>Opening stock</vt:lpstr>
      <vt:lpstr>Sales </vt:lpstr>
      <vt:lpstr>Purchases</vt:lpstr>
      <vt:lpstr>Inventory calculations</vt:lpstr>
      <vt:lpstr>Dashboard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Evans kibet</cp:lastModifiedBy>
  <dcterms:created xsi:type="dcterms:W3CDTF">2015-06-05T18:17:20Z</dcterms:created>
  <dcterms:modified xsi:type="dcterms:W3CDTF">2026-01-30T11:00:21Z</dcterms:modified>
</cp:coreProperties>
</file>